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ime Out Lawncare\customer-route-optimizer\"/>
    </mc:Choice>
  </mc:AlternateContent>
  <xr:revisionPtr revIDLastSave="0" documentId="13_ncr:1_{0769B9EE-4800-4ACB-91C9-436BB18C95DC}" xr6:coauthVersionLast="47" xr6:coauthVersionMax="47" xr10:uidLastSave="{00000000-0000-0000-0000-000000000000}"/>
  <bookViews>
    <workbookView xWindow="-108" yWindow="-108" windowWidth="23256" windowHeight="12576" firstSheet="3" activeTab="7" xr2:uid="{97BC59C9-5569-4686-ADC8-56A6CBDE4766}"/>
  </bookViews>
  <sheets>
    <sheet name="Main" sheetId="6" r:id="rId1"/>
    <sheet name="Applications" sheetId="1" r:id="rId2"/>
    <sheet name="Application Report" sheetId="16" r:id="rId3"/>
    <sheet name="Treatment Plans" sheetId="12" r:id="rId4"/>
    <sheet name="Services &amp; Prices" sheetId="15" r:id="rId5"/>
    <sheet name="Chemical costs" sheetId="13" r:id="rId6"/>
    <sheet name="Herbicide_Data" sheetId="2" r:id="rId7"/>
    <sheet name="Customer_Data" sheetId="3" r:id="rId8"/>
    <sheet name="billing" sheetId="9" r:id="rId9"/>
    <sheet name="Data" sheetId="4" r:id="rId10"/>
    <sheet name="Reference" sheetId="5" r:id="rId11"/>
    <sheet name="Invoice" sheetId="8" r:id="rId12"/>
    <sheet name="Quote" sheetId="11" r:id="rId13"/>
    <sheet name="PPE" sheetId="14" r:id="rId14"/>
  </sheets>
  <definedNames>
    <definedName name="_xlnm._FilterDatabase" localSheetId="1" hidden="1">Applications!$A$1:$BD$500</definedName>
    <definedName name="Additives_Data">#REF!</definedName>
    <definedName name="Applications_Data">Applications!$A$1:$BD$500</definedName>
    <definedName name="Applicator_Data">#REF!</definedName>
    <definedName name="Crop_Data">#REF!</definedName>
    <definedName name="crop_year">#REF!</definedName>
    <definedName name="Farm_Data">#REF!</definedName>
    <definedName name="Field_Data">Customer_Data!$A$1:$P$115</definedName>
    <definedName name="operation_name">#REF!</definedName>
    <definedName name="Pest_Data">#REF!</definedName>
    <definedName name="Pesticide_Data">#REF!</definedName>
    <definedName name="Pesticide_List_Copy">#REF!</definedName>
    <definedName name="Pesticide_List_Criteria">#REF!</definedName>
    <definedName name="Pesticide_Type_Table">#REF!</definedName>
    <definedName name="PPE_Code_Table">#REF!</definedName>
    <definedName name="_xlnm.Print_Area" localSheetId="11">Invoice!$A$1:$H$27</definedName>
    <definedName name="_xlnm.Print_Area" localSheetId="12">Quote!$A$1:$H$26</definedName>
    <definedName name="_xlnm.Print_Titles" localSheetId="1">Applications!$A:$C,Applications!$1:$1</definedName>
    <definedName name="_xlnm.Print_Titles" localSheetId="7">Customer_Data!$A:$A,Customer_Data!$1:$1</definedName>
    <definedName name="Variety_Data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1" l="1"/>
  <c r="A3" i="16"/>
  <c r="B3" i="16" s="1"/>
  <c r="F3" i="16"/>
  <c r="G3" i="16"/>
  <c r="H3" i="16"/>
  <c r="I3" i="16"/>
  <c r="L3" i="16"/>
  <c r="M3" i="16"/>
  <c r="N3" i="16"/>
  <c r="P3" i="16"/>
  <c r="Q3" i="16"/>
  <c r="R3" i="16"/>
  <c r="T3" i="16"/>
  <c r="U3" i="16"/>
  <c r="V3" i="16"/>
  <c r="X3" i="16"/>
  <c r="Y3" i="16"/>
  <c r="Z3" i="16"/>
  <c r="AB3" i="16"/>
  <c r="AC3" i="16"/>
  <c r="AD3" i="16"/>
  <c r="AE3" i="16"/>
  <c r="A4" i="16"/>
  <c r="C4" i="16" s="1"/>
  <c r="B4" i="16"/>
  <c r="F4" i="16"/>
  <c r="G4" i="16"/>
  <c r="H4" i="16"/>
  <c r="I4" i="16"/>
  <c r="L4" i="16"/>
  <c r="M4" i="16"/>
  <c r="N4" i="16"/>
  <c r="P4" i="16"/>
  <c r="Q4" i="16"/>
  <c r="R4" i="16"/>
  <c r="T4" i="16"/>
  <c r="U4" i="16"/>
  <c r="V4" i="16"/>
  <c r="X4" i="16"/>
  <c r="Y4" i="16"/>
  <c r="Z4" i="16"/>
  <c r="AB4" i="16"/>
  <c r="AC4" i="16"/>
  <c r="AD4" i="16"/>
  <c r="AE4" i="16"/>
  <c r="A5" i="16"/>
  <c r="B5" i="16" s="1"/>
  <c r="F5" i="16"/>
  <c r="G5" i="16"/>
  <c r="H5" i="16"/>
  <c r="I5" i="16"/>
  <c r="L5" i="16"/>
  <c r="M5" i="16"/>
  <c r="N5" i="16"/>
  <c r="P5" i="16"/>
  <c r="Q5" i="16"/>
  <c r="R5" i="16"/>
  <c r="T5" i="16"/>
  <c r="U5" i="16"/>
  <c r="V5" i="16"/>
  <c r="X5" i="16"/>
  <c r="Y5" i="16"/>
  <c r="Z5" i="16"/>
  <c r="AB5" i="16"/>
  <c r="AC5" i="16"/>
  <c r="AD5" i="16"/>
  <c r="AE5" i="16"/>
  <c r="A6" i="16"/>
  <c r="B6" i="16" s="1"/>
  <c r="F6" i="16"/>
  <c r="G6" i="16"/>
  <c r="H6" i="16"/>
  <c r="I6" i="16"/>
  <c r="J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7" i="16"/>
  <c r="B7" i="16" s="1"/>
  <c r="F7" i="16"/>
  <c r="G7" i="16"/>
  <c r="H7" i="16"/>
  <c r="I7" i="16"/>
  <c r="L7" i="16"/>
  <c r="M7" i="16"/>
  <c r="N7" i="16"/>
  <c r="P7" i="16"/>
  <c r="Q7" i="16"/>
  <c r="R7" i="16"/>
  <c r="T7" i="16"/>
  <c r="U7" i="16"/>
  <c r="V7" i="16"/>
  <c r="X7" i="16"/>
  <c r="Y7" i="16"/>
  <c r="Z7" i="16"/>
  <c r="AB7" i="16"/>
  <c r="AC7" i="16"/>
  <c r="AD7" i="16"/>
  <c r="AE7" i="16"/>
  <c r="A8" i="16"/>
  <c r="B8" i="16" s="1"/>
  <c r="F8" i="16"/>
  <c r="G8" i="16"/>
  <c r="H8" i="16"/>
  <c r="I8" i="16"/>
  <c r="L8" i="16"/>
  <c r="M8" i="16"/>
  <c r="N8" i="16"/>
  <c r="P8" i="16"/>
  <c r="Q8" i="16"/>
  <c r="R8" i="16"/>
  <c r="T8" i="16"/>
  <c r="U8" i="16"/>
  <c r="V8" i="16"/>
  <c r="X8" i="16"/>
  <c r="Y8" i="16"/>
  <c r="Z8" i="16"/>
  <c r="AB8" i="16"/>
  <c r="AC8" i="16"/>
  <c r="AD8" i="16"/>
  <c r="AE8" i="16"/>
  <c r="A9" i="16"/>
  <c r="B9" i="16" s="1"/>
  <c r="F9" i="16"/>
  <c r="G9" i="16"/>
  <c r="H9" i="16"/>
  <c r="I9" i="16"/>
  <c r="L9" i="16"/>
  <c r="M9" i="16"/>
  <c r="N9" i="16"/>
  <c r="P9" i="16"/>
  <c r="Q9" i="16"/>
  <c r="R9" i="16"/>
  <c r="T9" i="16"/>
  <c r="U9" i="16"/>
  <c r="V9" i="16"/>
  <c r="X9" i="16"/>
  <c r="Y9" i="16"/>
  <c r="Z9" i="16"/>
  <c r="AB9" i="16"/>
  <c r="AC9" i="16"/>
  <c r="AD9" i="16"/>
  <c r="AE9" i="16"/>
  <c r="A10" i="16"/>
  <c r="B10" i="16" s="1"/>
  <c r="F10" i="16"/>
  <c r="G10" i="16"/>
  <c r="H10" i="16"/>
  <c r="I10" i="16"/>
  <c r="L10" i="16"/>
  <c r="M10" i="16"/>
  <c r="N10" i="16"/>
  <c r="P10" i="16"/>
  <c r="Q10" i="16"/>
  <c r="R10" i="16"/>
  <c r="T10" i="16"/>
  <c r="U10" i="16"/>
  <c r="V10" i="16"/>
  <c r="X10" i="16"/>
  <c r="Y10" i="16"/>
  <c r="Z10" i="16"/>
  <c r="AB10" i="16"/>
  <c r="AC10" i="16"/>
  <c r="AD10" i="16"/>
  <c r="AE10" i="16"/>
  <c r="A11" i="16"/>
  <c r="B11" i="16" s="1"/>
  <c r="F11" i="16"/>
  <c r="G11" i="16"/>
  <c r="H11" i="16"/>
  <c r="I11" i="16"/>
  <c r="L11" i="16"/>
  <c r="M11" i="16"/>
  <c r="N11" i="16"/>
  <c r="P11" i="16"/>
  <c r="Q11" i="16"/>
  <c r="R11" i="16"/>
  <c r="T11" i="16"/>
  <c r="U11" i="16"/>
  <c r="V11" i="16"/>
  <c r="X11" i="16"/>
  <c r="Y11" i="16"/>
  <c r="Z11" i="16"/>
  <c r="AB11" i="16"/>
  <c r="AC11" i="16"/>
  <c r="AD11" i="16"/>
  <c r="AE11" i="16"/>
  <c r="A12" i="16"/>
  <c r="C12" i="16" s="1"/>
  <c r="F12" i="16"/>
  <c r="G12" i="16"/>
  <c r="H12" i="16"/>
  <c r="I12" i="16"/>
  <c r="L12" i="16"/>
  <c r="M12" i="16"/>
  <c r="N12" i="16"/>
  <c r="P12" i="16"/>
  <c r="Q12" i="16"/>
  <c r="R12" i="16"/>
  <c r="T12" i="16"/>
  <c r="U12" i="16"/>
  <c r="V12" i="16"/>
  <c r="X12" i="16"/>
  <c r="Y12" i="16"/>
  <c r="Z12" i="16"/>
  <c r="AB12" i="16"/>
  <c r="AC12" i="16"/>
  <c r="AD12" i="16"/>
  <c r="AE12" i="16"/>
  <c r="A13" i="16"/>
  <c r="B13" i="16" s="1"/>
  <c r="F13" i="16"/>
  <c r="G13" i="16"/>
  <c r="H13" i="16"/>
  <c r="I13" i="16"/>
  <c r="L13" i="16"/>
  <c r="M13" i="16"/>
  <c r="N13" i="16"/>
  <c r="P13" i="16"/>
  <c r="Q13" i="16"/>
  <c r="R13" i="16"/>
  <c r="T13" i="16"/>
  <c r="U13" i="16"/>
  <c r="V13" i="16"/>
  <c r="X13" i="16"/>
  <c r="Y13" i="16"/>
  <c r="Z13" i="16"/>
  <c r="AB13" i="16"/>
  <c r="AC13" i="16"/>
  <c r="AD13" i="16"/>
  <c r="AE13" i="16"/>
  <c r="A14" i="16"/>
  <c r="B14" i="16" s="1"/>
  <c r="F14" i="16"/>
  <c r="G14" i="16"/>
  <c r="H14" i="16"/>
  <c r="I14" i="16"/>
  <c r="L14" i="16"/>
  <c r="M14" i="16"/>
  <c r="N14" i="16"/>
  <c r="P14" i="16"/>
  <c r="Q14" i="16"/>
  <c r="R14" i="16"/>
  <c r="T14" i="16"/>
  <c r="U14" i="16"/>
  <c r="V14" i="16"/>
  <c r="X14" i="16"/>
  <c r="Y14" i="16"/>
  <c r="Z14" i="16"/>
  <c r="AB14" i="16"/>
  <c r="AC14" i="16"/>
  <c r="AD14" i="16"/>
  <c r="AE14" i="16"/>
  <c r="A15" i="16"/>
  <c r="B15" i="16" s="1"/>
  <c r="C15" i="16"/>
  <c r="F15" i="16"/>
  <c r="G15" i="16"/>
  <c r="H15" i="16"/>
  <c r="I15" i="16"/>
  <c r="L15" i="16"/>
  <c r="M15" i="16"/>
  <c r="N15" i="16"/>
  <c r="P15" i="16"/>
  <c r="Q15" i="16"/>
  <c r="R15" i="16"/>
  <c r="T15" i="16"/>
  <c r="U15" i="16"/>
  <c r="V15" i="16"/>
  <c r="X15" i="16"/>
  <c r="Y15" i="16"/>
  <c r="Z15" i="16"/>
  <c r="AB15" i="16"/>
  <c r="AC15" i="16"/>
  <c r="AD15" i="16"/>
  <c r="AE15" i="16"/>
  <c r="A16" i="16"/>
  <c r="B16" i="16" s="1"/>
  <c r="F16" i="16"/>
  <c r="G16" i="16"/>
  <c r="H16" i="16"/>
  <c r="I16" i="16"/>
  <c r="L16" i="16"/>
  <c r="M16" i="16"/>
  <c r="N16" i="16"/>
  <c r="P16" i="16"/>
  <c r="Q16" i="16"/>
  <c r="R16" i="16"/>
  <c r="T16" i="16"/>
  <c r="U16" i="16"/>
  <c r="V16" i="16"/>
  <c r="X16" i="16"/>
  <c r="Y16" i="16"/>
  <c r="Z16" i="16"/>
  <c r="AB16" i="16"/>
  <c r="AC16" i="16"/>
  <c r="AD16" i="16"/>
  <c r="AE16" i="16"/>
  <c r="A17" i="16"/>
  <c r="B17" i="16" s="1"/>
  <c r="F17" i="16"/>
  <c r="G17" i="16"/>
  <c r="H17" i="16"/>
  <c r="I17" i="16"/>
  <c r="L17" i="16"/>
  <c r="M17" i="16"/>
  <c r="N17" i="16"/>
  <c r="P17" i="16"/>
  <c r="Q17" i="16"/>
  <c r="R17" i="16"/>
  <c r="T17" i="16"/>
  <c r="U17" i="16"/>
  <c r="V17" i="16"/>
  <c r="X17" i="16"/>
  <c r="Y17" i="16"/>
  <c r="Z17" i="16"/>
  <c r="AB17" i="16"/>
  <c r="AC17" i="16"/>
  <c r="AD17" i="16"/>
  <c r="AE17" i="16"/>
  <c r="A18" i="16"/>
  <c r="B18" i="16" s="1"/>
  <c r="F18" i="16"/>
  <c r="G18" i="16"/>
  <c r="H18" i="16"/>
  <c r="I18" i="16"/>
  <c r="J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19" i="16"/>
  <c r="B19" i="16" s="1"/>
  <c r="F19" i="16"/>
  <c r="G19" i="16"/>
  <c r="H19" i="16"/>
  <c r="I19" i="16"/>
  <c r="L19" i="16"/>
  <c r="M19" i="16"/>
  <c r="N19" i="16"/>
  <c r="P19" i="16"/>
  <c r="Q19" i="16"/>
  <c r="R19" i="16"/>
  <c r="T19" i="16"/>
  <c r="U19" i="16"/>
  <c r="V19" i="16"/>
  <c r="X19" i="16"/>
  <c r="Y19" i="16"/>
  <c r="Z19" i="16"/>
  <c r="AB19" i="16"/>
  <c r="AC19" i="16"/>
  <c r="AD19" i="16"/>
  <c r="AE19" i="16"/>
  <c r="A20" i="16"/>
  <c r="B20" i="16" s="1"/>
  <c r="F20" i="16"/>
  <c r="G20" i="16"/>
  <c r="H20" i="16"/>
  <c r="I20" i="16"/>
  <c r="L20" i="16"/>
  <c r="M20" i="16"/>
  <c r="N20" i="16"/>
  <c r="P20" i="16"/>
  <c r="Q20" i="16"/>
  <c r="R20" i="16"/>
  <c r="T20" i="16"/>
  <c r="U20" i="16"/>
  <c r="V20" i="16"/>
  <c r="X20" i="16"/>
  <c r="Y20" i="16"/>
  <c r="Z20" i="16"/>
  <c r="AB20" i="16"/>
  <c r="AC20" i="16"/>
  <c r="AD20" i="16"/>
  <c r="AE20" i="16"/>
  <c r="A21" i="16"/>
  <c r="B21" i="16" s="1"/>
  <c r="F21" i="16"/>
  <c r="G21" i="16"/>
  <c r="H21" i="16"/>
  <c r="I21" i="16"/>
  <c r="L21" i="16"/>
  <c r="M21" i="16"/>
  <c r="N21" i="16"/>
  <c r="P21" i="16"/>
  <c r="Q21" i="16"/>
  <c r="R21" i="16"/>
  <c r="T21" i="16"/>
  <c r="U21" i="16"/>
  <c r="V21" i="16"/>
  <c r="X21" i="16"/>
  <c r="Y21" i="16"/>
  <c r="Z21" i="16"/>
  <c r="AB21" i="16"/>
  <c r="AC21" i="16"/>
  <c r="AD21" i="16"/>
  <c r="AE21" i="16"/>
  <c r="A22" i="16"/>
  <c r="B22" i="16" s="1"/>
  <c r="F22" i="16"/>
  <c r="G22" i="16"/>
  <c r="H22" i="16"/>
  <c r="I22" i="16"/>
  <c r="L22" i="16"/>
  <c r="M22" i="16"/>
  <c r="N22" i="16"/>
  <c r="P22" i="16"/>
  <c r="Q22" i="16"/>
  <c r="R22" i="16"/>
  <c r="T22" i="16"/>
  <c r="U22" i="16"/>
  <c r="V22" i="16"/>
  <c r="X22" i="16"/>
  <c r="Y22" i="16"/>
  <c r="Z22" i="16"/>
  <c r="AB22" i="16"/>
  <c r="AC22" i="16"/>
  <c r="AD22" i="16"/>
  <c r="AE22" i="16"/>
  <c r="A23" i="16"/>
  <c r="B23" i="16" s="1"/>
  <c r="F23" i="16"/>
  <c r="G23" i="16"/>
  <c r="H23" i="16"/>
  <c r="I23" i="16"/>
  <c r="L23" i="16"/>
  <c r="M23" i="16"/>
  <c r="N23" i="16"/>
  <c r="P23" i="16"/>
  <c r="Q23" i="16"/>
  <c r="R23" i="16"/>
  <c r="T23" i="16"/>
  <c r="U23" i="16"/>
  <c r="V23" i="16"/>
  <c r="X23" i="16"/>
  <c r="Y23" i="16"/>
  <c r="Z23" i="16"/>
  <c r="AB23" i="16"/>
  <c r="AC23" i="16"/>
  <c r="AD23" i="16"/>
  <c r="AE23" i="16"/>
  <c r="A24" i="16"/>
  <c r="B24" i="16" s="1"/>
  <c r="C24" i="16"/>
  <c r="F24" i="16"/>
  <c r="G24" i="16"/>
  <c r="H24" i="16"/>
  <c r="I24" i="16"/>
  <c r="L24" i="16"/>
  <c r="M24" i="16"/>
  <c r="N24" i="16"/>
  <c r="P24" i="16"/>
  <c r="Q24" i="16"/>
  <c r="R24" i="16"/>
  <c r="T24" i="16"/>
  <c r="U24" i="16"/>
  <c r="V24" i="16"/>
  <c r="X24" i="16"/>
  <c r="Y24" i="16"/>
  <c r="Z24" i="16"/>
  <c r="AB24" i="16"/>
  <c r="AC24" i="16"/>
  <c r="AD24" i="16"/>
  <c r="AE24" i="16"/>
  <c r="A25" i="16"/>
  <c r="B25" i="16" s="1"/>
  <c r="F25" i="16"/>
  <c r="G25" i="16"/>
  <c r="H25" i="16"/>
  <c r="I25" i="16"/>
  <c r="L25" i="16"/>
  <c r="M25" i="16"/>
  <c r="N25" i="16"/>
  <c r="P25" i="16"/>
  <c r="Q25" i="16"/>
  <c r="R25" i="16"/>
  <c r="T25" i="16"/>
  <c r="U25" i="16"/>
  <c r="V25" i="16"/>
  <c r="X25" i="16"/>
  <c r="Y25" i="16"/>
  <c r="Z25" i="16"/>
  <c r="AB25" i="16"/>
  <c r="AC25" i="16"/>
  <c r="AD25" i="16"/>
  <c r="AE25" i="16"/>
  <c r="A26" i="16"/>
  <c r="B26" i="16" s="1"/>
  <c r="F26" i="16"/>
  <c r="G26" i="16"/>
  <c r="H26" i="16"/>
  <c r="I26" i="16"/>
  <c r="L26" i="16"/>
  <c r="M26" i="16"/>
  <c r="N26" i="16"/>
  <c r="P26" i="16"/>
  <c r="Q26" i="16"/>
  <c r="R26" i="16"/>
  <c r="T26" i="16"/>
  <c r="U26" i="16"/>
  <c r="V26" i="16"/>
  <c r="X26" i="16"/>
  <c r="Y26" i="16"/>
  <c r="Z26" i="16"/>
  <c r="AB26" i="16"/>
  <c r="AC26" i="16"/>
  <c r="AD26" i="16"/>
  <c r="AE26" i="16"/>
  <c r="A27" i="16"/>
  <c r="B27" i="16" s="1"/>
  <c r="C27" i="16"/>
  <c r="F27" i="16"/>
  <c r="G27" i="16"/>
  <c r="H27" i="16"/>
  <c r="I27" i="16"/>
  <c r="L27" i="16"/>
  <c r="M27" i="16"/>
  <c r="N27" i="16"/>
  <c r="P27" i="16"/>
  <c r="Q27" i="16"/>
  <c r="R27" i="16"/>
  <c r="T27" i="16"/>
  <c r="U27" i="16"/>
  <c r="V27" i="16"/>
  <c r="X27" i="16"/>
  <c r="Y27" i="16"/>
  <c r="Z27" i="16"/>
  <c r="AB27" i="16"/>
  <c r="AC27" i="16"/>
  <c r="AD27" i="16"/>
  <c r="AE27" i="16"/>
  <c r="A28" i="16"/>
  <c r="B28" i="16" s="1"/>
  <c r="F28" i="16"/>
  <c r="G28" i="16"/>
  <c r="H28" i="16"/>
  <c r="I28" i="16"/>
  <c r="L28" i="16"/>
  <c r="M28" i="16"/>
  <c r="N28" i="16"/>
  <c r="P28" i="16"/>
  <c r="Q28" i="16"/>
  <c r="R28" i="16"/>
  <c r="T28" i="16"/>
  <c r="U28" i="16"/>
  <c r="V28" i="16"/>
  <c r="X28" i="16"/>
  <c r="Y28" i="16"/>
  <c r="Z28" i="16"/>
  <c r="AB28" i="16"/>
  <c r="AC28" i="16"/>
  <c r="AD28" i="16"/>
  <c r="AE28" i="16"/>
  <c r="A29" i="16"/>
  <c r="B29" i="16" s="1"/>
  <c r="F29" i="16"/>
  <c r="G29" i="16"/>
  <c r="H29" i="16"/>
  <c r="I29" i="16"/>
  <c r="L29" i="16"/>
  <c r="M29" i="16"/>
  <c r="N29" i="16"/>
  <c r="P29" i="16"/>
  <c r="Q29" i="16"/>
  <c r="R29" i="16"/>
  <c r="T29" i="16"/>
  <c r="U29" i="16"/>
  <c r="V29" i="16"/>
  <c r="X29" i="16"/>
  <c r="Y29" i="16"/>
  <c r="Z29" i="16"/>
  <c r="AB29" i="16"/>
  <c r="AC29" i="16"/>
  <c r="AD29" i="16"/>
  <c r="AE29" i="16"/>
  <c r="A30" i="16"/>
  <c r="B30" i="16" s="1"/>
  <c r="F30" i="16"/>
  <c r="G30" i="16"/>
  <c r="H30" i="16"/>
  <c r="I30" i="16"/>
  <c r="L30" i="16"/>
  <c r="M30" i="16"/>
  <c r="N30" i="16"/>
  <c r="P30" i="16"/>
  <c r="Q30" i="16"/>
  <c r="R30" i="16"/>
  <c r="T30" i="16"/>
  <c r="U30" i="16"/>
  <c r="V30" i="16"/>
  <c r="X30" i="16"/>
  <c r="Y30" i="16"/>
  <c r="Z30" i="16"/>
  <c r="AB30" i="16"/>
  <c r="AC30" i="16"/>
  <c r="AD30" i="16"/>
  <c r="AE30" i="16"/>
  <c r="A31" i="16"/>
  <c r="B31" i="16" s="1"/>
  <c r="F31" i="16"/>
  <c r="G31" i="16"/>
  <c r="H31" i="16"/>
  <c r="I31" i="16"/>
  <c r="L31" i="16"/>
  <c r="M31" i="16"/>
  <c r="N31" i="16"/>
  <c r="P31" i="16"/>
  <c r="Q31" i="16"/>
  <c r="R31" i="16"/>
  <c r="T31" i="16"/>
  <c r="U31" i="16"/>
  <c r="V31" i="16"/>
  <c r="X31" i="16"/>
  <c r="Y31" i="16"/>
  <c r="Z31" i="16"/>
  <c r="AB31" i="16"/>
  <c r="AC31" i="16"/>
  <c r="AD31" i="16"/>
  <c r="AE31" i="16"/>
  <c r="A32" i="16"/>
  <c r="D32" i="16" s="1"/>
  <c r="F32" i="16"/>
  <c r="G32" i="16"/>
  <c r="H32" i="16"/>
  <c r="I32" i="16"/>
  <c r="L32" i="16"/>
  <c r="M32" i="16"/>
  <c r="N32" i="16"/>
  <c r="P32" i="16"/>
  <c r="Q32" i="16"/>
  <c r="R32" i="16"/>
  <c r="T32" i="16"/>
  <c r="U32" i="16"/>
  <c r="V32" i="16"/>
  <c r="X32" i="16"/>
  <c r="Y32" i="16"/>
  <c r="Z32" i="16"/>
  <c r="AB32" i="16"/>
  <c r="AC32" i="16"/>
  <c r="AD32" i="16"/>
  <c r="AE32" i="16"/>
  <c r="A33" i="16"/>
  <c r="B33" i="16" s="1"/>
  <c r="F33" i="16"/>
  <c r="G33" i="16"/>
  <c r="H33" i="16"/>
  <c r="I33" i="16"/>
  <c r="L33" i="16"/>
  <c r="M33" i="16"/>
  <c r="N33" i="16"/>
  <c r="P33" i="16"/>
  <c r="Q33" i="16"/>
  <c r="R33" i="16"/>
  <c r="T33" i="16"/>
  <c r="U33" i="16"/>
  <c r="V33" i="16"/>
  <c r="X33" i="16"/>
  <c r="Y33" i="16"/>
  <c r="Z33" i="16"/>
  <c r="AB33" i="16"/>
  <c r="AC33" i="16"/>
  <c r="AD33" i="16"/>
  <c r="AE33" i="16"/>
  <c r="A34" i="16"/>
  <c r="B34" i="16" s="1"/>
  <c r="F34" i="16"/>
  <c r="G34" i="16"/>
  <c r="H34" i="16"/>
  <c r="I34" i="16"/>
  <c r="L34" i="16"/>
  <c r="M34" i="16"/>
  <c r="N34" i="16"/>
  <c r="P34" i="16"/>
  <c r="Q34" i="16"/>
  <c r="R34" i="16"/>
  <c r="T34" i="16"/>
  <c r="U34" i="16"/>
  <c r="V34" i="16"/>
  <c r="X34" i="16"/>
  <c r="Y34" i="16"/>
  <c r="Z34" i="16"/>
  <c r="AB34" i="16"/>
  <c r="AC34" i="16"/>
  <c r="AD34" i="16"/>
  <c r="AE34" i="16"/>
  <c r="A35" i="16"/>
  <c r="B35" i="16" s="1"/>
  <c r="C35" i="16"/>
  <c r="F35" i="16"/>
  <c r="G35" i="16"/>
  <c r="H35" i="16"/>
  <c r="I35" i="16"/>
  <c r="L35" i="16"/>
  <c r="M35" i="16"/>
  <c r="N35" i="16"/>
  <c r="P35" i="16"/>
  <c r="Q35" i="16"/>
  <c r="R35" i="16"/>
  <c r="T35" i="16"/>
  <c r="U35" i="16"/>
  <c r="V35" i="16"/>
  <c r="X35" i="16"/>
  <c r="Y35" i="16"/>
  <c r="Z35" i="16"/>
  <c r="AB35" i="16"/>
  <c r="AC35" i="16"/>
  <c r="AD35" i="16"/>
  <c r="AE35" i="16"/>
  <c r="A36" i="16"/>
  <c r="D36" i="16" s="1"/>
  <c r="F36" i="16"/>
  <c r="G36" i="16"/>
  <c r="H36" i="16"/>
  <c r="I36" i="16"/>
  <c r="L36" i="16"/>
  <c r="M36" i="16"/>
  <c r="N36" i="16"/>
  <c r="P36" i="16"/>
  <c r="Q36" i="16"/>
  <c r="R36" i="16"/>
  <c r="T36" i="16"/>
  <c r="U36" i="16"/>
  <c r="V36" i="16"/>
  <c r="X36" i="16"/>
  <c r="Y36" i="16"/>
  <c r="Z36" i="16"/>
  <c r="AB36" i="16"/>
  <c r="AC36" i="16"/>
  <c r="AD36" i="16"/>
  <c r="AE36" i="16"/>
  <c r="A37" i="16"/>
  <c r="B37" i="16" s="1"/>
  <c r="F37" i="16"/>
  <c r="G37" i="16"/>
  <c r="H37" i="16"/>
  <c r="I37" i="16"/>
  <c r="L37" i="16"/>
  <c r="M37" i="16"/>
  <c r="N37" i="16"/>
  <c r="P37" i="16"/>
  <c r="Q37" i="16"/>
  <c r="R37" i="16"/>
  <c r="T37" i="16"/>
  <c r="U37" i="16"/>
  <c r="V37" i="16"/>
  <c r="X37" i="16"/>
  <c r="Y37" i="16"/>
  <c r="Z37" i="16"/>
  <c r="AB37" i="16"/>
  <c r="AC37" i="16"/>
  <c r="AD37" i="16"/>
  <c r="AE37" i="16"/>
  <c r="A38" i="16"/>
  <c r="B38" i="16" s="1"/>
  <c r="F38" i="16"/>
  <c r="G38" i="16"/>
  <c r="H38" i="16"/>
  <c r="I38" i="16"/>
  <c r="L38" i="16"/>
  <c r="M38" i="16"/>
  <c r="N38" i="16"/>
  <c r="P38" i="16"/>
  <c r="Q38" i="16"/>
  <c r="R38" i="16"/>
  <c r="T38" i="16"/>
  <c r="U38" i="16"/>
  <c r="V38" i="16"/>
  <c r="X38" i="16"/>
  <c r="Y38" i="16"/>
  <c r="Z38" i="16"/>
  <c r="AB38" i="16"/>
  <c r="AC38" i="16"/>
  <c r="AD38" i="16"/>
  <c r="AE38" i="16"/>
  <c r="A39" i="16"/>
  <c r="B39" i="16" s="1"/>
  <c r="F39" i="16"/>
  <c r="G39" i="16"/>
  <c r="H39" i="16"/>
  <c r="I39" i="16"/>
  <c r="L39" i="16"/>
  <c r="M39" i="16"/>
  <c r="N39" i="16"/>
  <c r="P39" i="16"/>
  <c r="Q39" i="16"/>
  <c r="R39" i="16"/>
  <c r="T39" i="16"/>
  <c r="U39" i="16"/>
  <c r="V39" i="16"/>
  <c r="X39" i="16"/>
  <c r="Y39" i="16"/>
  <c r="Z39" i="16"/>
  <c r="AB39" i="16"/>
  <c r="AC39" i="16"/>
  <c r="AD39" i="16"/>
  <c r="AE39" i="16"/>
  <c r="A40" i="16"/>
  <c r="D40" i="16" s="1"/>
  <c r="F40" i="16"/>
  <c r="G40" i="16"/>
  <c r="H40" i="16"/>
  <c r="I40" i="16"/>
  <c r="L40" i="16"/>
  <c r="M40" i="16"/>
  <c r="N40" i="16"/>
  <c r="P40" i="16"/>
  <c r="Q40" i="16"/>
  <c r="R40" i="16"/>
  <c r="T40" i="16"/>
  <c r="U40" i="16"/>
  <c r="V40" i="16"/>
  <c r="X40" i="16"/>
  <c r="Y40" i="16"/>
  <c r="Z40" i="16"/>
  <c r="AB40" i="16"/>
  <c r="AC40" i="16"/>
  <c r="AD40" i="16"/>
  <c r="AE40" i="16"/>
  <c r="A41" i="16"/>
  <c r="B41" i="16" s="1"/>
  <c r="F41" i="16"/>
  <c r="G41" i="16"/>
  <c r="H41" i="16"/>
  <c r="I41" i="16"/>
  <c r="L41" i="16"/>
  <c r="M41" i="16"/>
  <c r="N41" i="16"/>
  <c r="P41" i="16"/>
  <c r="Q41" i="16"/>
  <c r="R41" i="16"/>
  <c r="T41" i="16"/>
  <c r="U41" i="16"/>
  <c r="V41" i="16"/>
  <c r="X41" i="16"/>
  <c r="Y41" i="16"/>
  <c r="Z41" i="16"/>
  <c r="AB41" i="16"/>
  <c r="AC41" i="16"/>
  <c r="AD41" i="16"/>
  <c r="AE41" i="16"/>
  <c r="A42" i="16"/>
  <c r="B42" i="16" s="1"/>
  <c r="F42" i="16"/>
  <c r="G42" i="16"/>
  <c r="H42" i="16"/>
  <c r="I42" i="16"/>
  <c r="L42" i="16"/>
  <c r="M42" i="16"/>
  <c r="N42" i="16"/>
  <c r="P42" i="16"/>
  <c r="Q42" i="16"/>
  <c r="R42" i="16"/>
  <c r="T42" i="16"/>
  <c r="U42" i="16"/>
  <c r="V42" i="16"/>
  <c r="X42" i="16"/>
  <c r="Y42" i="16"/>
  <c r="Z42" i="16"/>
  <c r="AB42" i="16"/>
  <c r="AC42" i="16"/>
  <c r="AD42" i="16"/>
  <c r="AE42" i="16"/>
  <c r="A43" i="16"/>
  <c r="B43" i="16" s="1"/>
  <c r="F43" i="16"/>
  <c r="G43" i="16"/>
  <c r="H43" i="16"/>
  <c r="I43" i="16"/>
  <c r="L43" i="16"/>
  <c r="M43" i="16"/>
  <c r="N43" i="16"/>
  <c r="P43" i="16"/>
  <c r="Q43" i="16"/>
  <c r="R43" i="16"/>
  <c r="T43" i="16"/>
  <c r="U43" i="16"/>
  <c r="V43" i="16"/>
  <c r="X43" i="16"/>
  <c r="Y43" i="16"/>
  <c r="Z43" i="16"/>
  <c r="AB43" i="16"/>
  <c r="AC43" i="16"/>
  <c r="AD43" i="16"/>
  <c r="AE43" i="16"/>
  <c r="A44" i="16"/>
  <c r="D44" i="16" s="1"/>
  <c r="E44" i="16"/>
  <c r="F44" i="16"/>
  <c r="G44" i="16"/>
  <c r="H44" i="16"/>
  <c r="I44" i="16"/>
  <c r="L44" i="16"/>
  <c r="M44" i="16"/>
  <c r="N44" i="16"/>
  <c r="P44" i="16"/>
  <c r="Q44" i="16"/>
  <c r="R44" i="16"/>
  <c r="T44" i="16"/>
  <c r="U44" i="16"/>
  <c r="V44" i="16"/>
  <c r="X44" i="16"/>
  <c r="Y44" i="16"/>
  <c r="Z44" i="16"/>
  <c r="AB44" i="16"/>
  <c r="AC44" i="16"/>
  <c r="AD44" i="16"/>
  <c r="AE44" i="16"/>
  <c r="A45" i="16"/>
  <c r="B45" i="16" s="1"/>
  <c r="F45" i="16"/>
  <c r="G45" i="16"/>
  <c r="H45" i="16"/>
  <c r="I45" i="16"/>
  <c r="L45" i="16"/>
  <c r="M45" i="16"/>
  <c r="N45" i="16"/>
  <c r="P45" i="16"/>
  <c r="Q45" i="16"/>
  <c r="R45" i="16"/>
  <c r="T45" i="16"/>
  <c r="U45" i="16"/>
  <c r="V45" i="16"/>
  <c r="X45" i="16"/>
  <c r="Y45" i="16"/>
  <c r="Z45" i="16"/>
  <c r="AB45" i="16"/>
  <c r="AC45" i="16"/>
  <c r="AD45" i="16"/>
  <c r="AE45" i="16"/>
  <c r="A46" i="16"/>
  <c r="B46" i="16" s="1"/>
  <c r="F46" i="16"/>
  <c r="G46" i="16"/>
  <c r="H46" i="16"/>
  <c r="I46" i="16"/>
  <c r="L46" i="16"/>
  <c r="M46" i="16"/>
  <c r="N46" i="16"/>
  <c r="P46" i="16"/>
  <c r="Q46" i="16"/>
  <c r="R46" i="16"/>
  <c r="T46" i="16"/>
  <c r="U46" i="16"/>
  <c r="V46" i="16"/>
  <c r="X46" i="16"/>
  <c r="Y46" i="16"/>
  <c r="Z46" i="16"/>
  <c r="AB46" i="16"/>
  <c r="AC46" i="16"/>
  <c r="AD46" i="16"/>
  <c r="AE46" i="16"/>
  <c r="A47" i="16"/>
  <c r="B47" i="16" s="1"/>
  <c r="F47" i="16"/>
  <c r="G47" i="16"/>
  <c r="H47" i="16"/>
  <c r="I47" i="16"/>
  <c r="L47" i="16"/>
  <c r="M47" i="16"/>
  <c r="N47" i="16"/>
  <c r="P47" i="16"/>
  <c r="Q47" i="16"/>
  <c r="R47" i="16"/>
  <c r="T47" i="16"/>
  <c r="U47" i="16"/>
  <c r="V47" i="16"/>
  <c r="X47" i="16"/>
  <c r="Y47" i="16"/>
  <c r="Z47" i="16"/>
  <c r="AB47" i="16"/>
  <c r="AC47" i="16"/>
  <c r="AD47" i="16"/>
  <c r="AE47" i="16"/>
  <c r="A48" i="16"/>
  <c r="D48" i="16" s="1"/>
  <c r="F48" i="16"/>
  <c r="G48" i="16"/>
  <c r="H48" i="16"/>
  <c r="I48" i="16"/>
  <c r="L48" i="16"/>
  <c r="M48" i="16"/>
  <c r="N48" i="16"/>
  <c r="P48" i="16"/>
  <c r="Q48" i="16"/>
  <c r="R48" i="16"/>
  <c r="T48" i="16"/>
  <c r="U48" i="16"/>
  <c r="V48" i="16"/>
  <c r="X48" i="16"/>
  <c r="Y48" i="16"/>
  <c r="Z48" i="16"/>
  <c r="AB48" i="16"/>
  <c r="AC48" i="16"/>
  <c r="AD48" i="16"/>
  <c r="AE48" i="16"/>
  <c r="A49" i="16"/>
  <c r="B49" i="16" s="1"/>
  <c r="E49" i="16"/>
  <c r="F49" i="16"/>
  <c r="G49" i="16"/>
  <c r="H49" i="16"/>
  <c r="I49" i="16"/>
  <c r="L49" i="16"/>
  <c r="M49" i="16"/>
  <c r="N49" i="16"/>
  <c r="P49" i="16"/>
  <c r="Q49" i="16"/>
  <c r="R49" i="16"/>
  <c r="T49" i="16"/>
  <c r="U49" i="16"/>
  <c r="V49" i="16"/>
  <c r="X49" i="16"/>
  <c r="Y49" i="16"/>
  <c r="Z49" i="16"/>
  <c r="AB49" i="16"/>
  <c r="AC49" i="16"/>
  <c r="AD49" i="16"/>
  <c r="AE49" i="16"/>
  <c r="A51" i="16"/>
  <c r="B51" i="16" s="1"/>
  <c r="F51" i="16"/>
  <c r="G51" i="16"/>
  <c r="H51" i="16"/>
  <c r="I51" i="16"/>
  <c r="L51" i="16"/>
  <c r="M51" i="16"/>
  <c r="N51" i="16"/>
  <c r="P51" i="16"/>
  <c r="Q51" i="16"/>
  <c r="R51" i="16"/>
  <c r="T51" i="16"/>
  <c r="U51" i="16"/>
  <c r="V51" i="16"/>
  <c r="X51" i="16"/>
  <c r="Y51" i="16"/>
  <c r="Z51" i="16"/>
  <c r="AB51" i="16"/>
  <c r="AC51" i="16"/>
  <c r="AD51" i="16"/>
  <c r="AE51" i="16"/>
  <c r="A73" i="16"/>
  <c r="B73" i="16" s="1"/>
  <c r="F73" i="16"/>
  <c r="G73" i="16"/>
  <c r="H73" i="16"/>
  <c r="I73" i="16"/>
  <c r="L73" i="16"/>
  <c r="M73" i="16"/>
  <c r="N73" i="16"/>
  <c r="P73" i="16"/>
  <c r="Q73" i="16"/>
  <c r="R73" i="16"/>
  <c r="T73" i="16"/>
  <c r="U73" i="16"/>
  <c r="V73" i="16"/>
  <c r="X73" i="16"/>
  <c r="Y73" i="16"/>
  <c r="Z73" i="16"/>
  <c r="AB73" i="16"/>
  <c r="AC73" i="16"/>
  <c r="AD73" i="16"/>
  <c r="AE73" i="16"/>
  <c r="A96" i="16"/>
  <c r="D96" i="16" s="1"/>
  <c r="F96" i="16"/>
  <c r="G96" i="16"/>
  <c r="H96" i="16"/>
  <c r="I96" i="16"/>
  <c r="L96" i="16"/>
  <c r="M96" i="16"/>
  <c r="N96" i="16"/>
  <c r="P96" i="16"/>
  <c r="Q96" i="16"/>
  <c r="R96" i="16"/>
  <c r="T96" i="16"/>
  <c r="U96" i="16"/>
  <c r="V96" i="16"/>
  <c r="X96" i="16"/>
  <c r="Y96" i="16"/>
  <c r="Z96" i="16"/>
  <c r="AB96" i="16"/>
  <c r="AC96" i="16"/>
  <c r="AD96" i="16"/>
  <c r="AE96" i="16"/>
  <c r="A52" i="16"/>
  <c r="B52" i="16" s="1"/>
  <c r="F52" i="16"/>
  <c r="G52" i="16"/>
  <c r="H52" i="16"/>
  <c r="I52" i="16"/>
  <c r="L52" i="16"/>
  <c r="M52" i="16"/>
  <c r="N52" i="16"/>
  <c r="P52" i="16"/>
  <c r="Q52" i="16"/>
  <c r="R52" i="16"/>
  <c r="T52" i="16"/>
  <c r="U52" i="16"/>
  <c r="V52" i="16"/>
  <c r="X52" i="16"/>
  <c r="Y52" i="16"/>
  <c r="Z52" i="16"/>
  <c r="AB52" i="16"/>
  <c r="AC52" i="16"/>
  <c r="AD52" i="16"/>
  <c r="AE52" i="16"/>
  <c r="A74" i="16"/>
  <c r="B74" i="16" s="1"/>
  <c r="F74" i="16"/>
  <c r="G74" i="16"/>
  <c r="H74" i="16"/>
  <c r="I74" i="16"/>
  <c r="L74" i="16"/>
  <c r="M74" i="16"/>
  <c r="N74" i="16"/>
  <c r="P74" i="16"/>
  <c r="Q74" i="16"/>
  <c r="R74" i="16"/>
  <c r="T74" i="16"/>
  <c r="U74" i="16"/>
  <c r="V74" i="16"/>
  <c r="X74" i="16"/>
  <c r="Y74" i="16"/>
  <c r="Z74" i="16"/>
  <c r="AB74" i="16"/>
  <c r="AC74" i="16"/>
  <c r="AD74" i="16"/>
  <c r="AE74" i="16"/>
  <c r="A76" i="16"/>
  <c r="B76" i="16" s="1"/>
  <c r="F76" i="16"/>
  <c r="G76" i="16"/>
  <c r="H76" i="16"/>
  <c r="I76" i="16"/>
  <c r="L76" i="16"/>
  <c r="M76" i="16"/>
  <c r="N76" i="16"/>
  <c r="P76" i="16"/>
  <c r="Q76" i="16"/>
  <c r="R76" i="16"/>
  <c r="T76" i="16"/>
  <c r="U76" i="16"/>
  <c r="V76" i="16"/>
  <c r="X76" i="16"/>
  <c r="Y76" i="16"/>
  <c r="Z76" i="16"/>
  <c r="AB76" i="16"/>
  <c r="AC76" i="16"/>
  <c r="AD76" i="16"/>
  <c r="AE76" i="16"/>
  <c r="A53" i="16"/>
  <c r="D53" i="16" s="1"/>
  <c r="F53" i="16"/>
  <c r="G53" i="16"/>
  <c r="H53" i="16"/>
  <c r="I53" i="16"/>
  <c r="L53" i="16"/>
  <c r="M53" i="16"/>
  <c r="N53" i="16"/>
  <c r="P53" i="16"/>
  <c r="Q53" i="16"/>
  <c r="R53" i="16"/>
  <c r="T53" i="16"/>
  <c r="U53" i="16"/>
  <c r="V53" i="16"/>
  <c r="X53" i="16"/>
  <c r="Y53" i="16"/>
  <c r="Z53" i="16"/>
  <c r="AB53" i="16"/>
  <c r="AC53" i="16"/>
  <c r="AD53" i="16"/>
  <c r="AE53" i="16"/>
  <c r="A75" i="16"/>
  <c r="B75" i="16" s="1"/>
  <c r="F75" i="16"/>
  <c r="G75" i="16"/>
  <c r="H75" i="16"/>
  <c r="I75" i="16"/>
  <c r="L75" i="16"/>
  <c r="M75" i="16"/>
  <c r="N75" i="16"/>
  <c r="P75" i="16"/>
  <c r="Q75" i="16"/>
  <c r="R75" i="16"/>
  <c r="T75" i="16"/>
  <c r="U75" i="16"/>
  <c r="V75" i="16"/>
  <c r="X75" i="16"/>
  <c r="Y75" i="16"/>
  <c r="Z75" i="16"/>
  <c r="AB75" i="16"/>
  <c r="AC75" i="16"/>
  <c r="AD75" i="16"/>
  <c r="AE75" i="16"/>
  <c r="A77" i="16"/>
  <c r="B77" i="16" s="1"/>
  <c r="F77" i="16"/>
  <c r="G77" i="16"/>
  <c r="H77" i="16"/>
  <c r="I77" i="16"/>
  <c r="L77" i="16"/>
  <c r="M77" i="16"/>
  <c r="N77" i="16"/>
  <c r="P77" i="16"/>
  <c r="Q77" i="16"/>
  <c r="R77" i="16"/>
  <c r="T77" i="16"/>
  <c r="U77" i="16"/>
  <c r="V77" i="16"/>
  <c r="X77" i="16"/>
  <c r="Y77" i="16"/>
  <c r="Z77" i="16"/>
  <c r="AB77" i="16"/>
  <c r="AC77" i="16"/>
  <c r="AD77" i="16"/>
  <c r="AE77" i="16"/>
  <c r="A65" i="16"/>
  <c r="B65" i="16" s="1"/>
  <c r="F65" i="16"/>
  <c r="G65" i="16"/>
  <c r="H65" i="16"/>
  <c r="I65" i="16"/>
  <c r="L65" i="16"/>
  <c r="M65" i="16"/>
  <c r="N65" i="16"/>
  <c r="P65" i="16"/>
  <c r="Q65" i="16"/>
  <c r="R65" i="16"/>
  <c r="T65" i="16"/>
  <c r="U65" i="16"/>
  <c r="V65" i="16"/>
  <c r="X65" i="16"/>
  <c r="Y65" i="16"/>
  <c r="Z65" i="16"/>
  <c r="AB65" i="16"/>
  <c r="AC65" i="16"/>
  <c r="AD65" i="16"/>
  <c r="AE65" i="16"/>
  <c r="A78" i="16"/>
  <c r="D78" i="16" s="1"/>
  <c r="F78" i="16"/>
  <c r="G78" i="16"/>
  <c r="H78" i="16"/>
  <c r="I78" i="16"/>
  <c r="L78" i="16"/>
  <c r="M78" i="16"/>
  <c r="N78" i="16"/>
  <c r="P78" i="16"/>
  <c r="Q78" i="16"/>
  <c r="R78" i="16"/>
  <c r="T78" i="16"/>
  <c r="U78" i="16"/>
  <c r="V78" i="16"/>
  <c r="X78" i="16"/>
  <c r="Y78" i="16"/>
  <c r="Z78" i="16"/>
  <c r="AB78" i="16"/>
  <c r="AC78" i="16"/>
  <c r="AD78" i="16"/>
  <c r="AE78" i="16"/>
  <c r="A54" i="16"/>
  <c r="B54" i="16" s="1"/>
  <c r="F54" i="16"/>
  <c r="G54" i="16"/>
  <c r="H54" i="16"/>
  <c r="I54" i="16"/>
  <c r="L54" i="16"/>
  <c r="M54" i="16"/>
  <c r="N54" i="16"/>
  <c r="P54" i="16"/>
  <c r="Q54" i="16"/>
  <c r="R54" i="16"/>
  <c r="T54" i="16"/>
  <c r="U54" i="16"/>
  <c r="V54" i="16"/>
  <c r="X54" i="16"/>
  <c r="Y54" i="16"/>
  <c r="Z54" i="16"/>
  <c r="AB54" i="16"/>
  <c r="AC54" i="16"/>
  <c r="AD54" i="16"/>
  <c r="AE54" i="16"/>
  <c r="A79" i="16"/>
  <c r="B79" i="16" s="1"/>
  <c r="F79" i="16"/>
  <c r="G79" i="16"/>
  <c r="H79" i="16"/>
  <c r="I79" i="16"/>
  <c r="L79" i="16"/>
  <c r="M79" i="16"/>
  <c r="N79" i="16"/>
  <c r="P79" i="16"/>
  <c r="Q79" i="16"/>
  <c r="R79" i="16"/>
  <c r="T79" i="16"/>
  <c r="U79" i="16"/>
  <c r="V79" i="16"/>
  <c r="X79" i="16"/>
  <c r="Y79" i="16"/>
  <c r="Z79" i="16"/>
  <c r="AB79" i="16"/>
  <c r="AC79" i="16"/>
  <c r="AD79" i="16"/>
  <c r="AE79" i="16"/>
  <c r="A55" i="16"/>
  <c r="B55" i="16" s="1"/>
  <c r="F55" i="16"/>
  <c r="G55" i="16"/>
  <c r="H55" i="16"/>
  <c r="I55" i="16"/>
  <c r="L55" i="16"/>
  <c r="M55" i="16"/>
  <c r="N55" i="16"/>
  <c r="P55" i="16"/>
  <c r="Q55" i="16"/>
  <c r="R55" i="16"/>
  <c r="T55" i="16"/>
  <c r="U55" i="16"/>
  <c r="V55" i="16"/>
  <c r="X55" i="16"/>
  <c r="Y55" i="16"/>
  <c r="Z55" i="16"/>
  <c r="AB55" i="16"/>
  <c r="AC55" i="16"/>
  <c r="AD55" i="16"/>
  <c r="AE55" i="16"/>
  <c r="A80" i="16"/>
  <c r="D80" i="16" s="1"/>
  <c r="F80" i="16"/>
  <c r="G80" i="16"/>
  <c r="H80" i="16"/>
  <c r="I80" i="16"/>
  <c r="L80" i="16"/>
  <c r="M80" i="16"/>
  <c r="N80" i="16"/>
  <c r="P80" i="16"/>
  <c r="Q80" i="16"/>
  <c r="R80" i="16"/>
  <c r="T80" i="16"/>
  <c r="U80" i="16"/>
  <c r="V80" i="16"/>
  <c r="X80" i="16"/>
  <c r="Y80" i="16"/>
  <c r="Z80" i="16"/>
  <c r="AB80" i="16"/>
  <c r="AC80" i="16"/>
  <c r="AD80" i="16"/>
  <c r="AE80" i="16"/>
  <c r="A66" i="16"/>
  <c r="B66" i="16" s="1"/>
  <c r="F66" i="16"/>
  <c r="G66" i="16"/>
  <c r="H66" i="16"/>
  <c r="I66" i="16"/>
  <c r="L66" i="16"/>
  <c r="M66" i="16"/>
  <c r="N66" i="16"/>
  <c r="P66" i="16"/>
  <c r="Q66" i="16"/>
  <c r="R66" i="16"/>
  <c r="T66" i="16"/>
  <c r="U66" i="16"/>
  <c r="V66" i="16"/>
  <c r="X66" i="16"/>
  <c r="Y66" i="16"/>
  <c r="Z66" i="16"/>
  <c r="AB66" i="16"/>
  <c r="AC66" i="16"/>
  <c r="AD66" i="16"/>
  <c r="AE66" i="16"/>
  <c r="A81" i="16"/>
  <c r="B81" i="16" s="1"/>
  <c r="F81" i="16"/>
  <c r="G81" i="16"/>
  <c r="H81" i="16"/>
  <c r="I81" i="16"/>
  <c r="L81" i="16"/>
  <c r="M81" i="16"/>
  <c r="N81" i="16"/>
  <c r="P81" i="16"/>
  <c r="Q81" i="16"/>
  <c r="R81" i="16"/>
  <c r="T81" i="16"/>
  <c r="U81" i="16"/>
  <c r="V81" i="16"/>
  <c r="X81" i="16"/>
  <c r="Y81" i="16"/>
  <c r="Z81" i="16"/>
  <c r="AB81" i="16"/>
  <c r="AC81" i="16"/>
  <c r="AD81" i="16"/>
  <c r="AE81" i="16"/>
  <c r="A67" i="16"/>
  <c r="B67" i="16" s="1"/>
  <c r="F67" i="16"/>
  <c r="G67" i="16"/>
  <c r="H67" i="16"/>
  <c r="I67" i="16"/>
  <c r="L67" i="16"/>
  <c r="M67" i="16"/>
  <c r="N67" i="16"/>
  <c r="P67" i="16"/>
  <c r="Q67" i="16"/>
  <c r="R67" i="16"/>
  <c r="T67" i="16"/>
  <c r="U67" i="16"/>
  <c r="V67" i="16"/>
  <c r="X67" i="16"/>
  <c r="Y67" i="16"/>
  <c r="Z67" i="16"/>
  <c r="AB67" i="16"/>
  <c r="AC67" i="16"/>
  <c r="AD67" i="16"/>
  <c r="AE67" i="16"/>
  <c r="A82" i="16"/>
  <c r="D82" i="16" s="1"/>
  <c r="F82" i="16"/>
  <c r="G82" i="16"/>
  <c r="H82" i="16"/>
  <c r="I82" i="16"/>
  <c r="L82" i="16"/>
  <c r="M82" i="16"/>
  <c r="N82" i="16"/>
  <c r="P82" i="16"/>
  <c r="Q82" i="16"/>
  <c r="R82" i="16"/>
  <c r="T82" i="16"/>
  <c r="U82" i="16"/>
  <c r="V82" i="16"/>
  <c r="X82" i="16"/>
  <c r="Y82" i="16"/>
  <c r="Z82" i="16"/>
  <c r="AB82" i="16"/>
  <c r="AC82" i="16"/>
  <c r="AD82" i="16"/>
  <c r="AE82" i="16"/>
  <c r="A56" i="16"/>
  <c r="B56" i="16" s="1"/>
  <c r="F56" i="16"/>
  <c r="G56" i="16"/>
  <c r="H56" i="16"/>
  <c r="I56" i="16"/>
  <c r="L56" i="16"/>
  <c r="M56" i="16"/>
  <c r="N56" i="16"/>
  <c r="P56" i="16"/>
  <c r="Q56" i="16"/>
  <c r="R56" i="16"/>
  <c r="T56" i="16"/>
  <c r="U56" i="16"/>
  <c r="V56" i="16"/>
  <c r="X56" i="16"/>
  <c r="Y56" i="16"/>
  <c r="Z56" i="16"/>
  <c r="AB56" i="16"/>
  <c r="AC56" i="16"/>
  <c r="AD56" i="16"/>
  <c r="AE56" i="16"/>
  <c r="A83" i="16"/>
  <c r="B83" i="16" s="1"/>
  <c r="F83" i="16"/>
  <c r="G83" i="16"/>
  <c r="H83" i="16"/>
  <c r="I83" i="16"/>
  <c r="L83" i="16"/>
  <c r="M83" i="16"/>
  <c r="N83" i="16"/>
  <c r="P83" i="16"/>
  <c r="Q83" i="16"/>
  <c r="R83" i="16"/>
  <c r="T83" i="16"/>
  <c r="U83" i="16"/>
  <c r="V83" i="16"/>
  <c r="X83" i="16"/>
  <c r="Y83" i="16"/>
  <c r="Z83" i="16"/>
  <c r="AB83" i="16"/>
  <c r="AC83" i="16"/>
  <c r="AD83" i="16"/>
  <c r="AE83" i="16"/>
  <c r="A57" i="16"/>
  <c r="B57" i="16" s="1"/>
  <c r="F57" i="16"/>
  <c r="G57" i="16"/>
  <c r="H57" i="16"/>
  <c r="I57" i="16"/>
  <c r="L57" i="16"/>
  <c r="M57" i="16"/>
  <c r="N57" i="16"/>
  <c r="P57" i="16"/>
  <c r="Q57" i="16"/>
  <c r="R57" i="16"/>
  <c r="T57" i="16"/>
  <c r="U57" i="16"/>
  <c r="V57" i="16"/>
  <c r="X57" i="16"/>
  <c r="Y57" i="16"/>
  <c r="Z57" i="16"/>
  <c r="AB57" i="16"/>
  <c r="AC57" i="16"/>
  <c r="AD57" i="16"/>
  <c r="AE57" i="16"/>
  <c r="A93" i="16"/>
  <c r="D93" i="16" s="1"/>
  <c r="F93" i="16"/>
  <c r="G93" i="16"/>
  <c r="H93" i="16"/>
  <c r="I93" i="16"/>
  <c r="L93" i="16"/>
  <c r="M93" i="16"/>
  <c r="N93" i="16"/>
  <c r="P93" i="16"/>
  <c r="Q93" i="16"/>
  <c r="R93" i="16"/>
  <c r="T93" i="16"/>
  <c r="U93" i="16"/>
  <c r="V93" i="16"/>
  <c r="X93" i="16"/>
  <c r="Y93" i="16"/>
  <c r="Z93" i="16"/>
  <c r="AB93" i="16"/>
  <c r="AC93" i="16"/>
  <c r="AD93" i="16"/>
  <c r="AE93" i="16"/>
  <c r="A58" i="16"/>
  <c r="B58" i="16" s="1"/>
  <c r="F58" i="16"/>
  <c r="G58" i="16"/>
  <c r="H58" i="16"/>
  <c r="I58" i="16"/>
  <c r="L58" i="16"/>
  <c r="M58" i="16"/>
  <c r="N58" i="16"/>
  <c r="P58" i="16"/>
  <c r="Q58" i="16"/>
  <c r="R58" i="16"/>
  <c r="T58" i="16"/>
  <c r="U58" i="16"/>
  <c r="V58" i="16"/>
  <c r="X58" i="16"/>
  <c r="Y58" i="16"/>
  <c r="Z58" i="16"/>
  <c r="AB58" i="16"/>
  <c r="AC58" i="16"/>
  <c r="AD58" i="16"/>
  <c r="AE58" i="16"/>
  <c r="A84" i="16"/>
  <c r="B84" i="16" s="1"/>
  <c r="F84" i="16"/>
  <c r="G84" i="16"/>
  <c r="H84" i="16"/>
  <c r="I84" i="16"/>
  <c r="L84" i="16"/>
  <c r="M84" i="16"/>
  <c r="N84" i="16"/>
  <c r="P84" i="16"/>
  <c r="Q84" i="16"/>
  <c r="R84" i="16"/>
  <c r="T84" i="16"/>
  <c r="U84" i="16"/>
  <c r="V84" i="16"/>
  <c r="X84" i="16"/>
  <c r="Y84" i="16"/>
  <c r="Z84" i="16"/>
  <c r="AB84" i="16"/>
  <c r="AC84" i="16"/>
  <c r="AD84" i="16"/>
  <c r="AE84" i="16"/>
  <c r="A68" i="16"/>
  <c r="B68" i="16" s="1"/>
  <c r="F68" i="16"/>
  <c r="G68" i="16"/>
  <c r="H68" i="16"/>
  <c r="I68" i="16"/>
  <c r="L68" i="16"/>
  <c r="M68" i="16"/>
  <c r="N68" i="16"/>
  <c r="P68" i="16"/>
  <c r="Q68" i="16"/>
  <c r="R68" i="16"/>
  <c r="T68" i="16"/>
  <c r="U68" i="16"/>
  <c r="V68" i="16"/>
  <c r="X68" i="16"/>
  <c r="Y68" i="16"/>
  <c r="Z68" i="16"/>
  <c r="AB68" i="16"/>
  <c r="AC68" i="16"/>
  <c r="AD68" i="16"/>
  <c r="AE68" i="16"/>
  <c r="A89" i="16"/>
  <c r="D89" i="16" s="1"/>
  <c r="E89" i="16"/>
  <c r="F89" i="16"/>
  <c r="G89" i="16"/>
  <c r="H89" i="16"/>
  <c r="I89" i="16"/>
  <c r="L89" i="16"/>
  <c r="M89" i="16"/>
  <c r="N89" i="16"/>
  <c r="P89" i="16"/>
  <c r="Q89" i="16"/>
  <c r="R89" i="16"/>
  <c r="T89" i="16"/>
  <c r="U89" i="16"/>
  <c r="V89" i="16"/>
  <c r="X89" i="16"/>
  <c r="Y89" i="16"/>
  <c r="Z89" i="16"/>
  <c r="AB89" i="16"/>
  <c r="AC89" i="16"/>
  <c r="AD89" i="16"/>
  <c r="AE89" i="16"/>
  <c r="A59" i="16"/>
  <c r="B59" i="16" s="1"/>
  <c r="F59" i="16"/>
  <c r="G59" i="16"/>
  <c r="H59" i="16"/>
  <c r="I59" i="16"/>
  <c r="L59" i="16"/>
  <c r="M59" i="16"/>
  <c r="N59" i="16"/>
  <c r="P59" i="16"/>
  <c r="Q59" i="16"/>
  <c r="R59" i="16"/>
  <c r="T59" i="16"/>
  <c r="U59" i="16"/>
  <c r="V59" i="16"/>
  <c r="X59" i="16"/>
  <c r="Y59" i="16"/>
  <c r="Z59" i="16"/>
  <c r="AB59" i="16"/>
  <c r="AC59" i="16"/>
  <c r="AD59" i="16"/>
  <c r="AE59" i="16"/>
  <c r="A94" i="16"/>
  <c r="B94" i="16" s="1"/>
  <c r="F94" i="16"/>
  <c r="G94" i="16"/>
  <c r="H94" i="16"/>
  <c r="I94" i="16"/>
  <c r="L94" i="16"/>
  <c r="M94" i="16"/>
  <c r="N94" i="16"/>
  <c r="P94" i="16"/>
  <c r="Q94" i="16"/>
  <c r="R94" i="16"/>
  <c r="T94" i="16"/>
  <c r="U94" i="16"/>
  <c r="V94" i="16"/>
  <c r="X94" i="16"/>
  <c r="Y94" i="16"/>
  <c r="Z94" i="16"/>
  <c r="AB94" i="16"/>
  <c r="AC94" i="16"/>
  <c r="AD94" i="16"/>
  <c r="AE94" i="16"/>
  <c r="A60" i="16"/>
  <c r="B60" i="16" s="1"/>
  <c r="F60" i="16"/>
  <c r="G60" i="16"/>
  <c r="H60" i="16"/>
  <c r="I60" i="16"/>
  <c r="L60" i="16"/>
  <c r="M60" i="16"/>
  <c r="N60" i="16"/>
  <c r="P60" i="16"/>
  <c r="Q60" i="16"/>
  <c r="R60" i="16"/>
  <c r="T60" i="16"/>
  <c r="U60" i="16"/>
  <c r="V60" i="16"/>
  <c r="X60" i="16"/>
  <c r="Y60" i="16"/>
  <c r="Z60" i="16"/>
  <c r="AB60" i="16"/>
  <c r="AC60" i="16"/>
  <c r="AD60" i="16"/>
  <c r="AE60" i="16"/>
  <c r="A61" i="16"/>
  <c r="D61" i="16" s="1"/>
  <c r="F61" i="16"/>
  <c r="G61" i="16"/>
  <c r="H61" i="16"/>
  <c r="I61" i="16"/>
  <c r="L61" i="16"/>
  <c r="M61" i="16"/>
  <c r="N61" i="16"/>
  <c r="P61" i="16"/>
  <c r="Q61" i="16"/>
  <c r="R61" i="16"/>
  <c r="T61" i="16"/>
  <c r="U61" i="16"/>
  <c r="V61" i="16"/>
  <c r="X61" i="16"/>
  <c r="Y61" i="16"/>
  <c r="Z61" i="16"/>
  <c r="AB61" i="16"/>
  <c r="AC61" i="16"/>
  <c r="AD61" i="16"/>
  <c r="AE61" i="16"/>
  <c r="A85" i="16"/>
  <c r="B85" i="16" s="1"/>
  <c r="F85" i="16"/>
  <c r="G85" i="16"/>
  <c r="H85" i="16"/>
  <c r="I85" i="16"/>
  <c r="L85" i="16"/>
  <c r="M85" i="16"/>
  <c r="N85" i="16"/>
  <c r="P85" i="16"/>
  <c r="Q85" i="16"/>
  <c r="R85" i="16"/>
  <c r="T85" i="16"/>
  <c r="U85" i="16"/>
  <c r="V85" i="16"/>
  <c r="X85" i="16"/>
  <c r="Y85" i="16"/>
  <c r="Z85" i="16"/>
  <c r="AB85" i="16"/>
  <c r="AC85" i="16"/>
  <c r="AD85" i="16"/>
  <c r="AE85" i="16"/>
  <c r="A62" i="16"/>
  <c r="B62" i="16" s="1"/>
  <c r="F62" i="16"/>
  <c r="G62" i="16"/>
  <c r="H62" i="16"/>
  <c r="I62" i="16"/>
  <c r="L62" i="16"/>
  <c r="M62" i="16"/>
  <c r="N62" i="16"/>
  <c r="P62" i="16"/>
  <c r="Q62" i="16"/>
  <c r="R62" i="16"/>
  <c r="T62" i="16"/>
  <c r="U62" i="16"/>
  <c r="V62" i="16"/>
  <c r="X62" i="16"/>
  <c r="Y62" i="16"/>
  <c r="Z62" i="16"/>
  <c r="AB62" i="16"/>
  <c r="AC62" i="16"/>
  <c r="AD62" i="16"/>
  <c r="AE62" i="16"/>
  <c r="A86" i="16"/>
  <c r="B86" i="16" s="1"/>
  <c r="F86" i="16"/>
  <c r="G86" i="16"/>
  <c r="H86" i="16"/>
  <c r="I86" i="16"/>
  <c r="L86" i="16"/>
  <c r="M86" i="16"/>
  <c r="N86" i="16"/>
  <c r="P86" i="16"/>
  <c r="Q86" i="16"/>
  <c r="R86" i="16"/>
  <c r="T86" i="16"/>
  <c r="U86" i="16"/>
  <c r="V86" i="16"/>
  <c r="X86" i="16"/>
  <c r="Y86" i="16"/>
  <c r="Z86" i="16"/>
  <c r="AB86" i="16"/>
  <c r="AC86" i="16"/>
  <c r="AD86" i="16"/>
  <c r="AE86" i="16"/>
  <c r="A69" i="16"/>
  <c r="D69" i="16" s="1"/>
  <c r="F69" i="16"/>
  <c r="G69" i="16"/>
  <c r="H69" i="16"/>
  <c r="I69" i="16"/>
  <c r="L69" i="16"/>
  <c r="M69" i="16"/>
  <c r="N69" i="16"/>
  <c r="P69" i="16"/>
  <c r="Q69" i="16"/>
  <c r="R69" i="16"/>
  <c r="T69" i="16"/>
  <c r="U69" i="16"/>
  <c r="V69" i="16"/>
  <c r="X69" i="16"/>
  <c r="Y69" i="16"/>
  <c r="Z69" i="16"/>
  <c r="AB69" i="16"/>
  <c r="AC69" i="16"/>
  <c r="AD69" i="16"/>
  <c r="AE69" i="16"/>
  <c r="A90" i="16"/>
  <c r="B90" i="16" s="1"/>
  <c r="F90" i="16"/>
  <c r="G90" i="16"/>
  <c r="H90" i="16"/>
  <c r="I90" i="16"/>
  <c r="L90" i="16"/>
  <c r="M90" i="16"/>
  <c r="N90" i="16"/>
  <c r="P90" i="16"/>
  <c r="Q90" i="16"/>
  <c r="R90" i="16"/>
  <c r="T90" i="16"/>
  <c r="U90" i="16"/>
  <c r="V90" i="16"/>
  <c r="X90" i="16"/>
  <c r="Y90" i="16"/>
  <c r="Z90" i="16"/>
  <c r="AB90" i="16"/>
  <c r="AC90" i="16"/>
  <c r="AD90" i="16"/>
  <c r="AE90" i="16"/>
  <c r="A63" i="16"/>
  <c r="B63" i="16" s="1"/>
  <c r="F63" i="16"/>
  <c r="G63" i="16"/>
  <c r="H63" i="16"/>
  <c r="I63" i="16"/>
  <c r="L63" i="16"/>
  <c r="M63" i="16"/>
  <c r="N63" i="16"/>
  <c r="P63" i="16"/>
  <c r="Q63" i="16"/>
  <c r="R63" i="16"/>
  <c r="T63" i="16"/>
  <c r="U63" i="16"/>
  <c r="V63" i="16"/>
  <c r="X63" i="16"/>
  <c r="Y63" i="16"/>
  <c r="Z63" i="16"/>
  <c r="AB63" i="16"/>
  <c r="AC63" i="16"/>
  <c r="AD63" i="16"/>
  <c r="AE63" i="16"/>
  <c r="A87" i="16"/>
  <c r="B87" i="16" s="1"/>
  <c r="F87" i="16"/>
  <c r="G87" i="16"/>
  <c r="H87" i="16"/>
  <c r="I87" i="16"/>
  <c r="L87" i="16"/>
  <c r="M87" i="16"/>
  <c r="N87" i="16"/>
  <c r="P87" i="16"/>
  <c r="Q87" i="16"/>
  <c r="R87" i="16"/>
  <c r="T87" i="16"/>
  <c r="U87" i="16"/>
  <c r="V87" i="16"/>
  <c r="X87" i="16"/>
  <c r="Y87" i="16"/>
  <c r="Z87" i="16"/>
  <c r="AB87" i="16"/>
  <c r="AC87" i="16"/>
  <c r="AD87" i="16"/>
  <c r="AE87" i="16"/>
  <c r="A64" i="16"/>
  <c r="D64" i="16" s="1"/>
  <c r="F64" i="16"/>
  <c r="G64" i="16"/>
  <c r="H64" i="16"/>
  <c r="I64" i="16"/>
  <c r="L64" i="16"/>
  <c r="M64" i="16"/>
  <c r="N64" i="16"/>
  <c r="P64" i="16"/>
  <c r="Q64" i="16"/>
  <c r="R64" i="16"/>
  <c r="T64" i="16"/>
  <c r="U64" i="16"/>
  <c r="V64" i="16"/>
  <c r="X64" i="16"/>
  <c r="Y64" i="16"/>
  <c r="Z64" i="16"/>
  <c r="AB64" i="16"/>
  <c r="AC64" i="16"/>
  <c r="AD64" i="16"/>
  <c r="AE64" i="16"/>
  <c r="A70" i="16"/>
  <c r="B70" i="16" s="1"/>
  <c r="F70" i="16"/>
  <c r="G70" i="16"/>
  <c r="H70" i="16"/>
  <c r="I70" i="16"/>
  <c r="L70" i="16"/>
  <c r="M70" i="16"/>
  <c r="N70" i="16"/>
  <c r="P70" i="16"/>
  <c r="Q70" i="16"/>
  <c r="R70" i="16"/>
  <c r="T70" i="16"/>
  <c r="U70" i="16"/>
  <c r="V70" i="16"/>
  <c r="X70" i="16"/>
  <c r="Y70" i="16"/>
  <c r="Z70" i="16"/>
  <c r="AB70" i="16"/>
  <c r="AC70" i="16"/>
  <c r="AD70" i="16"/>
  <c r="AE70" i="16"/>
  <c r="A88" i="16"/>
  <c r="B88" i="16" s="1"/>
  <c r="F88" i="16"/>
  <c r="G88" i="16"/>
  <c r="H88" i="16"/>
  <c r="I88" i="16"/>
  <c r="L88" i="16"/>
  <c r="M88" i="16"/>
  <c r="N88" i="16"/>
  <c r="P88" i="16"/>
  <c r="Q88" i="16"/>
  <c r="R88" i="16"/>
  <c r="T88" i="16"/>
  <c r="U88" i="16"/>
  <c r="V88" i="16"/>
  <c r="X88" i="16"/>
  <c r="Y88" i="16"/>
  <c r="Z88" i="16"/>
  <c r="AB88" i="16"/>
  <c r="AC88" i="16"/>
  <c r="AD88" i="16"/>
  <c r="AE88" i="16"/>
  <c r="A71" i="16"/>
  <c r="B71" i="16" s="1"/>
  <c r="F71" i="16"/>
  <c r="G71" i="16"/>
  <c r="H71" i="16"/>
  <c r="I71" i="16"/>
  <c r="L71" i="16"/>
  <c r="M71" i="16"/>
  <c r="N71" i="16"/>
  <c r="P71" i="16"/>
  <c r="Q71" i="16"/>
  <c r="R71" i="16"/>
  <c r="T71" i="16"/>
  <c r="U71" i="16"/>
  <c r="V71" i="16"/>
  <c r="X71" i="16"/>
  <c r="Y71" i="16"/>
  <c r="Z71" i="16"/>
  <c r="AB71" i="16"/>
  <c r="AC71" i="16"/>
  <c r="AD71" i="16"/>
  <c r="AE71" i="16"/>
  <c r="A91" i="16"/>
  <c r="D91" i="16" s="1"/>
  <c r="F91" i="16"/>
  <c r="G91" i="16"/>
  <c r="H91" i="16"/>
  <c r="I91" i="16"/>
  <c r="L91" i="16"/>
  <c r="M91" i="16"/>
  <c r="N91" i="16"/>
  <c r="P91" i="16"/>
  <c r="Q91" i="16"/>
  <c r="R91" i="16"/>
  <c r="T91" i="16"/>
  <c r="U91" i="16"/>
  <c r="V91" i="16"/>
  <c r="X91" i="16"/>
  <c r="Y91" i="16"/>
  <c r="Z91" i="16"/>
  <c r="AB91" i="16"/>
  <c r="AC91" i="16"/>
  <c r="AD91" i="16"/>
  <c r="AE91" i="16"/>
  <c r="A50" i="16"/>
  <c r="B50" i="16" s="1"/>
  <c r="F50" i="16"/>
  <c r="G50" i="16"/>
  <c r="H50" i="16"/>
  <c r="I50" i="16"/>
  <c r="L50" i="16"/>
  <c r="M50" i="16"/>
  <c r="N50" i="16"/>
  <c r="P50" i="16"/>
  <c r="Q50" i="16"/>
  <c r="R50" i="16"/>
  <c r="T50" i="16"/>
  <c r="U50" i="16"/>
  <c r="V50" i="16"/>
  <c r="X50" i="16"/>
  <c r="Y50" i="16"/>
  <c r="Z50" i="16"/>
  <c r="AB50" i="16"/>
  <c r="AC50" i="16"/>
  <c r="AD50" i="16"/>
  <c r="AE50" i="16"/>
  <c r="A72" i="16"/>
  <c r="F72" i="16"/>
  <c r="G72" i="16"/>
  <c r="H72" i="16"/>
  <c r="I72" i="16"/>
  <c r="L72" i="16"/>
  <c r="M72" i="16"/>
  <c r="N72" i="16"/>
  <c r="P72" i="16"/>
  <c r="Q72" i="16"/>
  <c r="R72" i="16"/>
  <c r="T72" i="16"/>
  <c r="U72" i="16"/>
  <c r="V72" i="16"/>
  <c r="X72" i="16"/>
  <c r="Y72" i="16"/>
  <c r="Z72" i="16"/>
  <c r="AB72" i="16"/>
  <c r="AC72" i="16"/>
  <c r="AD72" i="16"/>
  <c r="AE72" i="16"/>
  <c r="A92" i="16"/>
  <c r="B92" i="16" s="1"/>
  <c r="F92" i="16"/>
  <c r="G92" i="16"/>
  <c r="H92" i="16"/>
  <c r="I92" i="16"/>
  <c r="J92" i="16"/>
  <c r="L92" i="16"/>
  <c r="M92" i="16"/>
  <c r="N92" i="16"/>
  <c r="O92" i="16"/>
  <c r="P92" i="16"/>
  <c r="Q92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AE92" i="16"/>
  <c r="A95" i="16"/>
  <c r="D95" i="16" s="1"/>
  <c r="F95" i="16"/>
  <c r="G95" i="16"/>
  <c r="H95" i="16"/>
  <c r="I95" i="16"/>
  <c r="L95" i="16"/>
  <c r="M95" i="16"/>
  <c r="N95" i="16"/>
  <c r="P95" i="16"/>
  <c r="Q95" i="16"/>
  <c r="R95" i="16"/>
  <c r="T95" i="16"/>
  <c r="U95" i="16"/>
  <c r="V95" i="16"/>
  <c r="X95" i="16"/>
  <c r="Y95" i="16"/>
  <c r="Z95" i="16"/>
  <c r="AB95" i="16"/>
  <c r="AC95" i="16"/>
  <c r="AD95" i="16"/>
  <c r="AE95" i="16"/>
  <c r="A97" i="16"/>
  <c r="B97" i="16" s="1"/>
  <c r="F97" i="16"/>
  <c r="G97" i="16"/>
  <c r="H97" i="16"/>
  <c r="I97" i="16"/>
  <c r="L97" i="16"/>
  <c r="M97" i="16"/>
  <c r="N97" i="16"/>
  <c r="P97" i="16"/>
  <c r="Q97" i="16"/>
  <c r="R97" i="16"/>
  <c r="T97" i="16"/>
  <c r="U97" i="16"/>
  <c r="V97" i="16"/>
  <c r="X97" i="16"/>
  <c r="Y97" i="16"/>
  <c r="Z97" i="16"/>
  <c r="AB97" i="16"/>
  <c r="AC97" i="16"/>
  <c r="AD97" i="16"/>
  <c r="AE97" i="16"/>
  <c r="A98" i="16"/>
  <c r="F98" i="16"/>
  <c r="G98" i="16"/>
  <c r="H98" i="16"/>
  <c r="I98" i="16"/>
  <c r="L98" i="16"/>
  <c r="M98" i="16"/>
  <c r="N98" i="16"/>
  <c r="P98" i="16"/>
  <c r="Q98" i="16"/>
  <c r="R98" i="16"/>
  <c r="T98" i="16"/>
  <c r="U98" i="16"/>
  <c r="V98" i="16"/>
  <c r="X98" i="16"/>
  <c r="Y98" i="16"/>
  <c r="Z98" i="16"/>
  <c r="AB98" i="16"/>
  <c r="AC98" i="16"/>
  <c r="AD98" i="16"/>
  <c r="AE98" i="16"/>
  <c r="A99" i="16"/>
  <c r="B99" i="16" s="1"/>
  <c r="F99" i="16"/>
  <c r="G99" i="16"/>
  <c r="H99" i="16"/>
  <c r="I99" i="16"/>
  <c r="L99" i="16"/>
  <c r="M99" i="16"/>
  <c r="N99" i="16"/>
  <c r="P99" i="16"/>
  <c r="Q99" i="16"/>
  <c r="R99" i="16"/>
  <c r="T99" i="16"/>
  <c r="U99" i="16"/>
  <c r="V99" i="16"/>
  <c r="X99" i="16"/>
  <c r="Y99" i="16"/>
  <c r="Z99" i="16"/>
  <c r="AB99" i="16"/>
  <c r="AC99" i="16"/>
  <c r="AD99" i="16"/>
  <c r="AE99" i="16"/>
  <c r="A100" i="16"/>
  <c r="D100" i="16" s="1"/>
  <c r="F100" i="16"/>
  <c r="G100" i="16"/>
  <c r="H100" i="16"/>
  <c r="I100" i="16"/>
  <c r="L100" i="16"/>
  <c r="M100" i="16"/>
  <c r="N100" i="16"/>
  <c r="P100" i="16"/>
  <c r="Q100" i="16"/>
  <c r="R100" i="16"/>
  <c r="T100" i="16"/>
  <c r="U100" i="16"/>
  <c r="V100" i="16"/>
  <c r="X100" i="16"/>
  <c r="Y100" i="16"/>
  <c r="Z100" i="16"/>
  <c r="AB100" i="16"/>
  <c r="AC100" i="16"/>
  <c r="AD100" i="16"/>
  <c r="AE100" i="16"/>
  <c r="A101" i="16"/>
  <c r="B101" i="16" s="1"/>
  <c r="F101" i="16"/>
  <c r="G101" i="16"/>
  <c r="H101" i="16"/>
  <c r="I101" i="16"/>
  <c r="L101" i="16"/>
  <c r="M101" i="16"/>
  <c r="N101" i="16"/>
  <c r="P101" i="16"/>
  <c r="Q101" i="16"/>
  <c r="R101" i="16"/>
  <c r="T101" i="16"/>
  <c r="U101" i="16"/>
  <c r="V101" i="16"/>
  <c r="X101" i="16"/>
  <c r="Y101" i="16"/>
  <c r="Z101" i="16"/>
  <c r="AB101" i="16"/>
  <c r="AC101" i="16"/>
  <c r="AD101" i="16"/>
  <c r="AE101" i="16"/>
  <c r="A102" i="16"/>
  <c r="F102" i="16"/>
  <c r="G102" i="16"/>
  <c r="H102" i="16"/>
  <c r="I102" i="16"/>
  <c r="L102" i="16"/>
  <c r="M102" i="16"/>
  <c r="N102" i="16"/>
  <c r="P102" i="16"/>
  <c r="Q102" i="16"/>
  <c r="R102" i="16"/>
  <c r="T102" i="16"/>
  <c r="U102" i="16"/>
  <c r="V102" i="16"/>
  <c r="X102" i="16"/>
  <c r="Y102" i="16"/>
  <c r="Z102" i="16"/>
  <c r="AB102" i="16"/>
  <c r="AC102" i="16"/>
  <c r="AD102" i="16"/>
  <c r="AE102" i="16"/>
  <c r="A103" i="16"/>
  <c r="C103" i="16" s="1"/>
  <c r="F103" i="16"/>
  <c r="G103" i="16"/>
  <c r="H103" i="16"/>
  <c r="I103" i="16"/>
  <c r="L103" i="16"/>
  <c r="M103" i="16"/>
  <c r="N103" i="16"/>
  <c r="P103" i="16"/>
  <c r="Q103" i="16"/>
  <c r="R103" i="16"/>
  <c r="T103" i="16"/>
  <c r="U103" i="16"/>
  <c r="V103" i="16"/>
  <c r="X103" i="16"/>
  <c r="Y103" i="16"/>
  <c r="Z103" i="16"/>
  <c r="AB103" i="16"/>
  <c r="AC103" i="16"/>
  <c r="AD103" i="16"/>
  <c r="AE103" i="16"/>
  <c r="A104" i="16"/>
  <c r="D104" i="16" s="1"/>
  <c r="F104" i="16"/>
  <c r="G104" i="16"/>
  <c r="H104" i="16"/>
  <c r="I104" i="16"/>
  <c r="L104" i="16"/>
  <c r="M104" i="16"/>
  <c r="N104" i="16"/>
  <c r="P104" i="16"/>
  <c r="Q104" i="16"/>
  <c r="R104" i="16"/>
  <c r="T104" i="16"/>
  <c r="U104" i="16"/>
  <c r="V104" i="16"/>
  <c r="X104" i="16"/>
  <c r="Y104" i="16"/>
  <c r="Z104" i="16"/>
  <c r="AB104" i="16"/>
  <c r="AC104" i="16"/>
  <c r="AD104" i="16"/>
  <c r="AE104" i="16"/>
  <c r="A105" i="16"/>
  <c r="B105" i="16" s="1"/>
  <c r="F105" i="16"/>
  <c r="G105" i="16"/>
  <c r="H105" i="16"/>
  <c r="I105" i="16"/>
  <c r="L105" i="16"/>
  <c r="M105" i="16"/>
  <c r="N105" i="16"/>
  <c r="P105" i="16"/>
  <c r="Q105" i="16"/>
  <c r="R105" i="16"/>
  <c r="T105" i="16"/>
  <c r="U105" i="16"/>
  <c r="V105" i="16"/>
  <c r="X105" i="16"/>
  <c r="Y105" i="16"/>
  <c r="Z105" i="16"/>
  <c r="AB105" i="16"/>
  <c r="AC105" i="16"/>
  <c r="AD105" i="16"/>
  <c r="AE105" i="16"/>
  <c r="A106" i="16"/>
  <c r="F106" i="16"/>
  <c r="G106" i="16"/>
  <c r="H106" i="16"/>
  <c r="I106" i="16"/>
  <c r="L106" i="16"/>
  <c r="M106" i="16"/>
  <c r="N106" i="16"/>
  <c r="P106" i="16"/>
  <c r="Q106" i="16"/>
  <c r="R106" i="16"/>
  <c r="T106" i="16"/>
  <c r="U106" i="16"/>
  <c r="V106" i="16"/>
  <c r="X106" i="16"/>
  <c r="Y106" i="16"/>
  <c r="Z106" i="16"/>
  <c r="AB106" i="16"/>
  <c r="AC106" i="16"/>
  <c r="AD106" i="16"/>
  <c r="AE106" i="16"/>
  <c r="A107" i="16"/>
  <c r="C107" i="16" s="1"/>
  <c r="F107" i="16"/>
  <c r="G107" i="16"/>
  <c r="H107" i="16"/>
  <c r="I107" i="16"/>
  <c r="L107" i="16"/>
  <c r="M107" i="16"/>
  <c r="N107" i="16"/>
  <c r="P107" i="16"/>
  <c r="Q107" i="16"/>
  <c r="R107" i="16"/>
  <c r="T107" i="16"/>
  <c r="U107" i="16"/>
  <c r="V107" i="16"/>
  <c r="X107" i="16"/>
  <c r="Y107" i="16"/>
  <c r="Z107" i="16"/>
  <c r="AB107" i="16"/>
  <c r="AC107" i="16"/>
  <c r="AD107" i="16"/>
  <c r="AE107" i="16"/>
  <c r="A108" i="16"/>
  <c r="D108" i="16" s="1"/>
  <c r="F108" i="16"/>
  <c r="G108" i="16"/>
  <c r="H108" i="16"/>
  <c r="I108" i="16"/>
  <c r="L108" i="16"/>
  <c r="M108" i="16"/>
  <c r="N108" i="16"/>
  <c r="P108" i="16"/>
  <c r="Q108" i="16"/>
  <c r="R108" i="16"/>
  <c r="T108" i="16"/>
  <c r="U108" i="16"/>
  <c r="V108" i="16"/>
  <c r="X108" i="16"/>
  <c r="Y108" i="16"/>
  <c r="Z108" i="16"/>
  <c r="AB108" i="16"/>
  <c r="AC108" i="16"/>
  <c r="AD108" i="16"/>
  <c r="AE108" i="16"/>
  <c r="A109" i="16"/>
  <c r="B109" i="16" s="1"/>
  <c r="C109" i="16"/>
  <c r="E109" i="16"/>
  <c r="F109" i="16"/>
  <c r="G109" i="16"/>
  <c r="H109" i="16"/>
  <c r="I109" i="16"/>
  <c r="L109" i="16"/>
  <c r="M109" i="16"/>
  <c r="N109" i="16"/>
  <c r="P109" i="16"/>
  <c r="Q109" i="16"/>
  <c r="R109" i="16"/>
  <c r="T109" i="16"/>
  <c r="U109" i="16"/>
  <c r="V109" i="16"/>
  <c r="X109" i="16"/>
  <c r="Y109" i="16"/>
  <c r="Z109" i="16"/>
  <c r="AB109" i="16"/>
  <c r="AC109" i="16"/>
  <c r="AD109" i="16"/>
  <c r="AE109" i="16"/>
  <c r="A110" i="16"/>
  <c r="F110" i="16"/>
  <c r="G110" i="16"/>
  <c r="H110" i="16"/>
  <c r="I110" i="16"/>
  <c r="L110" i="16"/>
  <c r="M110" i="16"/>
  <c r="N110" i="16"/>
  <c r="P110" i="16"/>
  <c r="Q110" i="16"/>
  <c r="R110" i="16"/>
  <c r="T110" i="16"/>
  <c r="U110" i="16"/>
  <c r="V110" i="16"/>
  <c r="X110" i="16"/>
  <c r="Y110" i="16"/>
  <c r="Z110" i="16"/>
  <c r="AB110" i="16"/>
  <c r="AC110" i="16"/>
  <c r="AD110" i="16"/>
  <c r="AE110" i="16"/>
  <c r="A111" i="16"/>
  <c r="C111" i="16" s="1"/>
  <c r="F111" i="16"/>
  <c r="G111" i="16"/>
  <c r="H111" i="16"/>
  <c r="I111" i="16"/>
  <c r="L111" i="16"/>
  <c r="M111" i="16"/>
  <c r="N111" i="16"/>
  <c r="P111" i="16"/>
  <c r="Q111" i="16"/>
  <c r="R111" i="16"/>
  <c r="T111" i="16"/>
  <c r="U111" i="16"/>
  <c r="V111" i="16"/>
  <c r="X111" i="16"/>
  <c r="Y111" i="16"/>
  <c r="Z111" i="16"/>
  <c r="AB111" i="16"/>
  <c r="AC111" i="16"/>
  <c r="AD111" i="16"/>
  <c r="AE111" i="16"/>
  <c r="A112" i="16"/>
  <c r="D112" i="16" s="1"/>
  <c r="C112" i="16"/>
  <c r="E112" i="16"/>
  <c r="F112" i="16"/>
  <c r="G112" i="16"/>
  <c r="H112" i="16"/>
  <c r="I112" i="16"/>
  <c r="L112" i="16"/>
  <c r="M112" i="16"/>
  <c r="N112" i="16"/>
  <c r="P112" i="16"/>
  <c r="Q112" i="16"/>
  <c r="R112" i="16"/>
  <c r="T112" i="16"/>
  <c r="U112" i="16"/>
  <c r="V112" i="16"/>
  <c r="X112" i="16"/>
  <c r="Y112" i="16"/>
  <c r="Z112" i="16"/>
  <c r="AB112" i="16"/>
  <c r="AC112" i="16"/>
  <c r="AD112" i="16"/>
  <c r="AE112" i="16"/>
  <c r="A113" i="16"/>
  <c r="B113" i="16" s="1"/>
  <c r="F113" i="16"/>
  <c r="G113" i="16"/>
  <c r="H113" i="16"/>
  <c r="I113" i="16"/>
  <c r="L113" i="16"/>
  <c r="M113" i="16"/>
  <c r="N113" i="16"/>
  <c r="P113" i="16"/>
  <c r="Q113" i="16"/>
  <c r="R113" i="16"/>
  <c r="T113" i="16"/>
  <c r="U113" i="16"/>
  <c r="V113" i="16"/>
  <c r="X113" i="16"/>
  <c r="Y113" i="16"/>
  <c r="Z113" i="16"/>
  <c r="AB113" i="16"/>
  <c r="AC113" i="16"/>
  <c r="AD113" i="16"/>
  <c r="AE113" i="16"/>
  <c r="A114" i="16"/>
  <c r="F114" i="16"/>
  <c r="G114" i="16"/>
  <c r="H114" i="16"/>
  <c r="I114" i="16"/>
  <c r="L114" i="16"/>
  <c r="M114" i="16"/>
  <c r="N114" i="16"/>
  <c r="P114" i="16"/>
  <c r="Q114" i="16"/>
  <c r="R114" i="16"/>
  <c r="T114" i="16"/>
  <c r="U114" i="16"/>
  <c r="V114" i="16"/>
  <c r="X114" i="16"/>
  <c r="Y114" i="16"/>
  <c r="Z114" i="16"/>
  <c r="AB114" i="16"/>
  <c r="AC114" i="16"/>
  <c r="AD114" i="16"/>
  <c r="AE114" i="16"/>
  <c r="A115" i="16"/>
  <c r="C115" i="16" s="1"/>
  <c r="F115" i="16"/>
  <c r="G115" i="16"/>
  <c r="H115" i="16"/>
  <c r="I115" i="16"/>
  <c r="L115" i="16"/>
  <c r="M115" i="16"/>
  <c r="N115" i="16"/>
  <c r="P115" i="16"/>
  <c r="Q115" i="16"/>
  <c r="R115" i="16"/>
  <c r="T115" i="16"/>
  <c r="U115" i="16"/>
  <c r="V115" i="16"/>
  <c r="X115" i="16"/>
  <c r="Y115" i="16"/>
  <c r="Z115" i="16"/>
  <c r="AB115" i="16"/>
  <c r="AC115" i="16"/>
  <c r="AD115" i="16"/>
  <c r="AE115" i="16"/>
  <c r="A116" i="16"/>
  <c r="D116" i="16" s="1"/>
  <c r="F116" i="16"/>
  <c r="G116" i="16"/>
  <c r="H116" i="16"/>
  <c r="I116" i="16"/>
  <c r="L116" i="16"/>
  <c r="M116" i="16"/>
  <c r="N116" i="16"/>
  <c r="P116" i="16"/>
  <c r="Q116" i="16"/>
  <c r="R116" i="16"/>
  <c r="T116" i="16"/>
  <c r="U116" i="16"/>
  <c r="V116" i="16"/>
  <c r="X116" i="16"/>
  <c r="Y116" i="16"/>
  <c r="Z116" i="16"/>
  <c r="AB116" i="16"/>
  <c r="AC116" i="16"/>
  <c r="AD116" i="16"/>
  <c r="AE116" i="16"/>
  <c r="A117" i="16"/>
  <c r="B117" i="16" s="1"/>
  <c r="F117" i="16"/>
  <c r="G117" i="16"/>
  <c r="H117" i="16"/>
  <c r="I117" i="16"/>
  <c r="L117" i="16"/>
  <c r="M117" i="16"/>
  <c r="N117" i="16"/>
  <c r="P117" i="16"/>
  <c r="Q117" i="16"/>
  <c r="R117" i="16"/>
  <c r="T117" i="16"/>
  <c r="U117" i="16"/>
  <c r="V117" i="16"/>
  <c r="X117" i="16"/>
  <c r="Y117" i="16"/>
  <c r="Z117" i="16"/>
  <c r="AB117" i="16"/>
  <c r="AC117" i="16"/>
  <c r="AD117" i="16"/>
  <c r="AE117" i="16"/>
  <c r="A118" i="16"/>
  <c r="F118" i="16"/>
  <c r="G118" i="16"/>
  <c r="H118" i="16"/>
  <c r="I118" i="16"/>
  <c r="L118" i="16"/>
  <c r="M118" i="16"/>
  <c r="N118" i="16"/>
  <c r="P118" i="16"/>
  <c r="Q118" i="16"/>
  <c r="R118" i="16"/>
  <c r="T118" i="16"/>
  <c r="U118" i="16"/>
  <c r="V118" i="16"/>
  <c r="X118" i="16"/>
  <c r="Y118" i="16"/>
  <c r="Z118" i="16"/>
  <c r="AB118" i="16"/>
  <c r="AC118" i="16"/>
  <c r="AD118" i="16"/>
  <c r="AE118" i="16"/>
  <c r="A119" i="16"/>
  <c r="C119" i="16" s="1"/>
  <c r="F119" i="16"/>
  <c r="G119" i="16"/>
  <c r="H119" i="16"/>
  <c r="I119" i="16"/>
  <c r="L119" i="16"/>
  <c r="M119" i="16"/>
  <c r="N119" i="16"/>
  <c r="P119" i="16"/>
  <c r="Q119" i="16"/>
  <c r="R119" i="16"/>
  <c r="T119" i="16"/>
  <c r="U119" i="16"/>
  <c r="V119" i="16"/>
  <c r="X119" i="16"/>
  <c r="Y119" i="16"/>
  <c r="Z119" i="16"/>
  <c r="AB119" i="16"/>
  <c r="AC119" i="16"/>
  <c r="AD119" i="16"/>
  <c r="AE119" i="16"/>
  <c r="A120" i="16"/>
  <c r="D120" i="16" s="1"/>
  <c r="F120" i="16"/>
  <c r="G120" i="16"/>
  <c r="H120" i="16"/>
  <c r="I120" i="16"/>
  <c r="L120" i="16"/>
  <c r="M120" i="16"/>
  <c r="N120" i="16"/>
  <c r="P120" i="16"/>
  <c r="Q120" i="16"/>
  <c r="R120" i="16"/>
  <c r="T120" i="16"/>
  <c r="U120" i="16"/>
  <c r="V120" i="16"/>
  <c r="X120" i="16"/>
  <c r="Y120" i="16"/>
  <c r="Z120" i="16"/>
  <c r="AB120" i="16"/>
  <c r="AC120" i="16"/>
  <c r="AD120" i="16"/>
  <c r="AE120" i="16"/>
  <c r="A121" i="16"/>
  <c r="B121" i="16" s="1"/>
  <c r="F121" i="16"/>
  <c r="G121" i="16"/>
  <c r="H121" i="16"/>
  <c r="I121" i="16"/>
  <c r="L121" i="16"/>
  <c r="M121" i="16"/>
  <c r="N121" i="16"/>
  <c r="P121" i="16"/>
  <c r="Q121" i="16"/>
  <c r="R121" i="16"/>
  <c r="T121" i="16"/>
  <c r="U121" i="16"/>
  <c r="V121" i="16"/>
  <c r="X121" i="16"/>
  <c r="Y121" i="16"/>
  <c r="Z121" i="16"/>
  <c r="AB121" i="16"/>
  <c r="AC121" i="16"/>
  <c r="AD121" i="16"/>
  <c r="AE121" i="16"/>
  <c r="A122" i="16"/>
  <c r="F122" i="16"/>
  <c r="G122" i="16"/>
  <c r="H122" i="16"/>
  <c r="I122" i="16"/>
  <c r="L122" i="16"/>
  <c r="M122" i="16"/>
  <c r="N122" i="16"/>
  <c r="P122" i="16"/>
  <c r="Q122" i="16"/>
  <c r="R122" i="16"/>
  <c r="T122" i="16"/>
  <c r="U122" i="16"/>
  <c r="V122" i="16"/>
  <c r="X122" i="16"/>
  <c r="Y122" i="16"/>
  <c r="Z122" i="16"/>
  <c r="AB122" i="16"/>
  <c r="AC122" i="16"/>
  <c r="AD122" i="16"/>
  <c r="AE122" i="16"/>
  <c r="A123" i="16"/>
  <c r="C123" i="16" s="1"/>
  <c r="F123" i="16"/>
  <c r="G123" i="16"/>
  <c r="H123" i="16"/>
  <c r="I123" i="16"/>
  <c r="L123" i="16"/>
  <c r="M123" i="16"/>
  <c r="N123" i="16"/>
  <c r="P123" i="16"/>
  <c r="Q123" i="16"/>
  <c r="R123" i="16"/>
  <c r="T123" i="16"/>
  <c r="U123" i="16"/>
  <c r="V123" i="16"/>
  <c r="X123" i="16"/>
  <c r="Y123" i="16"/>
  <c r="Z123" i="16"/>
  <c r="AB123" i="16"/>
  <c r="AC123" i="16"/>
  <c r="AD123" i="16"/>
  <c r="AE123" i="16"/>
  <c r="A126" i="16"/>
  <c r="D126" i="16" s="1"/>
  <c r="F126" i="16"/>
  <c r="G126" i="16"/>
  <c r="H126" i="16"/>
  <c r="I126" i="16"/>
  <c r="L126" i="16"/>
  <c r="M126" i="16"/>
  <c r="N126" i="16"/>
  <c r="P126" i="16"/>
  <c r="Q126" i="16"/>
  <c r="R126" i="16"/>
  <c r="T126" i="16"/>
  <c r="U126" i="16"/>
  <c r="V126" i="16"/>
  <c r="X126" i="16"/>
  <c r="Y126" i="16"/>
  <c r="Z126" i="16"/>
  <c r="AB126" i="16"/>
  <c r="AC126" i="16"/>
  <c r="AD126" i="16"/>
  <c r="AE126" i="16"/>
  <c r="A143" i="16"/>
  <c r="B143" i="16" s="1"/>
  <c r="F143" i="16"/>
  <c r="G143" i="16"/>
  <c r="H143" i="16"/>
  <c r="I143" i="16"/>
  <c r="L143" i="16"/>
  <c r="M143" i="16"/>
  <c r="N143" i="16"/>
  <c r="P143" i="16"/>
  <c r="Q143" i="16"/>
  <c r="R143" i="16"/>
  <c r="T143" i="16"/>
  <c r="U143" i="16"/>
  <c r="V143" i="16"/>
  <c r="X143" i="16"/>
  <c r="Y143" i="16"/>
  <c r="Z143" i="16"/>
  <c r="AB143" i="16"/>
  <c r="AC143" i="16"/>
  <c r="AD143" i="16"/>
  <c r="AE143" i="16"/>
  <c r="A127" i="16"/>
  <c r="F127" i="16"/>
  <c r="G127" i="16"/>
  <c r="H127" i="16"/>
  <c r="I127" i="16"/>
  <c r="L127" i="16"/>
  <c r="M127" i="16"/>
  <c r="N127" i="16"/>
  <c r="P127" i="16"/>
  <c r="Q127" i="16"/>
  <c r="R127" i="16"/>
  <c r="T127" i="16"/>
  <c r="U127" i="16"/>
  <c r="V127" i="16"/>
  <c r="X127" i="16"/>
  <c r="Y127" i="16"/>
  <c r="Z127" i="16"/>
  <c r="AB127" i="16"/>
  <c r="AC127" i="16"/>
  <c r="AD127" i="16"/>
  <c r="AE127" i="16"/>
  <c r="A144" i="16"/>
  <c r="C144" i="16" s="1"/>
  <c r="F144" i="16"/>
  <c r="G144" i="16"/>
  <c r="H144" i="16"/>
  <c r="I144" i="16"/>
  <c r="L144" i="16"/>
  <c r="M144" i="16"/>
  <c r="N144" i="16"/>
  <c r="P144" i="16"/>
  <c r="Q144" i="16"/>
  <c r="R144" i="16"/>
  <c r="T144" i="16"/>
  <c r="U144" i="16"/>
  <c r="V144" i="16"/>
  <c r="X144" i="16"/>
  <c r="Y144" i="16"/>
  <c r="Z144" i="16"/>
  <c r="AB144" i="16"/>
  <c r="AC144" i="16"/>
  <c r="AD144" i="16"/>
  <c r="AE144" i="16"/>
  <c r="A128" i="16"/>
  <c r="D128" i="16" s="1"/>
  <c r="F128" i="16"/>
  <c r="G128" i="16"/>
  <c r="H128" i="16"/>
  <c r="I128" i="16"/>
  <c r="L128" i="16"/>
  <c r="M128" i="16"/>
  <c r="N128" i="16"/>
  <c r="P128" i="16"/>
  <c r="Q128" i="16"/>
  <c r="R128" i="16"/>
  <c r="T128" i="16"/>
  <c r="U128" i="16"/>
  <c r="V128" i="16"/>
  <c r="X128" i="16"/>
  <c r="Y128" i="16"/>
  <c r="Z128" i="16"/>
  <c r="AB128" i="16"/>
  <c r="AC128" i="16"/>
  <c r="AD128" i="16"/>
  <c r="AE128" i="16"/>
  <c r="A124" i="16"/>
  <c r="B124" i="16" s="1"/>
  <c r="F124" i="16"/>
  <c r="G124" i="16"/>
  <c r="H124" i="16"/>
  <c r="I124" i="16"/>
  <c r="L124" i="16"/>
  <c r="M124" i="16"/>
  <c r="N124" i="16"/>
  <c r="P124" i="16"/>
  <c r="Q124" i="16"/>
  <c r="R124" i="16"/>
  <c r="T124" i="16"/>
  <c r="U124" i="16"/>
  <c r="V124" i="16"/>
  <c r="X124" i="16"/>
  <c r="Y124" i="16"/>
  <c r="Z124" i="16"/>
  <c r="AB124" i="16"/>
  <c r="AC124" i="16"/>
  <c r="AD124" i="16"/>
  <c r="AE124" i="16"/>
  <c r="A129" i="16"/>
  <c r="F129" i="16"/>
  <c r="G129" i="16"/>
  <c r="H129" i="16"/>
  <c r="I129" i="16"/>
  <c r="L129" i="16"/>
  <c r="M129" i="16"/>
  <c r="N129" i="16"/>
  <c r="P129" i="16"/>
  <c r="Q129" i="16"/>
  <c r="R129" i="16"/>
  <c r="T129" i="16"/>
  <c r="U129" i="16"/>
  <c r="V129" i="16"/>
  <c r="X129" i="16"/>
  <c r="Y129" i="16"/>
  <c r="Z129" i="16"/>
  <c r="AB129" i="16"/>
  <c r="AC129" i="16"/>
  <c r="AD129" i="16"/>
  <c r="AE129" i="16"/>
  <c r="A145" i="16"/>
  <c r="C145" i="16" s="1"/>
  <c r="F145" i="16"/>
  <c r="G145" i="16"/>
  <c r="H145" i="16"/>
  <c r="I145" i="16"/>
  <c r="L145" i="16"/>
  <c r="M145" i="16"/>
  <c r="N145" i="16"/>
  <c r="P145" i="16"/>
  <c r="Q145" i="16"/>
  <c r="R145" i="16"/>
  <c r="T145" i="16"/>
  <c r="U145" i="16"/>
  <c r="V145" i="16"/>
  <c r="X145" i="16"/>
  <c r="Y145" i="16"/>
  <c r="Z145" i="16"/>
  <c r="AB145" i="16"/>
  <c r="AC145" i="16"/>
  <c r="AD145" i="16"/>
  <c r="AE145" i="16"/>
  <c r="A146" i="16"/>
  <c r="D146" i="16" s="1"/>
  <c r="F146" i="16"/>
  <c r="G146" i="16"/>
  <c r="H146" i="16"/>
  <c r="I146" i="16"/>
  <c r="L146" i="16"/>
  <c r="M146" i="16"/>
  <c r="N146" i="16"/>
  <c r="P146" i="16"/>
  <c r="Q146" i="16"/>
  <c r="R146" i="16"/>
  <c r="T146" i="16"/>
  <c r="U146" i="16"/>
  <c r="V146" i="16"/>
  <c r="X146" i="16"/>
  <c r="Y146" i="16"/>
  <c r="Z146" i="16"/>
  <c r="AB146" i="16"/>
  <c r="AC146" i="16"/>
  <c r="AD146" i="16"/>
  <c r="AE146" i="16"/>
  <c r="A130" i="16"/>
  <c r="B130" i="16" s="1"/>
  <c r="E130" i="16"/>
  <c r="F130" i="16"/>
  <c r="G130" i="16"/>
  <c r="H130" i="16"/>
  <c r="I130" i="16"/>
  <c r="L130" i="16"/>
  <c r="M130" i="16"/>
  <c r="N130" i="16"/>
  <c r="P130" i="16"/>
  <c r="Q130" i="16"/>
  <c r="R130" i="16"/>
  <c r="T130" i="16"/>
  <c r="U130" i="16"/>
  <c r="V130" i="16"/>
  <c r="X130" i="16"/>
  <c r="Y130" i="16"/>
  <c r="Z130" i="16"/>
  <c r="AB130" i="16"/>
  <c r="AC130" i="16"/>
  <c r="AD130" i="16"/>
  <c r="AE130" i="16"/>
  <c r="A147" i="16"/>
  <c r="E147" i="16" s="1"/>
  <c r="F147" i="16"/>
  <c r="G147" i="16"/>
  <c r="H147" i="16"/>
  <c r="I147" i="16"/>
  <c r="L147" i="16"/>
  <c r="M147" i="16"/>
  <c r="N147" i="16"/>
  <c r="P147" i="16"/>
  <c r="Q147" i="16"/>
  <c r="R147" i="16"/>
  <c r="T147" i="16"/>
  <c r="U147" i="16"/>
  <c r="V147" i="16"/>
  <c r="X147" i="16"/>
  <c r="Y147" i="16"/>
  <c r="Z147" i="16"/>
  <c r="AB147" i="16"/>
  <c r="AC147" i="16"/>
  <c r="AD147" i="16"/>
  <c r="AE147" i="16"/>
  <c r="A131" i="16"/>
  <c r="C131" i="16" s="1"/>
  <c r="F131" i="16"/>
  <c r="G131" i="16"/>
  <c r="H131" i="16"/>
  <c r="I131" i="16"/>
  <c r="L131" i="16"/>
  <c r="M131" i="16"/>
  <c r="N131" i="16"/>
  <c r="P131" i="16"/>
  <c r="Q131" i="16"/>
  <c r="R131" i="16"/>
  <c r="T131" i="16"/>
  <c r="U131" i="16"/>
  <c r="V131" i="16"/>
  <c r="X131" i="16"/>
  <c r="Y131" i="16"/>
  <c r="Z131" i="16"/>
  <c r="AB131" i="16"/>
  <c r="AC131" i="16"/>
  <c r="AD131" i="16"/>
  <c r="AE131" i="16"/>
  <c r="A148" i="16"/>
  <c r="C148" i="16" s="1"/>
  <c r="F148" i="16"/>
  <c r="G148" i="16"/>
  <c r="H148" i="16"/>
  <c r="I148" i="16"/>
  <c r="L148" i="16"/>
  <c r="M148" i="16"/>
  <c r="N148" i="16"/>
  <c r="P148" i="16"/>
  <c r="Q148" i="16"/>
  <c r="R148" i="16"/>
  <c r="T148" i="16"/>
  <c r="U148" i="16"/>
  <c r="V148" i="16"/>
  <c r="X148" i="16"/>
  <c r="Y148" i="16"/>
  <c r="Z148" i="16"/>
  <c r="AB148" i="16"/>
  <c r="AC148" i="16"/>
  <c r="AD148" i="16"/>
  <c r="AE148" i="16"/>
  <c r="A149" i="16"/>
  <c r="B149" i="16" s="1"/>
  <c r="F149" i="16"/>
  <c r="G149" i="16"/>
  <c r="H149" i="16"/>
  <c r="I149" i="16"/>
  <c r="L149" i="16"/>
  <c r="M149" i="16"/>
  <c r="N149" i="16"/>
  <c r="P149" i="16"/>
  <c r="Q149" i="16"/>
  <c r="R149" i="16"/>
  <c r="T149" i="16"/>
  <c r="U149" i="16"/>
  <c r="V149" i="16"/>
  <c r="X149" i="16"/>
  <c r="Y149" i="16"/>
  <c r="Z149" i="16"/>
  <c r="AB149" i="16"/>
  <c r="AC149" i="16"/>
  <c r="AD149" i="16"/>
  <c r="AE149" i="16"/>
  <c r="A132" i="16"/>
  <c r="E132" i="16" s="1"/>
  <c r="F132" i="16"/>
  <c r="G132" i="16"/>
  <c r="H132" i="16"/>
  <c r="I132" i="16"/>
  <c r="L132" i="16"/>
  <c r="M132" i="16"/>
  <c r="N132" i="16"/>
  <c r="P132" i="16"/>
  <c r="Q132" i="16"/>
  <c r="R132" i="16"/>
  <c r="T132" i="16"/>
  <c r="U132" i="16"/>
  <c r="V132" i="16"/>
  <c r="X132" i="16"/>
  <c r="Y132" i="16"/>
  <c r="Z132" i="16"/>
  <c r="AB132" i="16"/>
  <c r="AC132" i="16"/>
  <c r="AD132" i="16"/>
  <c r="AE132" i="16"/>
  <c r="A133" i="16"/>
  <c r="C133" i="16"/>
  <c r="F133" i="16"/>
  <c r="G133" i="16"/>
  <c r="H133" i="16"/>
  <c r="I133" i="16"/>
  <c r="L133" i="16"/>
  <c r="M133" i="16"/>
  <c r="N133" i="16"/>
  <c r="P133" i="16"/>
  <c r="Q133" i="16"/>
  <c r="R133" i="16"/>
  <c r="T133" i="16"/>
  <c r="U133" i="16"/>
  <c r="V133" i="16"/>
  <c r="X133" i="16"/>
  <c r="Y133" i="16"/>
  <c r="Z133" i="16"/>
  <c r="AB133" i="16"/>
  <c r="AC133" i="16"/>
  <c r="AD133" i="16"/>
  <c r="AE133" i="16"/>
  <c r="A134" i="16"/>
  <c r="C134" i="16" s="1"/>
  <c r="F134" i="16"/>
  <c r="G134" i="16"/>
  <c r="H134" i="16"/>
  <c r="I134" i="16"/>
  <c r="L134" i="16"/>
  <c r="M134" i="16"/>
  <c r="N134" i="16"/>
  <c r="P134" i="16"/>
  <c r="Q134" i="16"/>
  <c r="R134" i="16"/>
  <c r="T134" i="16"/>
  <c r="U134" i="16"/>
  <c r="V134" i="16"/>
  <c r="X134" i="16"/>
  <c r="Y134" i="16"/>
  <c r="Z134" i="16"/>
  <c r="AB134" i="16"/>
  <c r="AC134" i="16"/>
  <c r="AD134" i="16"/>
  <c r="AE134" i="16"/>
  <c r="A135" i="16"/>
  <c r="B135" i="16" s="1"/>
  <c r="E135" i="16"/>
  <c r="F135" i="16"/>
  <c r="G135" i="16"/>
  <c r="H135" i="16"/>
  <c r="I135" i="16"/>
  <c r="L135" i="16"/>
  <c r="M135" i="16"/>
  <c r="N135" i="16"/>
  <c r="P135" i="16"/>
  <c r="Q135" i="16"/>
  <c r="R135" i="16"/>
  <c r="T135" i="16"/>
  <c r="U135" i="16"/>
  <c r="V135" i="16"/>
  <c r="X135" i="16"/>
  <c r="Y135" i="16"/>
  <c r="Z135" i="16"/>
  <c r="AB135" i="16"/>
  <c r="AC135" i="16"/>
  <c r="AD135" i="16"/>
  <c r="AE135" i="16"/>
  <c r="A136" i="16"/>
  <c r="E136" i="16" s="1"/>
  <c r="F136" i="16"/>
  <c r="G136" i="16"/>
  <c r="H136" i="16"/>
  <c r="I136" i="16"/>
  <c r="L136" i="16"/>
  <c r="M136" i="16"/>
  <c r="N136" i="16"/>
  <c r="P136" i="16"/>
  <c r="Q136" i="16"/>
  <c r="R136" i="16"/>
  <c r="T136" i="16"/>
  <c r="U136" i="16"/>
  <c r="V136" i="16"/>
  <c r="X136" i="16"/>
  <c r="Y136" i="16"/>
  <c r="Z136" i="16"/>
  <c r="AB136" i="16"/>
  <c r="AC136" i="16"/>
  <c r="AD136" i="16"/>
  <c r="AE136" i="16"/>
  <c r="A137" i="16"/>
  <c r="C137" i="16" s="1"/>
  <c r="F137" i="16"/>
  <c r="G137" i="16"/>
  <c r="H137" i="16"/>
  <c r="I137" i="16"/>
  <c r="L137" i="16"/>
  <c r="M137" i="16"/>
  <c r="N137" i="16"/>
  <c r="P137" i="16"/>
  <c r="Q137" i="16"/>
  <c r="R137" i="16"/>
  <c r="T137" i="16"/>
  <c r="U137" i="16"/>
  <c r="V137" i="16"/>
  <c r="X137" i="16"/>
  <c r="Y137" i="16"/>
  <c r="Z137" i="16"/>
  <c r="AB137" i="16"/>
  <c r="AC137" i="16"/>
  <c r="AD137" i="16"/>
  <c r="AE137" i="16"/>
  <c r="A138" i="16"/>
  <c r="F138" i="16"/>
  <c r="G138" i="16"/>
  <c r="H138" i="16"/>
  <c r="I138" i="16"/>
  <c r="L138" i="16"/>
  <c r="M138" i="16"/>
  <c r="N138" i="16"/>
  <c r="P138" i="16"/>
  <c r="Q138" i="16"/>
  <c r="R138" i="16"/>
  <c r="T138" i="16"/>
  <c r="U138" i="16"/>
  <c r="V138" i="16"/>
  <c r="X138" i="16"/>
  <c r="Y138" i="16"/>
  <c r="Z138" i="16"/>
  <c r="AB138" i="16"/>
  <c r="AC138" i="16"/>
  <c r="AD138" i="16"/>
  <c r="AE138" i="16"/>
  <c r="A139" i="16"/>
  <c r="B139" i="16" s="1"/>
  <c r="F139" i="16"/>
  <c r="G139" i="16"/>
  <c r="H139" i="16"/>
  <c r="I139" i="16"/>
  <c r="L139" i="16"/>
  <c r="M139" i="16"/>
  <c r="N139" i="16"/>
  <c r="P139" i="16"/>
  <c r="Q139" i="16"/>
  <c r="R139" i="16"/>
  <c r="T139" i="16"/>
  <c r="U139" i="16"/>
  <c r="V139" i="16"/>
  <c r="X139" i="16"/>
  <c r="Y139" i="16"/>
  <c r="Z139" i="16"/>
  <c r="AB139" i="16"/>
  <c r="AC139" i="16"/>
  <c r="AD139" i="16"/>
  <c r="AE139" i="16"/>
  <c r="A140" i="16"/>
  <c r="F140" i="16"/>
  <c r="G140" i="16"/>
  <c r="H140" i="16"/>
  <c r="I140" i="16"/>
  <c r="L140" i="16"/>
  <c r="M140" i="16"/>
  <c r="N140" i="16"/>
  <c r="P140" i="16"/>
  <c r="Q140" i="16"/>
  <c r="R140" i="16"/>
  <c r="T140" i="16"/>
  <c r="U140" i="16"/>
  <c r="V140" i="16"/>
  <c r="X140" i="16"/>
  <c r="Y140" i="16"/>
  <c r="Z140" i="16"/>
  <c r="AB140" i="16"/>
  <c r="AC140" i="16"/>
  <c r="AD140" i="16"/>
  <c r="AE140" i="16"/>
  <c r="A150" i="16"/>
  <c r="C150" i="16" s="1"/>
  <c r="F150" i="16"/>
  <c r="G150" i="16"/>
  <c r="H150" i="16"/>
  <c r="I150" i="16"/>
  <c r="J150" i="16"/>
  <c r="L150" i="16"/>
  <c r="M150" i="16"/>
  <c r="N150" i="16"/>
  <c r="O150" i="16"/>
  <c r="P150" i="16"/>
  <c r="Q150" i="16"/>
  <c r="R150" i="16"/>
  <c r="S150" i="16"/>
  <c r="T150" i="16"/>
  <c r="U150" i="16"/>
  <c r="V150" i="16"/>
  <c r="W150" i="16"/>
  <c r="X150" i="16"/>
  <c r="Y150" i="16"/>
  <c r="Z150" i="16"/>
  <c r="AA150" i="16"/>
  <c r="AB150" i="16"/>
  <c r="AC150" i="16"/>
  <c r="AD150" i="16"/>
  <c r="AE150" i="16"/>
  <c r="A151" i="16"/>
  <c r="C151" i="16" s="1"/>
  <c r="F151" i="16"/>
  <c r="G151" i="16"/>
  <c r="H151" i="16"/>
  <c r="I151" i="16"/>
  <c r="L151" i="16"/>
  <c r="M151" i="16"/>
  <c r="N151" i="16"/>
  <c r="P151" i="16"/>
  <c r="Q151" i="16"/>
  <c r="R151" i="16"/>
  <c r="T151" i="16"/>
  <c r="U151" i="16"/>
  <c r="V151" i="16"/>
  <c r="X151" i="16"/>
  <c r="Y151" i="16"/>
  <c r="Z151" i="16"/>
  <c r="AB151" i="16"/>
  <c r="AC151" i="16"/>
  <c r="AD151" i="16"/>
  <c r="AE151" i="16"/>
  <c r="A141" i="16"/>
  <c r="B141" i="16" s="1"/>
  <c r="F141" i="16"/>
  <c r="G141" i="16"/>
  <c r="H141" i="16"/>
  <c r="I141" i="16"/>
  <c r="L141" i="16"/>
  <c r="M141" i="16"/>
  <c r="N141" i="16"/>
  <c r="P141" i="16"/>
  <c r="Q141" i="16"/>
  <c r="R141" i="16"/>
  <c r="T141" i="16"/>
  <c r="U141" i="16"/>
  <c r="V141" i="16"/>
  <c r="X141" i="16"/>
  <c r="Y141" i="16"/>
  <c r="Z141" i="16"/>
  <c r="AB141" i="16"/>
  <c r="AC141" i="16"/>
  <c r="AD141" i="16"/>
  <c r="AE141" i="16"/>
  <c r="A152" i="16"/>
  <c r="E152" i="16" s="1"/>
  <c r="F152" i="16"/>
  <c r="G152" i="16"/>
  <c r="H152" i="16"/>
  <c r="I152" i="16"/>
  <c r="L152" i="16"/>
  <c r="M152" i="16"/>
  <c r="N152" i="16"/>
  <c r="P152" i="16"/>
  <c r="Q152" i="16"/>
  <c r="R152" i="16"/>
  <c r="T152" i="16"/>
  <c r="U152" i="16"/>
  <c r="V152" i="16"/>
  <c r="X152" i="16"/>
  <c r="Y152" i="16"/>
  <c r="Z152" i="16"/>
  <c r="AB152" i="16"/>
  <c r="AC152" i="16"/>
  <c r="AD152" i="16"/>
  <c r="AE152" i="16"/>
  <c r="A142" i="16"/>
  <c r="C142" i="16" s="1"/>
  <c r="F142" i="16"/>
  <c r="G142" i="16"/>
  <c r="H142" i="16"/>
  <c r="I142" i="16"/>
  <c r="L142" i="16"/>
  <c r="M142" i="16"/>
  <c r="N142" i="16"/>
  <c r="P142" i="16"/>
  <c r="Q142" i="16"/>
  <c r="R142" i="16"/>
  <c r="T142" i="16"/>
  <c r="U142" i="16"/>
  <c r="V142" i="16"/>
  <c r="X142" i="16"/>
  <c r="Y142" i="16"/>
  <c r="Z142" i="16"/>
  <c r="AB142" i="16"/>
  <c r="AC142" i="16"/>
  <c r="AD142" i="16"/>
  <c r="AE142" i="16"/>
  <c r="A125" i="16"/>
  <c r="C125" i="16" s="1"/>
  <c r="F125" i="16"/>
  <c r="G125" i="16"/>
  <c r="H125" i="16"/>
  <c r="I125" i="16"/>
  <c r="L125" i="16"/>
  <c r="M125" i="16"/>
  <c r="N125" i="16"/>
  <c r="P125" i="16"/>
  <c r="Q125" i="16"/>
  <c r="R125" i="16"/>
  <c r="T125" i="16"/>
  <c r="U125" i="16"/>
  <c r="V125" i="16"/>
  <c r="X125" i="16"/>
  <c r="Y125" i="16"/>
  <c r="Z125" i="16"/>
  <c r="AB125" i="16"/>
  <c r="AC125" i="16"/>
  <c r="AD125" i="16"/>
  <c r="AE125" i="16"/>
  <c r="A153" i="16"/>
  <c r="F153" i="16"/>
  <c r="G153" i="16"/>
  <c r="H153" i="16"/>
  <c r="I153" i="16"/>
  <c r="L153" i="16"/>
  <c r="M153" i="16"/>
  <c r="N153" i="16"/>
  <c r="P153" i="16"/>
  <c r="Q153" i="16"/>
  <c r="R153" i="16"/>
  <c r="T153" i="16"/>
  <c r="U153" i="16"/>
  <c r="V153" i="16"/>
  <c r="X153" i="16"/>
  <c r="Y153" i="16"/>
  <c r="Z153" i="16"/>
  <c r="AB153" i="16"/>
  <c r="AC153" i="16"/>
  <c r="AD153" i="16"/>
  <c r="AE153" i="16"/>
  <c r="A154" i="16"/>
  <c r="C154" i="16" s="1"/>
  <c r="F154" i="16"/>
  <c r="G154" i="16"/>
  <c r="H154" i="16"/>
  <c r="I154" i="16"/>
  <c r="L154" i="16"/>
  <c r="M154" i="16"/>
  <c r="N154" i="16"/>
  <c r="P154" i="16"/>
  <c r="Q154" i="16"/>
  <c r="R154" i="16"/>
  <c r="T154" i="16"/>
  <c r="U154" i="16"/>
  <c r="V154" i="16"/>
  <c r="X154" i="16"/>
  <c r="Y154" i="16"/>
  <c r="Z154" i="16"/>
  <c r="AB154" i="16"/>
  <c r="AC154" i="16"/>
  <c r="AD154" i="16"/>
  <c r="AE154" i="16"/>
  <c r="A155" i="16"/>
  <c r="F155" i="16"/>
  <c r="G155" i="16"/>
  <c r="H155" i="16"/>
  <c r="I155" i="16"/>
  <c r="L155" i="16"/>
  <c r="M155" i="16"/>
  <c r="N155" i="16"/>
  <c r="P155" i="16"/>
  <c r="Q155" i="16"/>
  <c r="R155" i="16"/>
  <c r="T155" i="16"/>
  <c r="U155" i="16"/>
  <c r="V155" i="16"/>
  <c r="X155" i="16"/>
  <c r="Y155" i="16"/>
  <c r="Z155" i="16"/>
  <c r="AB155" i="16"/>
  <c r="AC155" i="16"/>
  <c r="AD155" i="16"/>
  <c r="AE155" i="16"/>
  <c r="A156" i="16"/>
  <c r="C156" i="16" s="1"/>
  <c r="F156" i="16"/>
  <c r="G156" i="16"/>
  <c r="H156" i="16"/>
  <c r="I156" i="16"/>
  <c r="L156" i="16"/>
  <c r="M156" i="16"/>
  <c r="N156" i="16"/>
  <c r="P156" i="16"/>
  <c r="Q156" i="16"/>
  <c r="R156" i="16"/>
  <c r="T156" i="16"/>
  <c r="U156" i="16"/>
  <c r="V156" i="16"/>
  <c r="X156" i="16"/>
  <c r="Y156" i="16"/>
  <c r="Z156" i="16"/>
  <c r="AB156" i="16"/>
  <c r="AC156" i="16"/>
  <c r="AD156" i="16"/>
  <c r="AE156" i="16"/>
  <c r="A157" i="16"/>
  <c r="F157" i="16"/>
  <c r="G157" i="16"/>
  <c r="H157" i="16"/>
  <c r="I157" i="16"/>
  <c r="L157" i="16"/>
  <c r="M157" i="16"/>
  <c r="N157" i="16"/>
  <c r="P157" i="16"/>
  <c r="Q157" i="16"/>
  <c r="R157" i="16"/>
  <c r="T157" i="16"/>
  <c r="U157" i="16"/>
  <c r="V157" i="16"/>
  <c r="X157" i="16"/>
  <c r="Y157" i="16"/>
  <c r="Z157" i="16"/>
  <c r="AB157" i="16"/>
  <c r="AC157" i="16"/>
  <c r="AD157" i="16"/>
  <c r="AE157" i="16"/>
  <c r="A158" i="16"/>
  <c r="C158" i="16" s="1"/>
  <c r="F158" i="16"/>
  <c r="G158" i="16"/>
  <c r="H158" i="16"/>
  <c r="I158" i="16"/>
  <c r="L158" i="16"/>
  <c r="M158" i="16"/>
  <c r="N158" i="16"/>
  <c r="P158" i="16"/>
  <c r="Q158" i="16"/>
  <c r="R158" i="16"/>
  <c r="T158" i="16"/>
  <c r="U158" i="16"/>
  <c r="V158" i="16"/>
  <c r="X158" i="16"/>
  <c r="Y158" i="16"/>
  <c r="Z158" i="16"/>
  <c r="AB158" i="16"/>
  <c r="AC158" i="16"/>
  <c r="AD158" i="16"/>
  <c r="AE158" i="16"/>
  <c r="A159" i="16"/>
  <c r="B159" i="16" s="1"/>
  <c r="F159" i="16"/>
  <c r="G159" i="16"/>
  <c r="H159" i="16"/>
  <c r="I159" i="16"/>
  <c r="L159" i="16"/>
  <c r="M159" i="16"/>
  <c r="N159" i="16"/>
  <c r="P159" i="16"/>
  <c r="Q159" i="16"/>
  <c r="R159" i="16"/>
  <c r="T159" i="16"/>
  <c r="U159" i="16"/>
  <c r="V159" i="16"/>
  <c r="X159" i="16"/>
  <c r="Y159" i="16"/>
  <c r="Z159" i="16"/>
  <c r="AB159" i="16"/>
  <c r="AC159" i="16"/>
  <c r="AD159" i="16"/>
  <c r="AE159" i="16"/>
  <c r="A160" i="16"/>
  <c r="C160" i="16" s="1"/>
  <c r="F160" i="16"/>
  <c r="G160" i="16"/>
  <c r="H160" i="16"/>
  <c r="I160" i="16"/>
  <c r="L160" i="16"/>
  <c r="M160" i="16"/>
  <c r="N160" i="16"/>
  <c r="P160" i="16"/>
  <c r="Q160" i="16"/>
  <c r="R160" i="16"/>
  <c r="T160" i="16"/>
  <c r="U160" i="16"/>
  <c r="V160" i="16"/>
  <c r="X160" i="16"/>
  <c r="Y160" i="16"/>
  <c r="Z160" i="16"/>
  <c r="AB160" i="16"/>
  <c r="AC160" i="16"/>
  <c r="AD160" i="16"/>
  <c r="AE160" i="16"/>
  <c r="A161" i="16"/>
  <c r="E161" i="16" s="1"/>
  <c r="F161" i="16"/>
  <c r="G161" i="16"/>
  <c r="H161" i="16"/>
  <c r="I161" i="16"/>
  <c r="L161" i="16"/>
  <c r="M161" i="16"/>
  <c r="N161" i="16"/>
  <c r="P161" i="16"/>
  <c r="Q161" i="16"/>
  <c r="R161" i="16"/>
  <c r="T161" i="16"/>
  <c r="U161" i="16"/>
  <c r="V161" i="16"/>
  <c r="X161" i="16"/>
  <c r="Y161" i="16"/>
  <c r="Z161" i="16"/>
  <c r="AB161" i="16"/>
  <c r="AC161" i="16"/>
  <c r="AD161" i="16"/>
  <c r="AE161" i="16"/>
  <c r="A162" i="16"/>
  <c r="D162" i="16" s="1"/>
  <c r="F162" i="16"/>
  <c r="G162" i="16"/>
  <c r="H162" i="16"/>
  <c r="I162" i="16"/>
  <c r="L162" i="16"/>
  <c r="M162" i="16"/>
  <c r="N162" i="16"/>
  <c r="P162" i="16"/>
  <c r="Q162" i="16"/>
  <c r="R162" i="16"/>
  <c r="T162" i="16"/>
  <c r="U162" i="16"/>
  <c r="V162" i="16"/>
  <c r="X162" i="16"/>
  <c r="Y162" i="16"/>
  <c r="Z162" i="16"/>
  <c r="AB162" i="16"/>
  <c r="AC162" i="16"/>
  <c r="AD162" i="16"/>
  <c r="AE162" i="16"/>
  <c r="A163" i="16"/>
  <c r="B163" i="16" s="1"/>
  <c r="F163" i="16"/>
  <c r="G163" i="16"/>
  <c r="H163" i="16"/>
  <c r="I163" i="16"/>
  <c r="L163" i="16"/>
  <c r="M163" i="16"/>
  <c r="N163" i="16"/>
  <c r="P163" i="16"/>
  <c r="Q163" i="16"/>
  <c r="R163" i="16"/>
  <c r="T163" i="16"/>
  <c r="U163" i="16"/>
  <c r="V163" i="16"/>
  <c r="X163" i="16"/>
  <c r="Y163" i="16"/>
  <c r="Z163" i="16"/>
  <c r="AB163" i="16"/>
  <c r="AC163" i="16"/>
  <c r="AD163" i="16"/>
  <c r="AE163" i="16"/>
  <c r="A164" i="16"/>
  <c r="C164" i="16" s="1"/>
  <c r="F164" i="16"/>
  <c r="G164" i="16"/>
  <c r="H164" i="16"/>
  <c r="I164" i="16"/>
  <c r="L164" i="16"/>
  <c r="M164" i="16"/>
  <c r="N164" i="16"/>
  <c r="P164" i="16"/>
  <c r="Q164" i="16"/>
  <c r="R164" i="16"/>
  <c r="T164" i="16"/>
  <c r="U164" i="16"/>
  <c r="V164" i="16"/>
  <c r="X164" i="16"/>
  <c r="Y164" i="16"/>
  <c r="Z164" i="16"/>
  <c r="AB164" i="16"/>
  <c r="AC164" i="16"/>
  <c r="AD164" i="16"/>
  <c r="AE164" i="16"/>
  <c r="A165" i="16"/>
  <c r="E165" i="16" s="1"/>
  <c r="F165" i="16"/>
  <c r="G165" i="16"/>
  <c r="H165" i="16"/>
  <c r="I165" i="16"/>
  <c r="L165" i="16"/>
  <c r="M165" i="16"/>
  <c r="N165" i="16"/>
  <c r="P165" i="16"/>
  <c r="Q165" i="16"/>
  <c r="R165" i="16"/>
  <c r="T165" i="16"/>
  <c r="U165" i="16"/>
  <c r="V165" i="16"/>
  <c r="X165" i="16"/>
  <c r="Y165" i="16"/>
  <c r="Z165" i="16"/>
  <c r="AB165" i="16"/>
  <c r="AC165" i="16"/>
  <c r="AD165" i="16"/>
  <c r="AE165" i="16"/>
  <c r="A166" i="16"/>
  <c r="D166" i="16" s="1"/>
  <c r="F166" i="16"/>
  <c r="G166" i="16"/>
  <c r="H166" i="16"/>
  <c r="I166" i="16"/>
  <c r="L166" i="16"/>
  <c r="M166" i="16"/>
  <c r="N166" i="16"/>
  <c r="P166" i="16"/>
  <c r="Q166" i="16"/>
  <c r="R166" i="16"/>
  <c r="T166" i="16"/>
  <c r="U166" i="16"/>
  <c r="V166" i="16"/>
  <c r="X166" i="16"/>
  <c r="Y166" i="16"/>
  <c r="Z166" i="16"/>
  <c r="AB166" i="16"/>
  <c r="AC166" i="16"/>
  <c r="AD166" i="16"/>
  <c r="AE166" i="16"/>
  <c r="A167" i="16"/>
  <c r="B167" i="16" s="1"/>
  <c r="F167" i="16"/>
  <c r="G167" i="16"/>
  <c r="H167" i="16"/>
  <c r="I167" i="16"/>
  <c r="L167" i="16"/>
  <c r="M167" i="16"/>
  <c r="N167" i="16"/>
  <c r="P167" i="16"/>
  <c r="Q167" i="16"/>
  <c r="R167" i="16"/>
  <c r="T167" i="16"/>
  <c r="U167" i="16"/>
  <c r="V167" i="16"/>
  <c r="X167" i="16"/>
  <c r="Y167" i="16"/>
  <c r="Z167" i="16"/>
  <c r="AB167" i="16"/>
  <c r="AC167" i="16"/>
  <c r="AD167" i="16"/>
  <c r="AE167" i="16"/>
  <c r="A168" i="16"/>
  <c r="E168" i="16" s="1"/>
  <c r="C168" i="16"/>
  <c r="F168" i="16"/>
  <c r="G168" i="16"/>
  <c r="H168" i="16"/>
  <c r="I168" i="16"/>
  <c r="L168" i="16"/>
  <c r="M168" i="16"/>
  <c r="N168" i="16"/>
  <c r="P168" i="16"/>
  <c r="Q168" i="16"/>
  <c r="R168" i="16"/>
  <c r="T168" i="16"/>
  <c r="U168" i="16"/>
  <c r="V168" i="16"/>
  <c r="X168" i="16"/>
  <c r="Y168" i="16"/>
  <c r="Z168" i="16"/>
  <c r="AB168" i="16"/>
  <c r="AC168" i="16"/>
  <c r="AD168" i="16"/>
  <c r="AE168" i="16"/>
  <c r="A169" i="16"/>
  <c r="C169" i="16" s="1"/>
  <c r="F169" i="16"/>
  <c r="G169" i="16"/>
  <c r="H169" i="16"/>
  <c r="I169" i="16"/>
  <c r="L169" i="16"/>
  <c r="M169" i="16"/>
  <c r="N169" i="16"/>
  <c r="P169" i="16"/>
  <c r="Q169" i="16"/>
  <c r="R169" i="16"/>
  <c r="T169" i="16"/>
  <c r="U169" i="16"/>
  <c r="V169" i="16"/>
  <c r="X169" i="16"/>
  <c r="Y169" i="16"/>
  <c r="Z169" i="16"/>
  <c r="AB169" i="16"/>
  <c r="AC169" i="16"/>
  <c r="AD169" i="16"/>
  <c r="AE169" i="16"/>
  <c r="A170" i="16"/>
  <c r="D170" i="16" s="1"/>
  <c r="F170" i="16"/>
  <c r="G170" i="16"/>
  <c r="H170" i="16"/>
  <c r="I170" i="16"/>
  <c r="L170" i="16"/>
  <c r="M170" i="16"/>
  <c r="N170" i="16"/>
  <c r="P170" i="16"/>
  <c r="Q170" i="16"/>
  <c r="R170" i="16"/>
  <c r="T170" i="16"/>
  <c r="U170" i="16"/>
  <c r="V170" i="16"/>
  <c r="X170" i="16"/>
  <c r="Y170" i="16"/>
  <c r="Z170" i="16"/>
  <c r="AB170" i="16"/>
  <c r="AC170" i="16"/>
  <c r="AD170" i="16"/>
  <c r="AE170" i="16"/>
  <c r="A171" i="16"/>
  <c r="B171" i="16" s="1"/>
  <c r="F171" i="16"/>
  <c r="G171" i="16"/>
  <c r="H171" i="16"/>
  <c r="I171" i="16"/>
  <c r="L171" i="16"/>
  <c r="M171" i="16"/>
  <c r="N171" i="16"/>
  <c r="P171" i="16"/>
  <c r="Q171" i="16"/>
  <c r="R171" i="16"/>
  <c r="T171" i="16"/>
  <c r="U171" i="16"/>
  <c r="V171" i="16"/>
  <c r="X171" i="16"/>
  <c r="Y171" i="16"/>
  <c r="Z171" i="16"/>
  <c r="AB171" i="16"/>
  <c r="AC171" i="16"/>
  <c r="AD171" i="16"/>
  <c r="AE171" i="16"/>
  <c r="A172" i="16"/>
  <c r="D172" i="16" s="1"/>
  <c r="F172" i="16"/>
  <c r="G172" i="16"/>
  <c r="H172" i="16"/>
  <c r="I172" i="16"/>
  <c r="L172" i="16"/>
  <c r="M172" i="16"/>
  <c r="N172" i="16"/>
  <c r="P172" i="16"/>
  <c r="Q172" i="16"/>
  <c r="R172" i="16"/>
  <c r="T172" i="16"/>
  <c r="U172" i="16"/>
  <c r="V172" i="16"/>
  <c r="X172" i="16"/>
  <c r="Y172" i="16"/>
  <c r="Z172" i="16"/>
  <c r="AB172" i="16"/>
  <c r="AC172" i="16"/>
  <c r="AD172" i="16"/>
  <c r="AE172" i="16"/>
  <c r="A173" i="16"/>
  <c r="B173" i="16" s="1"/>
  <c r="F173" i="16"/>
  <c r="G173" i="16"/>
  <c r="H173" i="16"/>
  <c r="I173" i="16"/>
  <c r="L173" i="16"/>
  <c r="M173" i="16"/>
  <c r="N173" i="16"/>
  <c r="P173" i="16"/>
  <c r="Q173" i="16"/>
  <c r="R173" i="16"/>
  <c r="T173" i="16"/>
  <c r="U173" i="16"/>
  <c r="V173" i="16"/>
  <c r="X173" i="16"/>
  <c r="Y173" i="16"/>
  <c r="Z173" i="16"/>
  <c r="AB173" i="16"/>
  <c r="AC173" i="16"/>
  <c r="AD173" i="16"/>
  <c r="AE173" i="16"/>
  <c r="A174" i="16"/>
  <c r="E174" i="16" s="1"/>
  <c r="F174" i="16"/>
  <c r="G174" i="16"/>
  <c r="H174" i="16"/>
  <c r="I174" i="16"/>
  <c r="L174" i="16"/>
  <c r="M174" i="16"/>
  <c r="N174" i="16"/>
  <c r="P174" i="16"/>
  <c r="Q174" i="16"/>
  <c r="R174" i="16"/>
  <c r="T174" i="16"/>
  <c r="U174" i="16"/>
  <c r="V174" i="16"/>
  <c r="X174" i="16"/>
  <c r="Y174" i="16"/>
  <c r="Z174" i="16"/>
  <c r="AB174" i="16"/>
  <c r="AC174" i="16"/>
  <c r="AD174" i="16"/>
  <c r="AE174" i="16"/>
  <c r="A175" i="16"/>
  <c r="C175" i="16" s="1"/>
  <c r="D175" i="16"/>
  <c r="F175" i="16"/>
  <c r="G175" i="16"/>
  <c r="H175" i="16"/>
  <c r="I175" i="16"/>
  <c r="L175" i="16"/>
  <c r="M175" i="16"/>
  <c r="N175" i="16"/>
  <c r="P175" i="16"/>
  <c r="Q175" i="16"/>
  <c r="R175" i="16"/>
  <c r="T175" i="16"/>
  <c r="U175" i="16"/>
  <c r="V175" i="16"/>
  <c r="X175" i="16"/>
  <c r="Y175" i="16"/>
  <c r="Z175" i="16"/>
  <c r="AB175" i="16"/>
  <c r="AC175" i="16"/>
  <c r="AD175" i="16"/>
  <c r="AE175" i="16"/>
  <c r="A176" i="16"/>
  <c r="C176" i="16" s="1"/>
  <c r="F176" i="16"/>
  <c r="G176" i="16"/>
  <c r="H176" i="16"/>
  <c r="I176" i="16"/>
  <c r="L176" i="16"/>
  <c r="M176" i="16"/>
  <c r="N176" i="16"/>
  <c r="P176" i="16"/>
  <c r="Q176" i="16"/>
  <c r="R176" i="16"/>
  <c r="T176" i="16"/>
  <c r="U176" i="16"/>
  <c r="V176" i="16"/>
  <c r="X176" i="16"/>
  <c r="Y176" i="16"/>
  <c r="Z176" i="16"/>
  <c r="AB176" i="16"/>
  <c r="AC176" i="16"/>
  <c r="AD176" i="16"/>
  <c r="AE176" i="16"/>
  <c r="A177" i="16"/>
  <c r="C177" i="16" s="1"/>
  <c r="F177" i="16"/>
  <c r="G177" i="16"/>
  <c r="H177" i="16"/>
  <c r="I177" i="16"/>
  <c r="L177" i="16"/>
  <c r="M177" i="16"/>
  <c r="N177" i="16"/>
  <c r="P177" i="16"/>
  <c r="Q177" i="16"/>
  <c r="R177" i="16"/>
  <c r="T177" i="16"/>
  <c r="U177" i="16"/>
  <c r="V177" i="16"/>
  <c r="X177" i="16"/>
  <c r="Y177" i="16"/>
  <c r="Z177" i="16"/>
  <c r="AB177" i="16"/>
  <c r="AC177" i="16"/>
  <c r="AD177" i="16"/>
  <c r="AE177" i="16"/>
  <c r="A178" i="16"/>
  <c r="E178" i="16" s="1"/>
  <c r="F178" i="16"/>
  <c r="G178" i="16"/>
  <c r="H178" i="16"/>
  <c r="I178" i="16"/>
  <c r="L178" i="16"/>
  <c r="M178" i="16"/>
  <c r="N178" i="16"/>
  <c r="P178" i="16"/>
  <c r="Q178" i="16"/>
  <c r="R178" i="16"/>
  <c r="T178" i="16"/>
  <c r="U178" i="16"/>
  <c r="V178" i="16"/>
  <c r="X178" i="16"/>
  <c r="Y178" i="16"/>
  <c r="Z178" i="16"/>
  <c r="AB178" i="16"/>
  <c r="AC178" i="16"/>
  <c r="AD178" i="16"/>
  <c r="AE178" i="16"/>
  <c r="A179" i="16"/>
  <c r="C179" i="16" s="1"/>
  <c r="F179" i="16"/>
  <c r="G179" i="16"/>
  <c r="H179" i="16"/>
  <c r="I179" i="16"/>
  <c r="L179" i="16"/>
  <c r="M179" i="16"/>
  <c r="N179" i="16"/>
  <c r="P179" i="16"/>
  <c r="Q179" i="16"/>
  <c r="R179" i="16"/>
  <c r="T179" i="16"/>
  <c r="U179" i="16"/>
  <c r="V179" i="16"/>
  <c r="X179" i="16"/>
  <c r="Y179" i="16"/>
  <c r="Z179" i="16"/>
  <c r="AB179" i="16"/>
  <c r="AC179" i="16"/>
  <c r="AD179" i="16"/>
  <c r="AE179" i="16"/>
  <c r="A180" i="16"/>
  <c r="D180" i="16" s="1"/>
  <c r="C180" i="16"/>
  <c r="F180" i="16"/>
  <c r="G180" i="16"/>
  <c r="H180" i="16"/>
  <c r="I180" i="16"/>
  <c r="L180" i="16"/>
  <c r="M180" i="16"/>
  <c r="N180" i="16"/>
  <c r="P180" i="16"/>
  <c r="Q180" i="16"/>
  <c r="R180" i="16"/>
  <c r="T180" i="16"/>
  <c r="U180" i="16"/>
  <c r="V180" i="16"/>
  <c r="X180" i="16"/>
  <c r="Y180" i="16"/>
  <c r="Z180" i="16"/>
  <c r="AB180" i="16"/>
  <c r="AC180" i="16"/>
  <c r="AD180" i="16"/>
  <c r="AE180" i="16"/>
  <c r="A181" i="16"/>
  <c r="C181" i="16" s="1"/>
  <c r="B181" i="16"/>
  <c r="E181" i="16"/>
  <c r="F181" i="16"/>
  <c r="G181" i="16"/>
  <c r="H181" i="16"/>
  <c r="I181" i="16"/>
  <c r="L181" i="16"/>
  <c r="M181" i="16"/>
  <c r="N181" i="16"/>
  <c r="P181" i="16"/>
  <c r="Q181" i="16"/>
  <c r="R181" i="16"/>
  <c r="T181" i="16"/>
  <c r="U181" i="16"/>
  <c r="V181" i="16"/>
  <c r="X181" i="16"/>
  <c r="Y181" i="16"/>
  <c r="Z181" i="16"/>
  <c r="AB181" i="16"/>
  <c r="AC181" i="16"/>
  <c r="AD181" i="16"/>
  <c r="AE181" i="16"/>
  <c r="A182" i="16"/>
  <c r="E182" i="16" s="1"/>
  <c r="C182" i="16"/>
  <c r="F182" i="16"/>
  <c r="G182" i="16"/>
  <c r="H182" i="16"/>
  <c r="I182" i="16"/>
  <c r="L182" i="16"/>
  <c r="M182" i="16"/>
  <c r="N182" i="16"/>
  <c r="P182" i="16"/>
  <c r="Q182" i="16"/>
  <c r="R182" i="16"/>
  <c r="T182" i="16"/>
  <c r="U182" i="16"/>
  <c r="V182" i="16"/>
  <c r="X182" i="16"/>
  <c r="Y182" i="16"/>
  <c r="Z182" i="16"/>
  <c r="AB182" i="16"/>
  <c r="AC182" i="16"/>
  <c r="AD182" i="16"/>
  <c r="AE182" i="16"/>
  <c r="A183" i="16"/>
  <c r="C183" i="16" s="1"/>
  <c r="F183" i="16"/>
  <c r="G183" i="16"/>
  <c r="H183" i="16"/>
  <c r="I183" i="16"/>
  <c r="L183" i="16"/>
  <c r="M183" i="16"/>
  <c r="N183" i="16"/>
  <c r="P183" i="16"/>
  <c r="Q183" i="16"/>
  <c r="R183" i="16"/>
  <c r="T183" i="16"/>
  <c r="U183" i="16"/>
  <c r="V183" i="16"/>
  <c r="X183" i="16"/>
  <c r="Y183" i="16"/>
  <c r="Z183" i="16"/>
  <c r="AB183" i="16"/>
  <c r="AC183" i="16"/>
  <c r="AD183" i="16"/>
  <c r="AE183" i="16"/>
  <c r="A184" i="16"/>
  <c r="C184" i="16" s="1"/>
  <c r="F184" i="16"/>
  <c r="G184" i="16"/>
  <c r="H184" i="16"/>
  <c r="I184" i="16"/>
  <c r="L184" i="16"/>
  <c r="M184" i="16"/>
  <c r="N184" i="16"/>
  <c r="P184" i="16"/>
  <c r="Q184" i="16"/>
  <c r="R184" i="16"/>
  <c r="T184" i="16"/>
  <c r="U184" i="16"/>
  <c r="V184" i="16"/>
  <c r="X184" i="16"/>
  <c r="Y184" i="16"/>
  <c r="Z184" i="16"/>
  <c r="AB184" i="16"/>
  <c r="AC184" i="16"/>
  <c r="AD184" i="16"/>
  <c r="AE184" i="16"/>
  <c r="A185" i="16"/>
  <c r="C185" i="16" s="1"/>
  <c r="D185" i="16"/>
  <c r="F185" i="16"/>
  <c r="G185" i="16"/>
  <c r="H185" i="16"/>
  <c r="I185" i="16"/>
  <c r="L185" i="16"/>
  <c r="M185" i="16"/>
  <c r="N185" i="16"/>
  <c r="P185" i="16"/>
  <c r="Q185" i="16"/>
  <c r="R185" i="16"/>
  <c r="T185" i="16"/>
  <c r="U185" i="16"/>
  <c r="V185" i="16"/>
  <c r="X185" i="16"/>
  <c r="Y185" i="16"/>
  <c r="Z185" i="16"/>
  <c r="AB185" i="16"/>
  <c r="AC185" i="16"/>
  <c r="AD185" i="16"/>
  <c r="AE185" i="16"/>
  <c r="A186" i="16"/>
  <c r="E186" i="16" s="1"/>
  <c r="F186" i="16"/>
  <c r="G186" i="16"/>
  <c r="H186" i="16"/>
  <c r="I186" i="16"/>
  <c r="L186" i="16"/>
  <c r="M186" i="16"/>
  <c r="N186" i="16"/>
  <c r="P186" i="16"/>
  <c r="Q186" i="16"/>
  <c r="R186" i="16"/>
  <c r="T186" i="16"/>
  <c r="U186" i="16"/>
  <c r="V186" i="16"/>
  <c r="X186" i="16"/>
  <c r="Y186" i="16"/>
  <c r="Z186" i="16"/>
  <c r="AB186" i="16"/>
  <c r="AC186" i="16"/>
  <c r="AD186" i="16"/>
  <c r="AE186" i="16"/>
  <c r="A187" i="16"/>
  <c r="C187" i="16" s="1"/>
  <c r="F187" i="16"/>
  <c r="G187" i="16"/>
  <c r="H187" i="16"/>
  <c r="I187" i="16"/>
  <c r="L187" i="16"/>
  <c r="M187" i="16"/>
  <c r="N187" i="16"/>
  <c r="P187" i="16"/>
  <c r="Q187" i="16"/>
  <c r="R187" i="16"/>
  <c r="T187" i="16"/>
  <c r="U187" i="16"/>
  <c r="V187" i="16"/>
  <c r="X187" i="16"/>
  <c r="Y187" i="16"/>
  <c r="Z187" i="16"/>
  <c r="AB187" i="16"/>
  <c r="AC187" i="16"/>
  <c r="AD187" i="16"/>
  <c r="AE187" i="16"/>
  <c r="A188" i="16"/>
  <c r="D188" i="16" s="1"/>
  <c r="E188" i="16"/>
  <c r="F188" i="16"/>
  <c r="G188" i="16"/>
  <c r="H188" i="16"/>
  <c r="I188" i="16"/>
  <c r="L188" i="16"/>
  <c r="M188" i="16"/>
  <c r="N188" i="16"/>
  <c r="P188" i="16"/>
  <c r="Q188" i="16"/>
  <c r="R188" i="16"/>
  <c r="T188" i="16"/>
  <c r="U188" i="16"/>
  <c r="V188" i="16"/>
  <c r="X188" i="16"/>
  <c r="Y188" i="16"/>
  <c r="Z188" i="16"/>
  <c r="AB188" i="16"/>
  <c r="AC188" i="16"/>
  <c r="AD188" i="16"/>
  <c r="AE188" i="16"/>
  <c r="A189" i="16"/>
  <c r="C189" i="16" s="1"/>
  <c r="F189" i="16"/>
  <c r="G189" i="16"/>
  <c r="H189" i="16"/>
  <c r="I189" i="16"/>
  <c r="L189" i="16"/>
  <c r="M189" i="16"/>
  <c r="N189" i="16"/>
  <c r="P189" i="16"/>
  <c r="Q189" i="16"/>
  <c r="R189" i="16"/>
  <c r="T189" i="16"/>
  <c r="U189" i="16"/>
  <c r="V189" i="16"/>
  <c r="X189" i="16"/>
  <c r="Y189" i="16"/>
  <c r="Z189" i="16"/>
  <c r="AB189" i="16"/>
  <c r="AC189" i="16"/>
  <c r="AD189" i="16"/>
  <c r="AE189" i="16"/>
  <c r="A190" i="16"/>
  <c r="E190" i="16" s="1"/>
  <c r="C190" i="16"/>
  <c r="F190" i="16"/>
  <c r="G190" i="16"/>
  <c r="H190" i="16"/>
  <c r="I190" i="16"/>
  <c r="L190" i="16"/>
  <c r="M190" i="16"/>
  <c r="N190" i="16"/>
  <c r="P190" i="16"/>
  <c r="Q190" i="16"/>
  <c r="R190" i="16"/>
  <c r="T190" i="16"/>
  <c r="U190" i="16"/>
  <c r="V190" i="16"/>
  <c r="X190" i="16"/>
  <c r="Y190" i="16"/>
  <c r="Z190" i="16"/>
  <c r="AB190" i="16"/>
  <c r="AC190" i="16"/>
  <c r="AD190" i="16"/>
  <c r="AE190" i="16"/>
  <c r="A191" i="16"/>
  <c r="C191" i="16" s="1"/>
  <c r="D191" i="16"/>
  <c r="F191" i="16"/>
  <c r="G191" i="16"/>
  <c r="H191" i="16"/>
  <c r="I191" i="16"/>
  <c r="L191" i="16"/>
  <c r="M191" i="16"/>
  <c r="N191" i="16"/>
  <c r="P191" i="16"/>
  <c r="Q191" i="16"/>
  <c r="R191" i="16"/>
  <c r="T191" i="16"/>
  <c r="U191" i="16"/>
  <c r="V191" i="16"/>
  <c r="X191" i="16"/>
  <c r="Y191" i="16"/>
  <c r="Z191" i="16"/>
  <c r="AB191" i="16"/>
  <c r="AC191" i="16"/>
  <c r="AD191" i="16"/>
  <c r="AE191" i="16"/>
  <c r="A192" i="16"/>
  <c r="C192" i="16" s="1"/>
  <c r="F192" i="16"/>
  <c r="G192" i="16"/>
  <c r="H192" i="16"/>
  <c r="I192" i="16"/>
  <c r="L192" i="16"/>
  <c r="M192" i="16"/>
  <c r="N192" i="16"/>
  <c r="P192" i="16"/>
  <c r="Q192" i="16"/>
  <c r="R192" i="16"/>
  <c r="T192" i="16"/>
  <c r="U192" i="16"/>
  <c r="V192" i="16"/>
  <c r="X192" i="16"/>
  <c r="Y192" i="16"/>
  <c r="Z192" i="16"/>
  <c r="AB192" i="16"/>
  <c r="AC192" i="16"/>
  <c r="AD192" i="16"/>
  <c r="AE192" i="16"/>
  <c r="A193" i="16"/>
  <c r="C193" i="16" s="1"/>
  <c r="F193" i="16"/>
  <c r="G193" i="16"/>
  <c r="H193" i="16"/>
  <c r="I193" i="16"/>
  <c r="L193" i="16"/>
  <c r="M193" i="16"/>
  <c r="N193" i="16"/>
  <c r="P193" i="16"/>
  <c r="Q193" i="16"/>
  <c r="R193" i="16"/>
  <c r="T193" i="16"/>
  <c r="U193" i="16"/>
  <c r="V193" i="16"/>
  <c r="X193" i="16"/>
  <c r="Y193" i="16"/>
  <c r="Z193" i="16"/>
  <c r="AB193" i="16"/>
  <c r="AC193" i="16"/>
  <c r="AD193" i="16"/>
  <c r="AE193" i="16"/>
  <c r="T2" i="16"/>
  <c r="U2" i="16"/>
  <c r="V2" i="16"/>
  <c r="X2" i="16"/>
  <c r="Y2" i="16"/>
  <c r="Z2" i="16"/>
  <c r="AB2" i="16"/>
  <c r="AC2" i="16"/>
  <c r="AD2" i="16"/>
  <c r="AE2" i="16"/>
  <c r="P2" i="16"/>
  <c r="Q2" i="16"/>
  <c r="R2" i="16"/>
  <c r="M2" i="16"/>
  <c r="N2" i="16"/>
  <c r="L2" i="16"/>
  <c r="H2" i="16"/>
  <c r="I2" i="16"/>
  <c r="G2" i="16"/>
  <c r="F2" i="16"/>
  <c r="A2" i="16"/>
  <c r="D2" i="16" s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3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4" i="1"/>
  <c r="K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2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2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36" i="1"/>
  <c r="AH44" i="1"/>
  <c r="AH38" i="1"/>
  <c r="AH33" i="1"/>
  <c r="AH43" i="1"/>
  <c r="AH40" i="1"/>
  <c r="AH31" i="1"/>
  <c r="AH45" i="1"/>
  <c r="AH46" i="1"/>
  <c r="AH42" i="1"/>
  <c r="AH47" i="1"/>
  <c r="AH32" i="1"/>
  <c r="AH48" i="1"/>
  <c r="AH49" i="1"/>
  <c r="AH39" i="1"/>
  <c r="AH35" i="1"/>
  <c r="AH37" i="1"/>
  <c r="AH41" i="1"/>
  <c r="AH34" i="1"/>
  <c r="C130" i="16" l="1"/>
  <c r="E128" i="16"/>
  <c r="E78" i="16"/>
  <c r="E97" i="16"/>
  <c r="E85" i="16"/>
  <c r="C47" i="16"/>
  <c r="C44" i="16"/>
  <c r="B190" i="16"/>
  <c r="C188" i="16"/>
  <c r="B180" i="16"/>
  <c r="E25" i="16"/>
  <c r="E4" i="16"/>
  <c r="B170" i="16"/>
  <c r="E151" i="16"/>
  <c r="C126" i="16"/>
  <c r="E58" i="16"/>
  <c r="E41" i="16"/>
  <c r="D4" i="16"/>
  <c r="E66" i="16"/>
  <c r="D27" i="16"/>
  <c r="E21" i="16"/>
  <c r="E189" i="16"/>
  <c r="E172" i="16"/>
  <c r="B189" i="16"/>
  <c r="B183" i="16"/>
  <c r="B172" i="16"/>
  <c r="E105" i="16"/>
  <c r="E75" i="16"/>
  <c r="E29" i="16"/>
  <c r="E5" i="16"/>
  <c r="C2" i="16"/>
  <c r="D190" i="16"/>
  <c r="E180" i="16"/>
  <c r="B174" i="16"/>
  <c r="C161" i="16"/>
  <c r="E70" i="16"/>
  <c r="C39" i="16"/>
  <c r="E32" i="16"/>
  <c r="E12" i="16"/>
  <c r="D193" i="16"/>
  <c r="D183" i="16"/>
  <c r="C174" i="16"/>
  <c r="C162" i="16"/>
  <c r="C139" i="16"/>
  <c r="E143" i="16"/>
  <c r="C116" i="16"/>
  <c r="C100" i="16"/>
  <c r="C87" i="16"/>
  <c r="C69" i="16"/>
  <c r="C57" i="16"/>
  <c r="C82" i="16"/>
  <c r="C76" i="16"/>
  <c r="C96" i="16"/>
  <c r="D39" i="16"/>
  <c r="E33" i="16"/>
  <c r="C7" i="16"/>
  <c r="E121" i="16"/>
  <c r="E91" i="16"/>
  <c r="B12" i="16"/>
  <c r="B2" i="16"/>
  <c r="B188" i="16"/>
  <c r="D182" i="16"/>
  <c r="B175" i="16"/>
  <c r="C170" i="16"/>
  <c r="C121" i="16"/>
  <c r="C92" i="16"/>
  <c r="C91" i="16"/>
  <c r="C60" i="16"/>
  <c r="C89" i="16"/>
  <c r="C55" i="16"/>
  <c r="C78" i="16"/>
  <c r="E20" i="16"/>
  <c r="D8" i="16"/>
  <c r="D20" i="16"/>
  <c r="E2" i="16"/>
  <c r="B191" i="16"/>
  <c r="B182" i="16"/>
  <c r="D177" i="16"/>
  <c r="E160" i="16"/>
  <c r="C124" i="16"/>
  <c r="E37" i="16"/>
  <c r="C31" i="16"/>
  <c r="E28" i="16"/>
  <c r="C20" i="16"/>
  <c r="C3" i="16"/>
  <c r="D174" i="16"/>
  <c r="E139" i="16"/>
  <c r="E116" i="16"/>
  <c r="E100" i="16"/>
  <c r="E69" i="16"/>
  <c r="E82" i="16"/>
  <c r="E96" i="16"/>
  <c r="D16" i="16"/>
  <c r="E13" i="16"/>
  <c r="D7" i="16"/>
  <c r="E193" i="16"/>
  <c r="B192" i="16"/>
  <c r="B187" i="16"/>
  <c r="E185" i="16"/>
  <c r="B184" i="16"/>
  <c r="B179" i="16"/>
  <c r="E177" i="16"/>
  <c r="B176" i="16"/>
  <c r="C165" i="16"/>
  <c r="E162" i="16"/>
  <c r="C113" i="16"/>
  <c r="C108" i="16"/>
  <c r="C36" i="16"/>
  <c r="D31" i="16"/>
  <c r="D24" i="16"/>
  <c r="E17" i="16"/>
  <c r="D15" i="16"/>
  <c r="C11" i="16"/>
  <c r="E8" i="16"/>
  <c r="B193" i="16"/>
  <c r="B185" i="16"/>
  <c r="B177" i="16"/>
  <c r="D171" i="16"/>
  <c r="E169" i="16"/>
  <c r="B162" i="16"/>
  <c r="E141" i="16"/>
  <c r="C135" i="16"/>
  <c r="C128" i="16"/>
  <c r="C143" i="16"/>
  <c r="E120" i="16"/>
  <c r="E117" i="16"/>
  <c r="E104" i="16"/>
  <c r="C99" i="16"/>
  <c r="E95" i="16"/>
  <c r="C71" i="16"/>
  <c r="E64" i="16"/>
  <c r="C86" i="16"/>
  <c r="E61" i="16"/>
  <c r="C68" i="16"/>
  <c r="E93" i="16"/>
  <c r="C67" i="16"/>
  <c r="E80" i="16"/>
  <c r="C65" i="16"/>
  <c r="E53" i="16"/>
  <c r="C73" i="16"/>
  <c r="E48" i="16"/>
  <c r="C43" i="16"/>
  <c r="E40" i="16"/>
  <c r="D28" i="16"/>
  <c r="D19" i="16"/>
  <c r="D12" i="16"/>
  <c r="C8" i="16"/>
  <c r="D186" i="16"/>
  <c r="D178" i="16"/>
  <c r="C141" i="16"/>
  <c r="C120" i="16"/>
  <c r="C117" i="16"/>
  <c r="C104" i="16"/>
  <c r="E101" i="16"/>
  <c r="C95" i="16"/>
  <c r="E50" i="16"/>
  <c r="C64" i="16"/>
  <c r="E90" i="16"/>
  <c r="C61" i="16"/>
  <c r="E59" i="16"/>
  <c r="C93" i="16"/>
  <c r="E56" i="16"/>
  <c r="C80" i="16"/>
  <c r="E54" i="16"/>
  <c r="C53" i="16"/>
  <c r="E52" i="16"/>
  <c r="C48" i="16"/>
  <c r="E45" i="16"/>
  <c r="C40" i="16"/>
  <c r="D35" i="16"/>
  <c r="C28" i="16"/>
  <c r="C19" i="16"/>
  <c r="E16" i="16"/>
  <c r="C186" i="16"/>
  <c r="C178" i="16"/>
  <c r="E166" i="16"/>
  <c r="E149" i="16"/>
  <c r="E146" i="16"/>
  <c r="D23" i="16"/>
  <c r="E192" i="16"/>
  <c r="D189" i="16"/>
  <c r="B186" i="16"/>
  <c r="E184" i="16"/>
  <c r="D181" i="16"/>
  <c r="B178" i="16"/>
  <c r="E176" i="16"/>
  <c r="E170" i="16"/>
  <c r="B166" i="16"/>
  <c r="C149" i="16"/>
  <c r="C146" i="16"/>
  <c r="E124" i="16"/>
  <c r="E126" i="16"/>
  <c r="C32" i="16"/>
  <c r="C23" i="16"/>
  <c r="C16" i="16"/>
  <c r="E9" i="16"/>
  <c r="D3" i="16"/>
  <c r="D192" i="16"/>
  <c r="D184" i="16"/>
  <c r="D176" i="16"/>
  <c r="D187" i="16"/>
  <c r="D179" i="16"/>
  <c r="E113" i="16"/>
  <c r="E108" i="16"/>
  <c r="E36" i="16"/>
  <c r="E24" i="16"/>
  <c r="D11" i="16"/>
  <c r="B140" i="16"/>
  <c r="C140" i="16"/>
  <c r="D140" i="16"/>
  <c r="B110" i="16"/>
  <c r="C110" i="16"/>
  <c r="D110" i="16"/>
  <c r="E110" i="16"/>
  <c r="E191" i="16"/>
  <c r="E187" i="16"/>
  <c r="E183" i="16"/>
  <c r="E179" i="16"/>
  <c r="E175" i="16"/>
  <c r="C171" i="16"/>
  <c r="E167" i="16"/>
  <c r="D164" i="16"/>
  <c r="B164" i="16"/>
  <c r="B133" i="16"/>
  <c r="D133" i="16"/>
  <c r="E133" i="16"/>
  <c r="B122" i="16"/>
  <c r="C122" i="16"/>
  <c r="D122" i="16"/>
  <c r="E122" i="16"/>
  <c r="B115" i="16"/>
  <c r="D115" i="16"/>
  <c r="E115" i="16"/>
  <c r="B102" i="16"/>
  <c r="C102" i="16"/>
  <c r="D102" i="16"/>
  <c r="E102" i="16"/>
  <c r="B72" i="16"/>
  <c r="C72" i="16"/>
  <c r="D72" i="16"/>
  <c r="E72" i="16"/>
  <c r="B157" i="16"/>
  <c r="D157" i="16"/>
  <c r="B155" i="16"/>
  <c r="D155" i="16"/>
  <c r="B153" i="16"/>
  <c r="D153" i="16"/>
  <c r="D167" i="16"/>
  <c r="E158" i="16"/>
  <c r="E156" i="16"/>
  <c r="E154" i="16"/>
  <c r="E125" i="16"/>
  <c r="B152" i="16"/>
  <c r="C152" i="16"/>
  <c r="D152" i="16"/>
  <c r="D151" i="16"/>
  <c r="B151" i="16"/>
  <c r="E148" i="16"/>
  <c r="B147" i="16"/>
  <c r="C147" i="16"/>
  <c r="D147" i="16"/>
  <c r="B144" i="16"/>
  <c r="D144" i="16"/>
  <c r="E144" i="16"/>
  <c r="C172" i="16"/>
  <c r="B169" i="16"/>
  <c r="D169" i="16"/>
  <c r="C167" i="16"/>
  <c r="E163" i="16"/>
  <c r="D160" i="16"/>
  <c r="B160" i="16"/>
  <c r="B137" i="16"/>
  <c r="D137" i="16"/>
  <c r="E137" i="16"/>
  <c r="B114" i="16"/>
  <c r="C114" i="16"/>
  <c r="D114" i="16"/>
  <c r="E114" i="16"/>
  <c r="B107" i="16"/>
  <c r="D107" i="16"/>
  <c r="E107" i="16"/>
  <c r="D163" i="16"/>
  <c r="B158" i="16"/>
  <c r="D158" i="16"/>
  <c r="D156" i="16"/>
  <c r="B156" i="16"/>
  <c r="B154" i="16"/>
  <c r="D154" i="16"/>
  <c r="D125" i="16"/>
  <c r="B125" i="16"/>
  <c r="E134" i="16"/>
  <c r="B132" i="16"/>
  <c r="C132" i="16"/>
  <c r="D132" i="16"/>
  <c r="D148" i="16"/>
  <c r="B148" i="16"/>
  <c r="B127" i="16"/>
  <c r="C127" i="16"/>
  <c r="D127" i="16"/>
  <c r="E127" i="16"/>
  <c r="B119" i="16"/>
  <c r="D119" i="16"/>
  <c r="E119" i="16"/>
  <c r="E173" i="16"/>
  <c r="B165" i="16"/>
  <c r="D165" i="16"/>
  <c r="C163" i="16"/>
  <c r="E159" i="16"/>
  <c r="B150" i="16"/>
  <c r="D150" i="16"/>
  <c r="E150" i="16"/>
  <c r="B145" i="16"/>
  <c r="D145" i="16"/>
  <c r="E145" i="16"/>
  <c r="B106" i="16"/>
  <c r="C106" i="16"/>
  <c r="D106" i="16"/>
  <c r="E106" i="16"/>
  <c r="B98" i="16"/>
  <c r="C98" i="16"/>
  <c r="D98" i="16"/>
  <c r="E98" i="16"/>
  <c r="D138" i="16"/>
  <c r="B138" i="16"/>
  <c r="D173" i="16"/>
  <c r="D159" i="16"/>
  <c r="E157" i="16"/>
  <c r="E155" i="16"/>
  <c r="E153" i="16"/>
  <c r="E138" i="16"/>
  <c r="B136" i="16"/>
  <c r="C136" i="16"/>
  <c r="D136" i="16"/>
  <c r="D134" i="16"/>
  <c r="B134" i="16"/>
  <c r="B118" i="16"/>
  <c r="C118" i="16"/>
  <c r="D118" i="16"/>
  <c r="E118" i="16"/>
  <c r="B111" i="16"/>
  <c r="D111" i="16"/>
  <c r="E111" i="16"/>
  <c r="C173" i="16"/>
  <c r="E171" i="16"/>
  <c r="D168" i="16"/>
  <c r="B168" i="16"/>
  <c r="C166" i="16"/>
  <c r="E164" i="16"/>
  <c r="B161" i="16"/>
  <c r="D161" i="16"/>
  <c r="C159" i="16"/>
  <c r="C157" i="16"/>
  <c r="C155" i="16"/>
  <c r="C153" i="16"/>
  <c r="B142" i="16"/>
  <c r="D142" i="16"/>
  <c r="E142" i="16"/>
  <c r="E140" i="16"/>
  <c r="C138" i="16"/>
  <c r="B131" i="16"/>
  <c r="D131" i="16"/>
  <c r="E131" i="16"/>
  <c r="B129" i="16"/>
  <c r="C129" i="16"/>
  <c r="D129" i="16"/>
  <c r="E129" i="16"/>
  <c r="B123" i="16"/>
  <c r="D123" i="16"/>
  <c r="E123" i="16"/>
  <c r="B103" i="16"/>
  <c r="D103" i="16"/>
  <c r="E103" i="16"/>
  <c r="D141" i="16"/>
  <c r="D139" i="16"/>
  <c r="D135" i="16"/>
  <c r="D149" i="16"/>
  <c r="D130" i="16"/>
  <c r="B146" i="16"/>
  <c r="D124" i="16"/>
  <c r="B128" i="16"/>
  <c r="D143" i="16"/>
  <c r="B126" i="16"/>
  <c r="D121" i="16"/>
  <c r="B120" i="16"/>
  <c r="D117" i="16"/>
  <c r="B116" i="16"/>
  <c r="D113" i="16"/>
  <c r="B112" i="16"/>
  <c r="D109" i="16"/>
  <c r="B108" i="16"/>
  <c r="D105" i="16"/>
  <c r="B104" i="16"/>
  <c r="D101" i="16"/>
  <c r="B100" i="16"/>
  <c r="D97" i="16"/>
  <c r="B95" i="16"/>
  <c r="D50" i="16"/>
  <c r="B91" i="16"/>
  <c r="D70" i="16"/>
  <c r="B64" i="16"/>
  <c r="D90" i="16"/>
  <c r="B69" i="16"/>
  <c r="D85" i="16"/>
  <c r="B61" i="16"/>
  <c r="D59" i="16"/>
  <c r="B89" i="16"/>
  <c r="D58" i="16"/>
  <c r="B93" i="16"/>
  <c r="D56" i="16"/>
  <c r="B82" i="16"/>
  <c r="D66" i="16"/>
  <c r="B80" i="16"/>
  <c r="D54" i="16"/>
  <c r="B78" i="16"/>
  <c r="D75" i="16"/>
  <c r="B53" i="16"/>
  <c r="D52" i="16"/>
  <c r="B96" i="16"/>
  <c r="D49" i="16"/>
  <c r="B48" i="16"/>
  <c r="D45" i="16"/>
  <c r="B44" i="16"/>
  <c r="D41" i="16"/>
  <c r="B40" i="16"/>
  <c r="D37" i="16"/>
  <c r="B36" i="16"/>
  <c r="D33" i="16"/>
  <c r="B32" i="16"/>
  <c r="D29" i="16"/>
  <c r="D25" i="16"/>
  <c r="D21" i="16"/>
  <c r="D17" i="16"/>
  <c r="D13" i="16"/>
  <c r="D9" i="16"/>
  <c r="D5" i="16"/>
  <c r="C105" i="16"/>
  <c r="C101" i="16"/>
  <c r="C97" i="16"/>
  <c r="C50" i="16"/>
  <c r="E88" i="16"/>
  <c r="C70" i="16"/>
  <c r="E63" i="16"/>
  <c r="C90" i="16"/>
  <c r="E62" i="16"/>
  <c r="C85" i="16"/>
  <c r="E94" i="16"/>
  <c r="C59" i="16"/>
  <c r="E84" i="16"/>
  <c r="C58" i="16"/>
  <c r="E83" i="16"/>
  <c r="C56" i="16"/>
  <c r="E81" i="16"/>
  <c r="C66" i="16"/>
  <c r="E79" i="16"/>
  <c r="C54" i="16"/>
  <c r="E77" i="16"/>
  <c r="C75" i="16"/>
  <c r="E74" i="16"/>
  <c r="C52" i="16"/>
  <c r="E51" i="16"/>
  <c r="C49" i="16"/>
  <c r="E46" i="16"/>
  <c r="C45" i="16"/>
  <c r="E42" i="16"/>
  <c r="C41" i="16"/>
  <c r="E38" i="16"/>
  <c r="C37" i="16"/>
  <c r="E34" i="16"/>
  <c r="C33" i="16"/>
  <c r="E30" i="16"/>
  <c r="C29" i="16"/>
  <c r="E26" i="16"/>
  <c r="C25" i="16"/>
  <c r="E22" i="16"/>
  <c r="C21" i="16"/>
  <c r="E18" i="16"/>
  <c r="C17" i="16"/>
  <c r="E14" i="16"/>
  <c r="C13" i="16"/>
  <c r="E10" i="16"/>
  <c r="C9" i="16"/>
  <c r="E6" i="16"/>
  <c r="C5" i="16"/>
  <c r="D88" i="16"/>
  <c r="D63" i="16"/>
  <c r="D62" i="16"/>
  <c r="D94" i="16"/>
  <c r="D84" i="16"/>
  <c r="D83" i="16"/>
  <c r="D81" i="16"/>
  <c r="D79" i="16"/>
  <c r="D77" i="16"/>
  <c r="D74" i="16"/>
  <c r="D51" i="16"/>
  <c r="D46" i="16"/>
  <c r="D42" i="16"/>
  <c r="D38" i="16"/>
  <c r="D34" i="16"/>
  <c r="D30" i="16"/>
  <c r="D26" i="16"/>
  <c r="D22" i="16"/>
  <c r="D18" i="16"/>
  <c r="D14" i="16"/>
  <c r="D10" i="16"/>
  <c r="D6" i="16"/>
  <c r="E99" i="16"/>
  <c r="E92" i="16"/>
  <c r="E71" i="16"/>
  <c r="C88" i="16"/>
  <c r="E87" i="16"/>
  <c r="C63" i="16"/>
  <c r="E86" i="16"/>
  <c r="C62" i="16"/>
  <c r="E60" i="16"/>
  <c r="C94" i="16"/>
  <c r="E68" i="16"/>
  <c r="C84" i="16"/>
  <c r="E57" i="16"/>
  <c r="C83" i="16"/>
  <c r="E67" i="16"/>
  <c r="C81" i="16"/>
  <c r="E55" i="16"/>
  <c r="C79" i="16"/>
  <c r="E65" i="16"/>
  <c r="C77" i="16"/>
  <c r="E76" i="16"/>
  <c r="C74" i="16"/>
  <c r="E73" i="16"/>
  <c r="C51" i="16"/>
  <c r="E47" i="16"/>
  <c r="C46" i="16"/>
  <c r="E43" i="16"/>
  <c r="C42" i="16"/>
  <c r="E39" i="16"/>
  <c r="C38" i="16"/>
  <c r="E35" i="16"/>
  <c r="C34" i="16"/>
  <c r="E31" i="16"/>
  <c r="C30" i="16"/>
  <c r="E27" i="16"/>
  <c r="C26" i="16"/>
  <c r="E23" i="16"/>
  <c r="C22" i="16"/>
  <c r="E19" i="16"/>
  <c r="C18" i="16"/>
  <c r="E15" i="16"/>
  <c r="C14" i="16"/>
  <c r="E11" i="16"/>
  <c r="C10" i="16"/>
  <c r="E7" i="16"/>
  <c r="C6" i="16"/>
  <c r="E3" i="16"/>
  <c r="D99" i="16"/>
  <c r="D92" i="16"/>
  <c r="D71" i="16"/>
  <c r="D87" i="16"/>
  <c r="D86" i="16"/>
  <c r="D60" i="16"/>
  <c r="D68" i="16"/>
  <c r="D57" i="16"/>
  <c r="D67" i="16"/>
  <c r="D55" i="16"/>
  <c r="D65" i="16"/>
  <c r="D76" i="16"/>
  <c r="D73" i="16"/>
  <c r="D47" i="16"/>
  <c r="D43" i="16"/>
  <c r="F15" i="13"/>
  <c r="AI500" i="1"/>
  <c r="W500" i="1"/>
  <c r="T500" i="1"/>
  <c r="P500" i="1"/>
  <c r="O500" i="1"/>
  <c r="AI499" i="1"/>
  <c r="W499" i="1"/>
  <c r="T499" i="1"/>
  <c r="P499" i="1"/>
  <c r="O499" i="1"/>
  <c r="AI498" i="1"/>
  <c r="X498" i="1"/>
  <c r="W498" i="1"/>
  <c r="T498" i="1"/>
  <c r="P498" i="1"/>
  <c r="AI497" i="1"/>
  <c r="X497" i="1"/>
  <c r="AI496" i="1"/>
  <c r="X496" i="1"/>
  <c r="W496" i="1"/>
  <c r="S496" i="1"/>
  <c r="O496" i="1"/>
  <c r="AI495" i="1"/>
  <c r="X495" i="1"/>
  <c r="W495" i="1"/>
  <c r="T495" i="1"/>
  <c r="S495" i="1"/>
  <c r="P495" i="1"/>
  <c r="AI494" i="1"/>
  <c r="X494" i="1"/>
  <c r="T494" i="1"/>
  <c r="P494" i="1"/>
  <c r="O494" i="1"/>
  <c r="AI493" i="1"/>
  <c r="AI492" i="1"/>
  <c r="X492" i="1"/>
  <c r="W492" i="1"/>
  <c r="S492" i="1"/>
  <c r="P492" i="1"/>
  <c r="O492" i="1"/>
  <c r="AI491" i="1"/>
  <c r="W491" i="1"/>
  <c r="S491" i="1"/>
  <c r="T491" i="1"/>
  <c r="P491" i="1"/>
  <c r="O491" i="1"/>
  <c r="AI490" i="1"/>
  <c r="W490" i="1"/>
  <c r="S490" i="1"/>
  <c r="T490" i="1"/>
  <c r="O490" i="1"/>
  <c r="P490" i="1"/>
  <c r="AI489" i="1"/>
  <c r="T489" i="1"/>
  <c r="AI488" i="1"/>
  <c r="X488" i="1"/>
  <c r="W488" i="1"/>
  <c r="T488" i="1"/>
  <c r="S488" i="1"/>
  <c r="AI487" i="1"/>
  <c r="X487" i="1"/>
  <c r="T487" i="1"/>
  <c r="O487" i="1"/>
  <c r="AI486" i="1"/>
  <c r="T486" i="1"/>
  <c r="P486" i="1"/>
  <c r="AI485" i="1"/>
  <c r="W485" i="1"/>
  <c r="S485" i="1"/>
  <c r="T485" i="1"/>
  <c r="AI484" i="1"/>
  <c r="X484" i="1"/>
  <c r="T484" i="1"/>
  <c r="AI483" i="1"/>
  <c r="X483" i="1"/>
  <c r="T483" i="1"/>
  <c r="S483" i="1"/>
  <c r="P483" i="1"/>
  <c r="O483" i="1"/>
  <c r="AI482" i="1"/>
  <c r="W482" i="1"/>
  <c r="X482" i="1"/>
  <c r="T482" i="1"/>
  <c r="P482" i="1"/>
  <c r="AI481" i="1"/>
  <c r="W481" i="1"/>
  <c r="X481" i="1"/>
  <c r="AI480" i="1"/>
  <c r="X480" i="1"/>
  <c r="AI479" i="1"/>
  <c r="W479" i="1"/>
  <c r="S479" i="1"/>
  <c r="O479" i="1"/>
  <c r="P479" i="1"/>
  <c r="AI478" i="1"/>
  <c r="W478" i="1"/>
  <c r="X478" i="1"/>
  <c r="T478" i="1"/>
  <c r="S478" i="1"/>
  <c r="P478" i="1"/>
  <c r="AI477" i="1"/>
  <c r="S477" i="1"/>
  <c r="T477" i="1"/>
  <c r="O477" i="1"/>
  <c r="P477" i="1"/>
  <c r="AI476" i="1"/>
  <c r="W476" i="1"/>
  <c r="S476" i="1"/>
  <c r="T476" i="1"/>
  <c r="P476" i="1"/>
  <c r="O476" i="1"/>
  <c r="AI475" i="1"/>
  <c r="X475" i="1"/>
  <c r="T475" i="1"/>
  <c r="S475" i="1"/>
  <c r="AI474" i="1"/>
  <c r="X474" i="1"/>
  <c r="W474" i="1"/>
  <c r="S474" i="1"/>
  <c r="T474" i="1"/>
  <c r="O474" i="1"/>
  <c r="P474" i="1"/>
  <c r="AI473" i="1"/>
  <c r="X473" i="1"/>
  <c r="T473" i="1"/>
  <c r="AI472" i="1"/>
  <c r="X472" i="1"/>
  <c r="S472" i="1"/>
  <c r="T472" i="1"/>
  <c r="O472" i="1"/>
  <c r="AI471" i="1"/>
  <c r="X471" i="1"/>
  <c r="W471" i="1"/>
  <c r="P471" i="1"/>
  <c r="O471" i="1"/>
  <c r="AI470" i="1"/>
  <c r="X470" i="1"/>
  <c r="P470" i="1"/>
  <c r="O470" i="1"/>
  <c r="AI469" i="1"/>
  <c r="X469" i="1"/>
  <c r="S469" i="1"/>
  <c r="AI468" i="1"/>
  <c r="X468" i="1"/>
  <c r="W468" i="1"/>
  <c r="S468" i="1"/>
  <c r="P468" i="1"/>
  <c r="O468" i="1"/>
  <c r="AI467" i="1"/>
  <c r="W467" i="1"/>
  <c r="T467" i="1"/>
  <c r="P467" i="1"/>
  <c r="AI466" i="1"/>
  <c r="X466" i="1"/>
  <c r="S466" i="1"/>
  <c r="T466" i="1"/>
  <c r="O466" i="1"/>
  <c r="P466" i="1"/>
  <c r="AI465" i="1"/>
  <c r="W465" i="1"/>
  <c r="T465" i="1"/>
  <c r="S465" i="1"/>
  <c r="O465" i="1"/>
  <c r="P465" i="1"/>
  <c r="AI464" i="1"/>
  <c r="W464" i="1"/>
  <c r="T464" i="1"/>
  <c r="S464" i="1"/>
  <c r="AI463" i="1"/>
  <c r="X463" i="1"/>
  <c r="T463" i="1"/>
  <c r="AI462" i="1"/>
  <c r="X462" i="1"/>
  <c r="P462" i="1"/>
  <c r="O462" i="1"/>
  <c r="AI461" i="1"/>
  <c r="X461" i="1"/>
  <c r="S461" i="1"/>
  <c r="T461" i="1"/>
  <c r="P461" i="1"/>
  <c r="O461" i="1"/>
  <c r="AI460" i="1"/>
  <c r="S460" i="1"/>
  <c r="T460" i="1"/>
  <c r="P460" i="1"/>
  <c r="O460" i="1"/>
  <c r="AI459" i="1"/>
  <c r="S459" i="1"/>
  <c r="AI458" i="1"/>
  <c r="X458" i="1"/>
  <c r="P458" i="1"/>
  <c r="O458" i="1"/>
  <c r="AI457" i="1"/>
  <c r="X457" i="1"/>
  <c r="S457" i="1"/>
  <c r="P457" i="1"/>
  <c r="O457" i="1"/>
  <c r="AI456" i="1"/>
  <c r="W456" i="1"/>
  <c r="T456" i="1"/>
  <c r="P456" i="1"/>
  <c r="O456" i="1"/>
  <c r="AI455" i="1"/>
  <c r="T455" i="1"/>
  <c r="AI454" i="1"/>
  <c r="W454" i="1"/>
  <c r="T454" i="1"/>
  <c r="S454" i="1"/>
  <c r="AI453" i="1"/>
  <c r="X453" i="1"/>
  <c r="W453" i="1"/>
  <c r="T453" i="1"/>
  <c r="S453" i="1"/>
  <c r="AI452" i="1"/>
  <c r="X452" i="1"/>
  <c r="T452" i="1"/>
  <c r="S452" i="1"/>
  <c r="AI451" i="1"/>
  <c r="X451" i="1"/>
  <c r="P451" i="1"/>
  <c r="AI450" i="1"/>
  <c r="X450" i="1"/>
  <c r="O450" i="1"/>
  <c r="P450" i="1"/>
  <c r="AI449" i="1"/>
  <c r="X449" i="1"/>
  <c r="T449" i="1"/>
  <c r="O449" i="1"/>
  <c r="AI448" i="1"/>
  <c r="X448" i="1"/>
  <c r="T448" i="1"/>
  <c r="S448" i="1"/>
  <c r="P448" i="1"/>
  <c r="O448" i="1"/>
  <c r="AI447" i="1"/>
  <c r="X447" i="1"/>
  <c r="W447" i="1"/>
  <c r="S447" i="1"/>
  <c r="O447" i="1"/>
  <c r="AI446" i="1"/>
  <c r="X446" i="1"/>
  <c r="S446" i="1"/>
  <c r="P446" i="1"/>
  <c r="AI445" i="1"/>
  <c r="O445" i="1"/>
  <c r="P445" i="1"/>
  <c r="AI444" i="1"/>
  <c r="X444" i="1"/>
  <c r="P444" i="1"/>
  <c r="AI443" i="1"/>
  <c r="W443" i="1"/>
  <c r="S443" i="1"/>
  <c r="T443" i="1"/>
  <c r="AI442" i="1"/>
  <c r="X442" i="1"/>
  <c r="S442" i="1"/>
  <c r="T442" i="1"/>
  <c r="O442" i="1"/>
  <c r="P442" i="1"/>
  <c r="AI441" i="1"/>
  <c r="P441" i="1"/>
  <c r="AI440" i="1"/>
  <c r="T440" i="1"/>
  <c r="O440" i="1"/>
  <c r="P440" i="1"/>
  <c r="AI439" i="1"/>
  <c r="X439" i="1"/>
  <c r="P439" i="1"/>
  <c r="O439" i="1"/>
  <c r="AI438" i="1"/>
  <c r="T438" i="1"/>
  <c r="O438" i="1"/>
  <c r="P438" i="1"/>
  <c r="AI437" i="1"/>
  <c r="T437" i="1"/>
  <c r="S437" i="1"/>
  <c r="AI436" i="1"/>
  <c r="X436" i="1"/>
  <c r="S436" i="1"/>
  <c r="T436" i="1"/>
  <c r="O436" i="1"/>
  <c r="AI435" i="1"/>
  <c r="X435" i="1"/>
  <c r="O435" i="1"/>
  <c r="P435" i="1"/>
  <c r="AI434" i="1"/>
  <c r="X434" i="1"/>
  <c r="T434" i="1"/>
  <c r="P434" i="1"/>
  <c r="AI433" i="1"/>
  <c r="S433" i="1"/>
  <c r="P433" i="1"/>
  <c r="O433" i="1"/>
  <c r="AI432" i="1"/>
  <c r="X432" i="1"/>
  <c r="T432" i="1"/>
  <c r="P432" i="1"/>
  <c r="O432" i="1"/>
  <c r="AI431" i="1"/>
  <c r="W431" i="1"/>
  <c r="S431" i="1"/>
  <c r="T431" i="1"/>
  <c r="P431" i="1"/>
  <c r="AI430" i="1"/>
  <c r="X430" i="1"/>
  <c r="T430" i="1"/>
  <c r="P430" i="1"/>
  <c r="AI429" i="1"/>
  <c r="W429" i="1"/>
  <c r="T429" i="1"/>
  <c r="AI428" i="1"/>
  <c r="T428" i="1"/>
  <c r="S428" i="1"/>
  <c r="AI427" i="1"/>
  <c r="W427" i="1"/>
  <c r="T427" i="1"/>
  <c r="O427" i="1"/>
  <c r="AI426" i="1"/>
  <c r="S426" i="1"/>
  <c r="T426" i="1"/>
  <c r="P426" i="1"/>
  <c r="O426" i="1"/>
  <c r="AI425" i="1"/>
  <c r="W425" i="1"/>
  <c r="X425" i="1"/>
  <c r="T425" i="1"/>
  <c r="S425" i="1"/>
  <c r="P425" i="1"/>
  <c r="O425" i="1"/>
  <c r="AI424" i="1"/>
  <c r="T424" i="1"/>
  <c r="S424" i="1"/>
  <c r="AI423" i="1"/>
  <c r="X423" i="1"/>
  <c r="T423" i="1"/>
  <c r="S423" i="1"/>
  <c r="P423" i="1"/>
  <c r="O423" i="1"/>
  <c r="AI422" i="1"/>
  <c r="W422" i="1"/>
  <c r="O422" i="1"/>
  <c r="P422" i="1"/>
  <c r="AI421" i="1"/>
  <c r="S421" i="1"/>
  <c r="T421" i="1"/>
  <c r="P421" i="1"/>
  <c r="O421" i="1"/>
  <c r="AI420" i="1"/>
  <c r="W420" i="1"/>
  <c r="O420" i="1"/>
  <c r="P420" i="1"/>
  <c r="AI419" i="1"/>
  <c r="W419" i="1"/>
  <c r="S419" i="1"/>
  <c r="T419" i="1"/>
  <c r="AI418" i="1"/>
  <c r="X418" i="1"/>
  <c r="W418" i="1"/>
  <c r="T418" i="1"/>
  <c r="P418" i="1"/>
  <c r="AI417" i="1"/>
  <c r="W417" i="1"/>
  <c r="X417" i="1"/>
  <c r="S417" i="1"/>
  <c r="P417" i="1"/>
  <c r="O417" i="1"/>
  <c r="AI416" i="1"/>
  <c r="X416" i="1"/>
  <c r="T416" i="1"/>
  <c r="P416" i="1"/>
  <c r="AI415" i="1"/>
  <c r="X415" i="1"/>
  <c r="P415" i="1"/>
  <c r="O415" i="1"/>
  <c r="AI414" i="1"/>
  <c r="X414" i="1"/>
  <c r="S414" i="1"/>
  <c r="P414" i="1"/>
  <c r="AI413" i="1"/>
  <c r="W413" i="1"/>
  <c r="P413" i="1"/>
  <c r="O413" i="1"/>
  <c r="AI412" i="1"/>
  <c r="X412" i="1"/>
  <c r="T412" i="1"/>
  <c r="S412" i="1"/>
  <c r="AI411" i="1"/>
  <c r="W411" i="1"/>
  <c r="S411" i="1"/>
  <c r="P411" i="1"/>
  <c r="AI410" i="1"/>
  <c r="X410" i="1"/>
  <c r="S410" i="1"/>
  <c r="AI409" i="1"/>
  <c r="W409" i="1"/>
  <c r="S409" i="1"/>
  <c r="T409" i="1"/>
  <c r="P409" i="1"/>
  <c r="AI408" i="1"/>
  <c r="X408" i="1"/>
  <c r="AI407" i="1"/>
  <c r="O407" i="1"/>
  <c r="P407" i="1"/>
  <c r="AI406" i="1"/>
  <c r="W406" i="1"/>
  <c r="X406" i="1"/>
  <c r="T406" i="1"/>
  <c r="O406" i="1"/>
  <c r="AI405" i="1"/>
  <c r="W405" i="1"/>
  <c r="T405" i="1"/>
  <c r="P405" i="1"/>
  <c r="O405" i="1"/>
  <c r="AI404" i="1"/>
  <c r="S404" i="1"/>
  <c r="T404" i="1"/>
  <c r="P404" i="1"/>
  <c r="O404" i="1"/>
  <c r="AI403" i="1"/>
  <c r="X403" i="1"/>
  <c r="T403" i="1"/>
  <c r="S403" i="1"/>
  <c r="P403" i="1"/>
  <c r="O403" i="1"/>
  <c r="AI402" i="1"/>
  <c r="S402" i="1"/>
  <c r="T402" i="1"/>
  <c r="O402" i="1"/>
  <c r="P402" i="1"/>
  <c r="AI401" i="1"/>
  <c r="O401" i="1"/>
  <c r="P401" i="1"/>
  <c r="AI400" i="1"/>
  <c r="X400" i="1"/>
  <c r="T400" i="1"/>
  <c r="S400" i="1"/>
  <c r="O400" i="1"/>
  <c r="P400" i="1"/>
  <c r="AI399" i="1"/>
  <c r="P399" i="1"/>
  <c r="AI398" i="1"/>
  <c r="X398" i="1"/>
  <c r="W398" i="1"/>
  <c r="S398" i="1"/>
  <c r="T398" i="1"/>
  <c r="P398" i="1"/>
  <c r="O398" i="1"/>
  <c r="AI397" i="1"/>
  <c r="X397" i="1"/>
  <c r="S397" i="1"/>
  <c r="T397" i="1"/>
  <c r="AI396" i="1"/>
  <c r="S396" i="1"/>
  <c r="T396" i="1"/>
  <c r="AI395" i="1"/>
  <c r="X395" i="1"/>
  <c r="AI394" i="1"/>
  <c r="W394" i="1"/>
  <c r="X394" i="1"/>
  <c r="S394" i="1"/>
  <c r="T394" i="1"/>
  <c r="O394" i="1"/>
  <c r="P394" i="1"/>
  <c r="AI393" i="1"/>
  <c r="W393" i="1"/>
  <c r="P393" i="1"/>
  <c r="AI392" i="1"/>
  <c r="X392" i="1"/>
  <c r="T392" i="1"/>
  <c r="S392" i="1"/>
  <c r="AI391" i="1"/>
  <c r="X391" i="1"/>
  <c r="W391" i="1"/>
  <c r="AI390" i="1"/>
  <c r="X390" i="1"/>
  <c r="T390" i="1"/>
  <c r="AI389" i="1"/>
  <c r="T389" i="1"/>
  <c r="S389" i="1"/>
  <c r="O389" i="1"/>
  <c r="P389" i="1"/>
  <c r="AI388" i="1"/>
  <c r="X388" i="1"/>
  <c r="W388" i="1"/>
  <c r="O388" i="1"/>
  <c r="P388" i="1"/>
  <c r="AI387" i="1"/>
  <c r="X387" i="1"/>
  <c r="W387" i="1"/>
  <c r="O387" i="1"/>
  <c r="P387" i="1"/>
  <c r="AI386" i="1"/>
  <c r="W386" i="1"/>
  <c r="AI385" i="1"/>
  <c r="W385" i="1"/>
  <c r="AI384" i="1"/>
  <c r="W384" i="1"/>
  <c r="P384" i="1"/>
  <c r="AI383" i="1"/>
  <c r="T383" i="1"/>
  <c r="S383" i="1"/>
  <c r="AI382" i="1"/>
  <c r="W382" i="1"/>
  <c r="X382" i="1"/>
  <c r="P382" i="1"/>
  <c r="AI381" i="1"/>
  <c r="W381" i="1"/>
  <c r="X381" i="1"/>
  <c r="P381" i="1"/>
  <c r="AI380" i="1"/>
  <c r="W380" i="1"/>
  <c r="X380" i="1"/>
  <c r="P380" i="1"/>
  <c r="AI379" i="1"/>
  <c r="X379" i="1"/>
  <c r="AI378" i="1"/>
  <c r="T378" i="1"/>
  <c r="S378" i="1"/>
  <c r="AI377" i="1"/>
  <c r="T377" i="1"/>
  <c r="AI376" i="1"/>
  <c r="X376" i="1"/>
  <c r="O376" i="1"/>
  <c r="P376" i="1"/>
  <c r="AI375" i="1"/>
  <c r="T375" i="1"/>
  <c r="S375" i="1"/>
  <c r="AI374" i="1"/>
  <c r="S374" i="1"/>
  <c r="T374" i="1"/>
  <c r="AI373" i="1"/>
  <c r="W373" i="1"/>
  <c r="S373" i="1"/>
  <c r="T373" i="1"/>
  <c r="AI372" i="1"/>
  <c r="X372" i="1"/>
  <c r="W372" i="1"/>
  <c r="O372" i="1"/>
  <c r="P372" i="1"/>
  <c r="AI371" i="1"/>
  <c r="AI370" i="1"/>
  <c r="T370" i="1"/>
  <c r="S370" i="1"/>
  <c r="O370" i="1"/>
  <c r="P370" i="1"/>
  <c r="AI369" i="1"/>
  <c r="P369" i="1"/>
  <c r="O369" i="1"/>
  <c r="AI368" i="1"/>
  <c r="X368" i="1"/>
  <c r="P368" i="1"/>
  <c r="O368" i="1"/>
  <c r="AI367" i="1"/>
  <c r="T367" i="1"/>
  <c r="S367" i="1"/>
  <c r="AI366" i="1"/>
  <c r="X366" i="1"/>
  <c r="T366" i="1"/>
  <c r="S366" i="1"/>
  <c r="AI365" i="1"/>
  <c r="W365" i="1"/>
  <c r="AI364" i="1"/>
  <c r="T364" i="1"/>
  <c r="S364" i="1"/>
  <c r="P364" i="1"/>
  <c r="AI363" i="1"/>
  <c r="X363" i="1"/>
  <c r="P363" i="1"/>
  <c r="AI362" i="1"/>
  <c r="W362" i="1"/>
  <c r="S362" i="1"/>
  <c r="O362" i="1"/>
  <c r="P362" i="1"/>
  <c r="AI361" i="1"/>
  <c r="X361" i="1"/>
  <c r="S361" i="1"/>
  <c r="T361" i="1"/>
  <c r="AI360" i="1"/>
  <c r="X360" i="1"/>
  <c r="AI359" i="1"/>
  <c r="X359" i="1"/>
  <c r="W359" i="1"/>
  <c r="P359" i="1"/>
  <c r="AI358" i="1"/>
  <c r="X358" i="1"/>
  <c r="T358" i="1"/>
  <c r="S358" i="1"/>
  <c r="AI357" i="1"/>
  <c r="T357" i="1"/>
  <c r="S357" i="1"/>
  <c r="P357" i="1"/>
  <c r="O357" i="1"/>
  <c r="AI356" i="1"/>
  <c r="P356" i="1"/>
  <c r="O356" i="1"/>
  <c r="AI355" i="1"/>
  <c r="O355" i="1"/>
  <c r="P355" i="1"/>
  <c r="AI354" i="1"/>
  <c r="W354" i="1"/>
  <c r="P354" i="1"/>
  <c r="O354" i="1"/>
  <c r="AI353" i="1"/>
  <c r="O353" i="1"/>
  <c r="P353" i="1"/>
  <c r="AI352" i="1"/>
  <c r="S352" i="1"/>
  <c r="T352" i="1"/>
  <c r="P352" i="1"/>
  <c r="O352" i="1"/>
  <c r="AI351" i="1"/>
  <c r="X351" i="1"/>
  <c r="T351" i="1"/>
  <c r="P351" i="1"/>
  <c r="AI350" i="1"/>
  <c r="O350" i="1"/>
  <c r="P350" i="1"/>
  <c r="AI349" i="1"/>
  <c r="S349" i="1"/>
  <c r="T349" i="1"/>
  <c r="AI348" i="1"/>
  <c r="W348" i="1"/>
  <c r="AI347" i="1"/>
  <c r="X347" i="1"/>
  <c r="T347" i="1"/>
  <c r="O347" i="1"/>
  <c r="AI346" i="1"/>
  <c r="W346" i="1"/>
  <c r="X346" i="1"/>
  <c r="T346" i="1"/>
  <c r="S346" i="1"/>
  <c r="P346" i="1"/>
  <c r="O346" i="1"/>
  <c r="AI345" i="1"/>
  <c r="P345" i="1"/>
  <c r="AI344" i="1"/>
  <c r="P344" i="1"/>
  <c r="AI343" i="1"/>
  <c r="S343" i="1"/>
  <c r="T343" i="1"/>
  <c r="P343" i="1"/>
  <c r="O343" i="1"/>
  <c r="AI342" i="1"/>
  <c r="X342" i="1"/>
  <c r="AI341" i="1"/>
  <c r="X341" i="1"/>
  <c r="T341" i="1"/>
  <c r="S341" i="1"/>
  <c r="AI340" i="1"/>
  <c r="S340" i="1"/>
  <c r="T340" i="1"/>
  <c r="P340" i="1"/>
  <c r="O340" i="1"/>
  <c r="AI339" i="1"/>
  <c r="W339" i="1"/>
  <c r="P339" i="1"/>
  <c r="AI338" i="1"/>
  <c r="W338" i="1"/>
  <c r="O338" i="1"/>
  <c r="P338" i="1"/>
  <c r="AI337" i="1"/>
  <c r="X337" i="1"/>
  <c r="T337" i="1"/>
  <c r="AI336" i="1"/>
  <c r="X336" i="1"/>
  <c r="S336" i="1"/>
  <c r="T336" i="1"/>
  <c r="AI335" i="1"/>
  <c r="W335" i="1"/>
  <c r="AI334" i="1"/>
  <c r="X334" i="1"/>
  <c r="S334" i="1"/>
  <c r="T334" i="1"/>
  <c r="AI333" i="1"/>
  <c r="W333" i="1"/>
  <c r="X333" i="1"/>
  <c r="S333" i="1"/>
  <c r="T333" i="1"/>
  <c r="P333" i="1"/>
  <c r="O333" i="1"/>
  <c r="AI332" i="1"/>
  <c r="X332" i="1"/>
  <c r="P332" i="1"/>
  <c r="O332" i="1"/>
  <c r="AI331" i="1"/>
  <c r="P331" i="1"/>
  <c r="AI330" i="1"/>
  <c r="X330" i="1"/>
  <c r="W330" i="1"/>
  <c r="S330" i="1"/>
  <c r="P330" i="1"/>
  <c r="O330" i="1"/>
  <c r="AI329" i="1"/>
  <c r="X329" i="1"/>
  <c r="S329" i="1"/>
  <c r="AI328" i="1"/>
  <c r="T328" i="1"/>
  <c r="P328" i="1"/>
  <c r="O328" i="1"/>
  <c r="AI327" i="1"/>
  <c r="T327" i="1"/>
  <c r="O327" i="1"/>
  <c r="AI326" i="1"/>
  <c r="T326" i="1"/>
  <c r="P326" i="1"/>
  <c r="O326" i="1"/>
  <c r="AI325" i="1"/>
  <c r="X325" i="1"/>
  <c r="P325" i="1"/>
  <c r="AI324" i="1"/>
  <c r="W324" i="1"/>
  <c r="T324" i="1"/>
  <c r="S324" i="1"/>
  <c r="AI323" i="1"/>
  <c r="X323" i="1"/>
  <c r="S323" i="1"/>
  <c r="T323" i="1"/>
  <c r="P323" i="1"/>
  <c r="O323" i="1"/>
  <c r="AI322" i="1"/>
  <c r="X322" i="1"/>
  <c r="AI321" i="1"/>
  <c r="X321" i="1"/>
  <c r="S321" i="1"/>
  <c r="T321" i="1"/>
  <c r="P321" i="1"/>
  <c r="O321" i="1"/>
  <c r="AI320" i="1"/>
  <c r="P320" i="1"/>
  <c r="O320" i="1"/>
  <c r="AI319" i="1"/>
  <c r="P319" i="1"/>
  <c r="O319" i="1"/>
  <c r="AI318" i="1"/>
  <c r="X318" i="1"/>
  <c r="S318" i="1"/>
  <c r="AI317" i="1"/>
  <c r="X317" i="1"/>
  <c r="AI316" i="1"/>
  <c r="P316" i="1"/>
  <c r="AI315" i="1"/>
  <c r="X315" i="1"/>
  <c r="W315" i="1"/>
  <c r="T315" i="1"/>
  <c r="S315" i="1"/>
  <c r="AI314" i="1"/>
  <c r="T314" i="1"/>
  <c r="O314" i="1"/>
  <c r="P314" i="1"/>
  <c r="AI313" i="1"/>
  <c r="S313" i="1"/>
  <c r="T313" i="1"/>
  <c r="P313" i="1"/>
  <c r="O313" i="1"/>
  <c r="AI312" i="1"/>
  <c r="W312" i="1"/>
  <c r="AI311" i="1"/>
  <c r="W311" i="1"/>
  <c r="X311" i="1"/>
  <c r="AI310" i="1"/>
  <c r="T310" i="1"/>
  <c r="S310" i="1"/>
  <c r="P310" i="1"/>
  <c r="O310" i="1"/>
  <c r="AI309" i="1"/>
  <c r="X309" i="1"/>
  <c r="T309" i="1"/>
  <c r="O309" i="1"/>
  <c r="P309" i="1"/>
  <c r="AI308" i="1"/>
  <c r="X308" i="1"/>
  <c r="P308" i="1"/>
  <c r="O308" i="1"/>
  <c r="AI307" i="1"/>
  <c r="O307" i="1"/>
  <c r="P307" i="1"/>
  <c r="AI306" i="1"/>
  <c r="X306" i="1"/>
  <c r="T306" i="1"/>
  <c r="S306" i="1"/>
  <c r="P306" i="1"/>
  <c r="O306" i="1"/>
  <c r="AI305" i="1"/>
  <c r="P305" i="1"/>
  <c r="AI304" i="1"/>
  <c r="T304" i="1"/>
  <c r="P304" i="1"/>
  <c r="O304" i="1"/>
  <c r="AI303" i="1"/>
  <c r="T303" i="1"/>
  <c r="S303" i="1"/>
  <c r="AI302" i="1"/>
  <c r="W302" i="1"/>
  <c r="T302" i="1"/>
  <c r="P302" i="1"/>
  <c r="AI301" i="1"/>
  <c r="X301" i="1"/>
  <c r="S301" i="1"/>
  <c r="T301" i="1"/>
  <c r="AI300" i="1"/>
  <c r="T300" i="1"/>
  <c r="O300" i="1"/>
  <c r="AI299" i="1"/>
  <c r="X299" i="1"/>
  <c r="T299" i="1"/>
  <c r="S299" i="1"/>
  <c r="AI298" i="1"/>
  <c r="W298" i="1"/>
  <c r="P298" i="1"/>
  <c r="AI297" i="1"/>
  <c r="T297" i="1"/>
  <c r="AI296" i="1"/>
  <c r="W296" i="1"/>
  <c r="AI295" i="1"/>
  <c r="X295" i="1"/>
  <c r="P295" i="1"/>
  <c r="O295" i="1"/>
  <c r="AI294" i="1"/>
  <c r="S294" i="1"/>
  <c r="AI293" i="1"/>
  <c r="W293" i="1"/>
  <c r="P293" i="1"/>
  <c r="AI292" i="1"/>
  <c r="W292" i="1"/>
  <c r="AI291" i="1"/>
  <c r="X291" i="1"/>
  <c r="T291" i="1"/>
  <c r="S291" i="1"/>
  <c r="P291" i="1"/>
  <c r="O291" i="1"/>
  <c r="AI290" i="1"/>
  <c r="X290" i="1"/>
  <c r="W290" i="1"/>
  <c r="T290" i="1"/>
  <c r="AI289" i="1"/>
  <c r="AI288" i="1"/>
  <c r="X288" i="1"/>
  <c r="O288" i="1"/>
  <c r="AI287" i="1"/>
  <c r="T287" i="1"/>
  <c r="S287" i="1"/>
  <c r="P287" i="1"/>
  <c r="O287" i="1"/>
  <c r="AI286" i="1"/>
  <c r="O286" i="1"/>
  <c r="AI285" i="1"/>
  <c r="T285" i="1"/>
  <c r="S285" i="1"/>
  <c r="AI284" i="1"/>
  <c r="W284" i="1"/>
  <c r="S284" i="1"/>
  <c r="P284" i="1"/>
  <c r="AI283" i="1"/>
  <c r="S283" i="1"/>
  <c r="T283" i="1"/>
  <c r="P283" i="1"/>
  <c r="O283" i="1"/>
  <c r="AI282" i="1"/>
  <c r="W282" i="1"/>
  <c r="AI281" i="1"/>
  <c r="X281" i="1"/>
  <c r="AI280" i="1"/>
  <c r="S280" i="1"/>
  <c r="AI279" i="1"/>
  <c r="X279" i="1"/>
  <c r="T279" i="1"/>
  <c r="S279" i="1"/>
  <c r="P279" i="1"/>
  <c r="O279" i="1"/>
  <c r="AI278" i="1"/>
  <c r="W278" i="1"/>
  <c r="T278" i="1"/>
  <c r="S278" i="1"/>
  <c r="AI277" i="1"/>
  <c r="AI276" i="1"/>
  <c r="O276" i="1"/>
  <c r="AI275" i="1"/>
  <c r="T275" i="1"/>
  <c r="P275" i="1"/>
  <c r="AI274" i="1"/>
  <c r="W274" i="1"/>
  <c r="P274" i="1"/>
  <c r="O274" i="1"/>
  <c r="AI273" i="1"/>
  <c r="T273" i="1"/>
  <c r="O273" i="1"/>
  <c r="P273" i="1"/>
  <c r="AI272" i="1"/>
  <c r="AI271" i="1"/>
  <c r="P271" i="1"/>
  <c r="O271" i="1"/>
  <c r="AI270" i="1"/>
  <c r="X270" i="1"/>
  <c r="T270" i="1"/>
  <c r="S270" i="1"/>
  <c r="P270" i="1"/>
  <c r="O270" i="1"/>
  <c r="AI269" i="1"/>
  <c r="P269" i="1"/>
  <c r="AI268" i="1"/>
  <c r="X268" i="1"/>
  <c r="W268" i="1"/>
  <c r="S268" i="1"/>
  <c r="P268" i="1"/>
  <c r="AI267" i="1"/>
  <c r="X267" i="1"/>
  <c r="W267" i="1"/>
  <c r="P267" i="1"/>
  <c r="AI266" i="1"/>
  <c r="W266" i="1"/>
  <c r="X266" i="1"/>
  <c r="AI265" i="1"/>
  <c r="W265" i="1"/>
  <c r="P265" i="1"/>
  <c r="O265" i="1"/>
  <c r="AI264" i="1"/>
  <c r="X264" i="1"/>
  <c r="T264" i="1"/>
  <c r="O264" i="1"/>
  <c r="AI263" i="1"/>
  <c r="W263" i="1"/>
  <c r="P263" i="1"/>
  <c r="O263" i="1"/>
  <c r="AI262" i="1"/>
  <c r="T262" i="1"/>
  <c r="AI261" i="1"/>
  <c r="X261" i="1"/>
  <c r="T261" i="1"/>
  <c r="S261" i="1"/>
  <c r="AI260" i="1"/>
  <c r="W260" i="1"/>
  <c r="X260" i="1"/>
  <c r="S260" i="1"/>
  <c r="T260" i="1"/>
  <c r="O260" i="1"/>
  <c r="P260" i="1"/>
  <c r="AI259" i="1"/>
  <c r="S259" i="1"/>
  <c r="O259" i="1"/>
  <c r="P259" i="1"/>
  <c r="AI258" i="1"/>
  <c r="X258" i="1"/>
  <c r="S258" i="1"/>
  <c r="O258" i="1"/>
  <c r="P258" i="1"/>
  <c r="AI257" i="1"/>
  <c r="X257" i="1"/>
  <c r="S257" i="1"/>
  <c r="T257" i="1"/>
  <c r="P257" i="1"/>
  <c r="AI256" i="1"/>
  <c r="W256" i="1"/>
  <c r="T256" i="1"/>
  <c r="O256" i="1"/>
  <c r="P256" i="1"/>
  <c r="AI255" i="1"/>
  <c r="W255" i="1"/>
  <c r="AI254" i="1"/>
  <c r="X254" i="1"/>
  <c r="W254" i="1"/>
  <c r="S254" i="1"/>
  <c r="P254" i="1"/>
  <c r="AI253" i="1"/>
  <c r="X253" i="1"/>
  <c r="T253" i="1"/>
  <c r="S253" i="1"/>
  <c r="P253" i="1"/>
  <c r="O253" i="1"/>
  <c r="AI252" i="1"/>
  <c r="S252" i="1"/>
  <c r="T252" i="1"/>
  <c r="O252" i="1"/>
  <c r="P252" i="1"/>
  <c r="AI251" i="1"/>
  <c r="T251" i="1"/>
  <c r="P251" i="1"/>
  <c r="AI250" i="1"/>
  <c r="W250" i="1"/>
  <c r="T250" i="1"/>
  <c r="O250" i="1"/>
  <c r="AI249" i="1"/>
  <c r="X249" i="1"/>
  <c r="T249" i="1"/>
  <c r="O249" i="1"/>
  <c r="AI248" i="1"/>
  <c r="X248" i="1"/>
  <c r="T248" i="1"/>
  <c r="AI247" i="1"/>
  <c r="X247" i="1"/>
  <c r="O247" i="1"/>
  <c r="AI246" i="1"/>
  <c r="T246" i="1"/>
  <c r="S246" i="1"/>
  <c r="P246" i="1"/>
  <c r="O246" i="1"/>
  <c r="AI245" i="1"/>
  <c r="X245" i="1"/>
  <c r="T245" i="1"/>
  <c r="S245" i="1"/>
  <c r="P245" i="1"/>
  <c r="O245" i="1"/>
  <c r="AI244" i="1"/>
  <c r="X244" i="1"/>
  <c r="AI243" i="1"/>
  <c r="X243" i="1"/>
  <c r="S243" i="1"/>
  <c r="O243" i="1"/>
  <c r="P243" i="1"/>
  <c r="AI242" i="1"/>
  <c r="P242" i="1"/>
  <c r="O242" i="1"/>
  <c r="AI241" i="1"/>
  <c r="W241" i="1"/>
  <c r="X241" i="1"/>
  <c r="S241" i="1"/>
  <c r="T241" i="1"/>
  <c r="P241" i="1"/>
  <c r="O241" i="1"/>
  <c r="AI240" i="1"/>
  <c r="T240" i="1"/>
  <c r="P240" i="1"/>
  <c r="O240" i="1"/>
  <c r="AI239" i="1"/>
  <c r="X239" i="1"/>
  <c r="P239" i="1"/>
  <c r="AI238" i="1"/>
  <c r="X238" i="1"/>
  <c r="W238" i="1"/>
  <c r="O238" i="1"/>
  <c r="AI237" i="1"/>
  <c r="W237" i="1"/>
  <c r="O237" i="1"/>
  <c r="AI236" i="1"/>
  <c r="W236" i="1"/>
  <c r="X236" i="1"/>
  <c r="S236" i="1"/>
  <c r="T236" i="1"/>
  <c r="P236" i="1"/>
  <c r="O236" i="1"/>
  <c r="AI235" i="1"/>
  <c r="X235" i="1"/>
  <c r="S235" i="1"/>
  <c r="O235" i="1"/>
  <c r="P235" i="1"/>
  <c r="AI234" i="1"/>
  <c r="W234" i="1"/>
  <c r="T234" i="1"/>
  <c r="S234" i="1"/>
  <c r="AI233" i="1"/>
  <c r="X233" i="1"/>
  <c r="S233" i="1"/>
  <c r="P233" i="1"/>
  <c r="O233" i="1"/>
  <c r="AI232" i="1"/>
  <c r="W232" i="1"/>
  <c r="X232" i="1"/>
  <c r="S232" i="1"/>
  <c r="P232" i="1"/>
  <c r="O232" i="1"/>
  <c r="AI231" i="1"/>
  <c r="W231" i="1"/>
  <c r="S231" i="1"/>
  <c r="AI230" i="1"/>
  <c r="T230" i="1"/>
  <c r="AI229" i="1"/>
  <c r="T229" i="1"/>
  <c r="AI228" i="1"/>
  <c r="W228" i="1"/>
  <c r="X228" i="1"/>
  <c r="S228" i="1"/>
  <c r="T228" i="1"/>
  <c r="O228" i="1"/>
  <c r="AI227" i="1"/>
  <c r="T227" i="1"/>
  <c r="AI226" i="1"/>
  <c r="W226" i="1"/>
  <c r="T226" i="1"/>
  <c r="AI225" i="1"/>
  <c r="X225" i="1"/>
  <c r="S225" i="1"/>
  <c r="P225" i="1"/>
  <c r="AI224" i="1"/>
  <c r="X224" i="1"/>
  <c r="T224" i="1"/>
  <c r="P224" i="1"/>
  <c r="O224" i="1"/>
  <c r="AI223" i="1"/>
  <c r="X223" i="1"/>
  <c r="S223" i="1"/>
  <c r="T223" i="1"/>
  <c r="P223" i="1"/>
  <c r="AI222" i="1"/>
  <c r="T222" i="1"/>
  <c r="S222" i="1"/>
  <c r="O222" i="1"/>
  <c r="P222" i="1"/>
  <c r="AI221" i="1"/>
  <c r="S221" i="1"/>
  <c r="T221" i="1"/>
  <c r="P221" i="1"/>
  <c r="AI220" i="1"/>
  <c r="X220" i="1"/>
  <c r="P220" i="1"/>
  <c r="AI219" i="1"/>
  <c r="T219" i="1"/>
  <c r="P219" i="1"/>
  <c r="AI218" i="1"/>
  <c r="T218" i="1"/>
  <c r="AI217" i="1"/>
  <c r="X217" i="1"/>
  <c r="W217" i="1"/>
  <c r="T217" i="1"/>
  <c r="S217" i="1"/>
  <c r="AI216" i="1"/>
  <c r="X216" i="1"/>
  <c r="W216" i="1"/>
  <c r="P216" i="1"/>
  <c r="AI215" i="1"/>
  <c r="W215" i="1"/>
  <c r="X215" i="1"/>
  <c r="T215" i="1"/>
  <c r="AI214" i="1"/>
  <c r="X214" i="1"/>
  <c r="W214" i="1"/>
  <c r="T214" i="1"/>
  <c r="O214" i="1"/>
  <c r="AI213" i="1"/>
  <c r="S213" i="1"/>
  <c r="AI212" i="1"/>
  <c r="T212" i="1"/>
  <c r="S212" i="1"/>
  <c r="O212" i="1"/>
  <c r="P212" i="1"/>
  <c r="AI211" i="1"/>
  <c r="X211" i="1"/>
  <c r="S211" i="1"/>
  <c r="T211" i="1"/>
  <c r="AI210" i="1"/>
  <c r="W210" i="1"/>
  <c r="X210" i="1"/>
  <c r="T210" i="1"/>
  <c r="P210" i="1"/>
  <c r="AI209" i="1"/>
  <c r="X209" i="1"/>
  <c r="P209" i="1"/>
  <c r="O209" i="1"/>
  <c r="AI208" i="1"/>
  <c r="W208" i="1"/>
  <c r="T208" i="1"/>
  <c r="O208" i="1"/>
  <c r="AI207" i="1"/>
  <c r="X207" i="1"/>
  <c r="P207" i="1"/>
  <c r="O207" i="1"/>
  <c r="AI206" i="1"/>
  <c r="X206" i="1"/>
  <c r="T206" i="1"/>
  <c r="S206" i="1"/>
  <c r="AI205" i="1"/>
  <c r="X205" i="1"/>
  <c r="P205" i="1"/>
  <c r="O205" i="1"/>
  <c r="AI204" i="1"/>
  <c r="W204" i="1"/>
  <c r="P204" i="1"/>
  <c r="AI203" i="1"/>
  <c r="X203" i="1"/>
  <c r="S203" i="1"/>
  <c r="P203" i="1"/>
  <c r="AI202" i="1"/>
  <c r="X202" i="1"/>
  <c r="AI201" i="1"/>
  <c r="X201" i="1"/>
  <c r="S201" i="1"/>
  <c r="P201" i="1"/>
  <c r="AI200" i="1"/>
  <c r="S200" i="1"/>
  <c r="T200" i="1"/>
  <c r="P200" i="1"/>
  <c r="AI199" i="1"/>
  <c r="T199" i="1"/>
  <c r="S199" i="1"/>
  <c r="P199" i="1"/>
  <c r="O199" i="1"/>
  <c r="AI198" i="1"/>
  <c r="T198" i="1"/>
  <c r="P198" i="1"/>
  <c r="AI197" i="1"/>
  <c r="X197" i="1"/>
  <c r="AI196" i="1"/>
  <c r="W196" i="1"/>
  <c r="S196" i="1"/>
  <c r="P196" i="1"/>
  <c r="O196" i="1"/>
  <c r="AI195" i="1"/>
  <c r="W195" i="1"/>
  <c r="X195" i="1"/>
  <c r="P195" i="1"/>
  <c r="O195" i="1"/>
  <c r="AI194" i="1"/>
  <c r="X194" i="1"/>
  <c r="T194" i="1"/>
  <c r="P194" i="1"/>
  <c r="O194" i="1"/>
  <c r="AI193" i="1"/>
  <c r="X193" i="1"/>
  <c r="O193" i="1"/>
  <c r="P193" i="1"/>
  <c r="AI192" i="1"/>
  <c r="S192" i="1"/>
  <c r="O192" i="1"/>
  <c r="P192" i="1"/>
  <c r="AI191" i="1"/>
  <c r="W191" i="1"/>
  <c r="AI190" i="1"/>
  <c r="X190" i="1"/>
  <c r="T190" i="1"/>
  <c r="P190" i="1"/>
  <c r="AI189" i="1"/>
  <c r="X189" i="1"/>
  <c r="T189" i="1"/>
  <c r="S189" i="1"/>
  <c r="P189" i="1"/>
  <c r="O189" i="1"/>
  <c r="AI188" i="1"/>
  <c r="W188" i="1"/>
  <c r="X188" i="1"/>
  <c r="T188" i="1"/>
  <c r="S188" i="1"/>
  <c r="AI187" i="1"/>
  <c r="T187" i="1"/>
  <c r="P187" i="1"/>
  <c r="O187" i="1"/>
  <c r="AI186" i="1"/>
  <c r="W186" i="1"/>
  <c r="X186" i="1"/>
  <c r="T186" i="1"/>
  <c r="P186" i="1"/>
  <c r="AI185" i="1"/>
  <c r="S185" i="1"/>
  <c r="P185" i="1"/>
  <c r="O185" i="1"/>
  <c r="AI184" i="1"/>
  <c r="W184" i="1"/>
  <c r="X184" i="1"/>
  <c r="S184" i="1"/>
  <c r="T184" i="1"/>
  <c r="O184" i="1"/>
  <c r="AI183" i="1"/>
  <c r="X183" i="1"/>
  <c r="AI182" i="1"/>
  <c r="X182" i="1"/>
  <c r="S182" i="1"/>
  <c r="T182" i="1"/>
  <c r="P182" i="1"/>
  <c r="AI181" i="1"/>
  <c r="T181" i="1"/>
  <c r="S181" i="1"/>
  <c r="O181" i="1"/>
  <c r="AI180" i="1"/>
  <c r="W180" i="1"/>
  <c r="X180" i="1"/>
  <c r="P180" i="1"/>
  <c r="O180" i="1"/>
  <c r="AI179" i="1"/>
  <c r="W179" i="1"/>
  <c r="P179" i="1"/>
  <c r="AI178" i="1"/>
  <c r="X178" i="1"/>
  <c r="T178" i="1"/>
  <c r="P178" i="1"/>
  <c r="AI177" i="1"/>
  <c r="X177" i="1"/>
  <c r="T177" i="1"/>
  <c r="S177" i="1"/>
  <c r="O177" i="1"/>
  <c r="AI176" i="1"/>
  <c r="X176" i="1"/>
  <c r="W176" i="1"/>
  <c r="T176" i="1"/>
  <c r="S176" i="1"/>
  <c r="O176" i="1"/>
  <c r="P176" i="1"/>
  <c r="AI175" i="1"/>
  <c r="T175" i="1"/>
  <c r="P175" i="1"/>
  <c r="O175" i="1"/>
  <c r="AI174" i="1"/>
  <c r="X174" i="1"/>
  <c r="T174" i="1"/>
  <c r="P174" i="1"/>
  <c r="AI173" i="1"/>
  <c r="W173" i="1"/>
  <c r="S173" i="1"/>
  <c r="P173" i="1"/>
  <c r="O173" i="1"/>
  <c r="AI172" i="1"/>
  <c r="X172" i="1"/>
  <c r="S172" i="1"/>
  <c r="T172" i="1"/>
  <c r="P172" i="1"/>
  <c r="O172" i="1"/>
  <c r="AI171" i="1"/>
  <c r="S171" i="1"/>
  <c r="T171" i="1"/>
  <c r="AI170" i="1"/>
  <c r="X170" i="1"/>
  <c r="T170" i="1"/>
  <c r="P170" i="1"/>
  <c r="AI169" i="1"/>
  <c r="W169" i="1"/>
  <c r="T169" i="1"/>
  <c r="S169" i="1"/>
  <c r="O169" i="1"/>
  <c r="AI168" i="1"/>
  <c r="S168" i="1"/>
  <c r="T168" i="1"/>
  <c r="P168" i="1"/>
  <c r="O168" i="1"/>
  <c r="AI167" i="1"/>
  <c r="W167" i="1"/>
  <c r="P167" i="1"/>
  <c r="AI166" i="1"/>
  <c r="W166" i="1"/>
  <c r="P166" i="1"/>
  <c r="AI165" i="1"/>
  <c r="X165" i="1"/>
  <c r="T165" i="1"/>
  <c r="P165" i="1"/>
  <c r="O165" i="1"/>
  <c r="AI164" i="1"/>
  <c r="X164" i="1"/>
  <c r="P164" i="1"/>
  <c r="AI163" i="1"/>
  <c r="T163" i="1"/>
  <c r="S163" i="1"/>
  <c r="AI162" i="1"/>
  <c r="W162" i="1"/>
  <c r="T162" i="1"/>
  <c r="P162" i="1"/>
  <c r="AI161" i="1"/>
  <c r="S161" i="1"/>
  <c r="O161" i="1"/>
  <c r="P161" i="1"/>
  <c r="AI160" i="1"/>
  <c r="W160" i="1"/>
  <c r="O160" i="1"/>
  <c r="P160" i="1"/>
  <c r="AI159" i="1"/>
  <c r="W159" i="1"/>
  <c r="S159" i="1"/>
  <c r="T159" i="1"/>
  <c r="AI158" i="1"/>
  <c r="X158" i="1"/>
  <c r="P158" i="1"/>
  <c r="AI157" i="1"/>
  <c r="P157" i="1"/>
  <c r="O157" i="1"/>
  <c r="AI156" i="1"/>
  <c r="X156" i="1"/>
  <c r="T156" i="1"/>
  <c r="O156" i="1"/>
  <c r="AI155" i="1"/>
  <c r="X155" i="1"/>
  <c r="O155" i="1"/>
  <c r="AI154" i="1"/>
  <c r="W154" i="1"/>
  <c r="S154" i="1"/>
  <c r="T154" i="1"/>
  <c r="P154" i="1"/>
  <c r="AI153" i="1"/>
  <c r="W153" i="1"/>
  <c r="S153" i="1"/>
  <c r="T153" i="1"/>
  <c r="O153" i="1"/>
  <c r="P153" i="1"/>
  <c r="AI152" i="1"/>
  <c r="W152" i="1"/>
  <c r="S152" i="1"/>
  <c r="T152" i="1"/>
  <c r="P152" i="1"/>
  <c r="AI151" i="1"/>
  <c r="O151" i="1"/>
  <c r="P151" i="1"/>
  <c r="AI150" i="1"/>
  <c r="T150" i="1"/>
  <c r="P150" i="1"/>
  <c r="O150" i="1"/>
  <c r="AI149" i="1"/>
  <c r="X149" i="1"/>
  <c r="P149" i="1"/>
  <c r="AI148" i="1"/>
  <c r="W148" i="1"/>
  <c r="T148" i="1"/>
  <c r="P148" i="1"/>
  <c r="AI147" i="1"/>
  <c r="S147" i="1"/>
  <c r="T147" i="1"/>
  <c r="AI146" i="1"/>
  <c r="X146" i="1"/>
  <c r="T146" i="1"/>
  <c r="S146" i="1"/>
  <c r="P146" i="1"/>
  <c r="O146" i="1"/>
  <c r="AI145" i="1"/>
  <c r="W145" i="1"/>
  <c r="S145" i="1"/>
  <c r="T145" i="1"/>
  <c r="AI144" i="1"/>
  <c r="X144" i="1"/>
  <c r="T144" i="1"/>
  <c r="P144" i="1"/>
  <c r="O144" i="1"/>
  <c r="AI143" i="1"/>
  <c r="X143" i="1"/>
  <c r="AI142" i="1"/>
  <c r="X142" i="1"/>
  <c r="T142" i="1"/>
  <c r="P142" i="1"/>
  <c r="AI141" i="1"/>
  <c r="W141" i="1"/>
  <c r="S141" i="1"/>
  <c r="T141" i="1"/>
  <c r="O141" i="1"/>
  <c r="P141" i="1"/>
  <c r="AI140" i="1"/>
  <c r="S140" i="1"/>
  <c r="T140" i="1"/>
  <c r="AI139" i="1"/>
  <c r="P139" i="1"/>
  <c r="O139" i="1"/>
  <c r="AI138" i="1"/>
  <c r="T138" i="1"/>
  <c r="AI137" i="1"/>
  <c r="W137" i="1"/>
  <c r="P137" i="1"/>
  <c r="O137" i="1"/>
  <c r="AI136" i="1"/>
  <c r="X136" i="1"/>
  <c r="S136" i="1"/>
  <c r="T136" i="1"/>
  <c r="P136" i="1"/>
  <c r="O136" i="1"/>
  <c r="AI135" i="1"/>
  <c r="S135" i="1"/>
  <c r="T135" i="1"/>
  <c r="AI134" i="1"/>
  <c r="X134" i="1"/>
  <c r="T134" i="1"/>
  <c r="S134" i="1"/>
  <c r="O134" i="1"/>
  <c r="AI133" i="1"/>
  <c r="W133" i="1"/>
  <c r="T133" i="1"/>
  <c r="S133" i="1"/>
  <c r="AI132" i="1"/>
  <c r="X132" i="1"/>
  <c r="T132" i="1"/>
  <c r="P132" i="1"/>
  <c r="O132" i="1"/>
  <c r="AI131" i="1"/>
  <c r="W131" i="1"/>
  <c r="AI130" i="1"/>
  <c r="W130" i="1"/>
  <c r="X130" i="1"/>
  <c r="P130" i="1"/>
  <c r="AI129" i="1"/>
  <c r="X129" i="1"/>
  <c r="T129" i="1"/>
  <c r="O129" i="1"/>
  <c r="AI128" i="1"/>
  <c r="X128" i="1"/>
  <c r="AI127" i="1"/>
  <c r="P127" i="1"/>
  <c r="AI126" i="1"/>
  <c r="T126" i="1"/>
  <c r="O126" i="1"/>
  <c r="AI125" i="1"/>
  <c r="S125" i="1"/>
  <c r="T125" i="1"/>
  <c r="P125" i="1"/>
  <c r="O125" i="1"/>
  <c r="AI124" i="1"/>
  <c r="X124" i="1"/>
  <c r="T124" i="1"/>
  <c r="P124" i="1"/>
  <c r="O124" i="1"/>
  <c r="AI123" i="1"/>
  <c r="AI122" i="1"/>
  <c r="X122" i="1"/>
  <c r="S122" i="1"/>
  <c r="P122" i="1"/>
  <c r="AI121" i="1"/>
  <c r="W121" i="1"/>
  <c r="T121" i="1"/>
  <c r="S121" i="1"/>
  <c r="AI120" i="1"/>
  <c r="X120" i="1"/>
  <c r="T120" i="1"/>
  <c r="P120" i="1"/>
  <c r="O120" i="1"/>
  <c r="AI119" i="1"/>
  <c r="P119" i="1"/>
  <c r="O119" i="1"/>
  <c r="AI118" i="1"/>
  <c r="X118" i="1"/>
  <c r="T118" i="1"/>
  <c r="S118" i="1"/>
  <c r="P118" i="1"/>
  <c r="AI117" i="1"/>
  <c r="X117" i="1"/>
  <c r="T117" i="1"/>
  <c r="O117" i="1"/>
  <c r="P117" i="1"/>
  <c r="AI116" i="1"/>
  <c r="X116" i="1"/>
  <c r="T116" i="1"/>
  <c r="P116" i="1"/>
  <c r="AI115" i="1"/>
  <c r="T115" i="1"/>
  <c r="P115" i="1"/>
  <c r="AI114" i="1"/>
  <c r="T114" i="1"/>
  <c r="AI113" i="1"/>
  <c r="W113" i="1"/>
  <c r="T113" i="1"/>
  <c r="S113" i="1"/>
  <c r="P113" i="1"/>
  <c r="O113" i="1"/>
  <c r="AI112" i="1"/>
  <c r="X112" i="1"/>
  <c r="T112" i="1"/>
  <c r="AI111" i="1"/>
  <c r="W111" i="1"/>
  <c r="AI110" i="1"/>
  <c r="X110" i="1"/>
  <c r="T110" i="1"/>
  <c r="O110" i="1"/>
  <c r="AI109" i="1"/>
  <c r="W109" i="1"/>
  <c r="T109" i="1"/>
  <c r="S109" i="1"/>
  <c r="O109" i="1"/>
  <c r="P109" i="1"/>
  <c r="AI108" i="1"/>
  <c r="X108" i="1"/>
  <c r="T108" i="1"/>
  <c r="S108" i="1"/>
  <c r="P108" i="1"/>
  <c r="O108" i="1"/>
  <c r="AI107" i="1"/>
  <c r="W107" i="1"/>
  <c r="X107" i="1"/>
  <c r="P107" i="1"/>
  <c r="O107" i="1"/>
  <c r="AI106" i="1"/>
  <c r="X106" i="1"/>
  <c r="P106" i="1"/>
  <c r="AI105" i="1"/>
  <c r="W105" i="1"/>
  <c r="T105" i="1"/>
  <c r="O105" i="1"/>
  <c r="P105" i="1"/>
  <c r="AI104" i="1"/>
  <c r="T104" i="1"/>
  <c r="AI103" i="1"/>
  <c r="S103" i="1"/>
  <c r="O103" i="1"/>
  <c r="P103" i="1"/>
  <c r="AI102" i="1"/>
  <c r="W102" i="1"/>
  <c r="T102" i="1"/>
  <c r="AI101" i="1"/>
  <c r="X101" i="1"/>
  <c r="T101" i="1"/>
  <c r="AI100" i="1"/>
  <c r="X100" i="1"/>
  <c r="P100" i="1"/>
  <c r="O100" i="1"/>
  <c r="AI99" i="1"/>
  <c r="X99" i="1"/>
  <c r="T99" i="1"/>
  <c r="S99" i="1"/>
  <c r="AI98" i="1"/>
  <c r="X98" i="1"/>
  <c r="O98" i="1"/>
  <c r="P98" i="1"/>
  <c r="AI97" i="1"/>
  <c r="X97" i="1"/>
  <c r="S97" i="1"/>
  <c r="T97" i="1"/>
  <c r="P97" i="1"/>
  <c r="O97" i="1"/>
  <c r="AI96" i="1"/>
  <c r="T96" i="1"/>
  <c r="S96" i="1"/>
  <c r="O96" i="1"/>
  <c r="P96" i="1"/>
  <c r="AI95" i="1"/>
  <c r="W95" i="1"/>
  <c r="P95" i="1"/>
  <c r="O95" i="1"/>
  <c r="AI94" i="1"/>
  <c r="S94" i="1"/>
  <c r="T94" i="1"/>
  <c r="P94" i="1"/>
  <c r="AI93" i="1"/>
  <c r="X93" i="1"/>
  <c r="T93" i="1"/>
  <c r="S93" i="1"/>
  <c r="AI92" i="1"/>
  <c r="X92" i="1"/>
  <c r="W92" i="1"/>
  <c r="T92" i="1"/>
  <c r="S92" i="1"/>
  <c r="AI91" i="1"/>
  <c r="P91" i="1"/>
  <c r="O91" i="1"/>
  <c r="AI90" i="1"/>
  <c r="W90" i="1"/>
  <c r="T90" i="1"/>
  <c r="O90" i="1"/>
  <c r="AI89" i="1"/>
  <c r="W89" i="1"/>
  <c r="P89" i="1"/>
  <c r="AI88" i="1"/>
  <c r="X88" i="1"/>
  <c r="S88" i="1"/>
  <c r="T88" i="1"/>
  <c r="O88" i="1"/>
  <c r="P88" i="1"/>
  <c r="AI87" i="1"/>
  <c r="T87" i="1"/>
  <c r="S87" i="1"/>
  <c r="AI86" i="1"/>
  <c r="X86" i="1"/>
  <c r="P86" i="1"/>
  <c r="O86" i="1"/>
  <c r="AI85" i="1"/>
  <c r="T85" i="1"/>
  <c r="S85" i="1"/>
  <c r="AI84" i="1"/>
  <c r="X84" i="1"/>
  <c r="S84" i="1"/>
  <c r="P84" i="1"/>
  <c r="O84" i="1"/>
  <c r="AI83" i="1"/>
  <c r="W83" i="1"/>
  <c r="T83" i="1"/>
  <c r="AI82" i="1"/>
  <c r="T82" i="1"/>
  <c r="AI81" i="1"/>
  <c r="W81" i="1"/>
  <c r="S81" i="1"/>
  <c r="T81" i="1"/>
  <c r="O81" i="1"/>
  <c r="P81" i="1"/>
  <c r="AI80" i="1"/>
  <c r="AI79" i="1"/>
  <c r="X79" i="1"/>
  <c r="O79" i="1"/>
  <c r="AI78" i="1"/>
  <c r="W78" i="1"/>
  <c r="AI77" i="1"/>
  <c r="X77" i="1"/>
  <c r="S77" i="1"/>
  <c r="P77" i="1"/>
  <c r="O77" i="1"/>
  <c r="AI76" i="1"/>
  <c r="S76" i="1"/>
  <c r="O76" i="1"/>
  <c r="AI75" i="1"/>
  <c r="W75" i="1"/>
  <c r="T75" i="1"/>
  <c r="AI74" i="1"/>
  <c r="S74" i="1"/>
  <c r="T74" i="1"/>
  <c r="AI73" i="1"/>
  <c r="W73" i="1"/>
  <c r="S73" i="1"/>
  <c r="T73" i="1"/>
  <c r="AI72" i="1"/>
  <c r="X72" i="1"/>
  <c r="S72" i="1"/>
  <c r="P72" i="1"/>
  <c r="AI71" i="1"/>
  <c r="W71" i="1"/>
  <c r="O71" i="1"/>
  <c r="P71" i="1"/>
  <c r="AI70" i="1"/>
  <c r="X70" i="1"/>
  <c r="T70" i="1"/>
  <c r="AI69" i="1"/>
  <c r="W69" i="1"/>
  <c r="O69" i="1"/>
  <c r="AI68" i="1"/>
  <c r="T68" i="1"/>
  <c r="P68" i="1"/>
  <c r="O68" i="1"/>
  <c r="AI67" i="1"/>
  <c r="X67" i="1"/>
  <c r="S67" i="1"/>
  <c r="P67" i="1"/>
  <c r="AI66" i="1"/>
  <c r="S66" i="1"/>
  <c r="P66" i="1"/>
  <c r="O66" i="1"/>
  <c r="AI65" i="1"/>
  <c r="T65" i="1"/>
  <c r="S65" i="1"/>
  <c r="P65" i="1"/>
  <c r="AI64" i="1"/>
  <c r="P64" i="1"/>
  <c r="AI63" i="1"/>
  <c r="T63" i="1"/>
  <c r="S63" i="1"/>
  <c r="AI62" i="1"/>
  <c r="T62" i="1"/>
  <c r="O62" i="1"/>
  <c r="P62" i="1"/>
  <c r="AI61" i="1"/>
  <c r="X61" i="1"/>
  <c r="S61" i="1"/>
  <c r="T61" i="1"/>
  <c r="P61" i="1"/>
  <c r="AI60" i="1"/>
  <c r="X60" i="1"/>
  <c r="T60" i="1"/>
  <c r="S60" i="1"/>
  <c r="AI59" i="1"/>
  <c r="AI58" i="1"/>
  <c r="W58" i="1"/>
  <c r="S58" i="1"/>
  <c r="P58" i="1"/>
  <c r="O58" i="1"/>
  <c r="AI57" i="1"/>
  <c r="X57" i="1"/>
  <c r="W57" i="1"/>
  <c r="O57" i="1"/>
  <c r="AI56" i="1"/>
  <c r="X56" i="1"/>
  <c r="T56" i="1"/>
  <c r="O56" i="1"/>
  <c r="AI55" i="1"/>
  <c r="X55" i="1"/>
  <c r="T55" i="1"/>
  <c r="S55" i="1"/>
  <c r="O55" i="1"/>
  <c r="AI54" i="1"/>
  <c r="W54" i="1"/>
  <c r="S54" i="1"/>
  <c r="AI53" i="1"/>
  <c r="W53" i="1"/>
  <c r="T53" i="1"/>
  <c r="P53" i="1"/>
  <c r="AI52" i="1"/>
  <c r="X52" i="1"/>
  <c r="S52" i="1"/>
  <c r="P52" i="1"/>
  <c r="O52" i="1"/>
  <c r="AI51" i="1"/>
  <c r="W51" i="1"/>
  <c r="S51" i="1"/>
  <c r="P51" i="1"/>
  <c r="AI50" i="1"/>
  <c r="X50" i="1"/>
  <c r="W50" i="1"/>
  <c r="S50" i="1"/>
  <c r="T50" i="1"/>
  <c r="P50" i="1"/>
  <c r="AI41" i="1"/>
  <c r="X41" i="1"/>
  <c r="T41" i="1"/>
  <c r="P41" i="1"/>
  <c r="AI37" i="1"/>
  <c r="X37" i="1"/>
  <c r="T37" i="1"/>
  <c r="P37" i="1"/>
  <c r="AI35" i="1"/>
  <c r="T35" i="1"/>
  <c r="O35" i="1"/>
  <c r="AI39" i="1"/>
  <c r="X39" i="1"/>
  <c r="O39" i="1"/>
  <c r="AI49" i="1"/>
  <c r="X49" i="1"/>
  <c r="T49" i="1"/>
  <c r="AI48" i="1"/>
  <c r="W48" i="1"/>
  <c r="T48" i="1"/>
  <c r="P48" i="1"/>
  <c r="AI32" i="1"/>
  <c r="X32" i="1"/>
  <c r="O32" i="1"/>
  <c r="AI47" i="1"/>
  <c r="S47" i="1"/>
  <c r="O47" i="1"/>
  <c r="AI42" i="1"/>
  <c r="X42" i="1"/>
  <c r="T42" i="1"/>
  <c r="P42" i="1"/>
  <c r="AI46" i="1"/>
  <c r="X46" i="1"/>
  <c r="P46" i="1"/>
  <c r="AI45" i="1"/>
  <c r="S45" i="1"/>
  <c r="P45" i="1"/>
  <c r="AI31" i="1"/>
  <c r="W31" i="1"/>
  <c r="T31" i="1"/>
  <c r="O31" i="1"/>
  <c r="AI40" i="1"/>
  <c r="X40" i="1"/>
  <c r="S40" i="1"/>
  <c r="P40" i="1"/>
  <c r="AI43" i="1"/>
  <c r="X43" i="1"/>
  <c r="T43" i="1"/>
  <c r="P43" i="1"/>
  <c r="AI33" i="1"/>
  <c r="X33" i="1"/>
  <c r="T33" i="1"/>
  <c r="AI38" i="1"/>
  <c r="X38" i="1"/>
  <c r="S38" i="1"/>
  <c r="O38" i="1"/>
  <c r="AI44" i="1"/>
  <c r="W44" i="1"/>
  <c r="T44" i="1"/>
  <c r="AI36" i="1"/>
  <c r="X36" i="1"/>
  <c r="T36" i="1"/>
  <c r="O36" i="1"/>
  <c r="AI34" i="1"/>
  <c r="P34" i="1"/>
  <c r="AH30" i="1"/>
  <c r="AI30" i="1" s="1"/>
  <c r="X30" i="1"/>
  <c r="S30" i="1"/>
  <c r="AH28" i="1"/>
  <c r="AI28" i="1" s="1"/>
  <c r="W28" i="1"/>
  <c r="T28" i="1"/>
  <c r="P28" i="1"/>
  <c r="AH29" i="1"/>
  <c r="AI29" i="1" s="1"/>
  <c r="X29" i="1"/>
  <c r="S29" i="1"/>
  <c r="O29" i="1"/>
  <c r="AH27" i="1"/>
  <c r="AI27" i="1" s="1"/>
  <c r="W27" i="1"/>
  <c r="S27" i="1"/>
  <c r="P27" i="1"/>
  <c r="AH26" i="1"/>
  <c r="AI26" i="1" s="1"/>
  <c r="T26" i="1"/>
  <c r="P26" i="1"/>
  <c r="AH25" i="1"/>
  <c r="AI25" i="1" s="1"/>
  <c r="X25" i="1"/>
  <c r="T25" i="1"/>
  <c r="O25" i="1"/>
  <c r="AH24" i="1"/>
  <c r="AI24" i="1" s="1"/>
  <c r="X24" i="1"/>
  <c r="T24" i="1"/>
  <c r="AH23" i="1"/>
  <c r="AI23" i="1" s="1"/>
  <c r="X23" i="1"/>
  <c r="P23" i="1"/>
  <c r="AH17" i="1"/>
  <c r="AI17" i="1" s="1"/>
  <c r="W17" i="1"/>
  <c r="T17" i="1"/>
  <c r="O17" i="1"/>
  <c r="AH22" i="1"/>
  <c r="AI22" i="1" s="1"/>
  <c r="X22" i="1"/>
  <c r="S22" i="1"/>
  <c r="O22" i="1"/>
  <c r="AH13" i="1"/>
  <c r="AI13" i="1" s="1"/>
  <c r="W13" i="1"/>
  <c r="T13" i="1"/>
  <c r="P13" i="1"/>
  <c r="O13" i="1"/>
  <c r="AH12" i="1"/>
  <c r="AI12" i="1" s="1"/>
  <c r="T12" i="1"/>
  <c r="O12" i="1"/>
  <c r="AH20" i="1"/>
  <c r="AI20" i="1" s="1"/>
  <c r="X20" i="1"/>
  <c r="P20" i="1"/>
  <c r="AH16" i="1"/>
  <c r="AI16" i="1" s="1"/>
  <c r="W16" i="1"/>
  <c r="S16" i="1"/>
  <c r="O16" i="1"/>
  <c r="AH11" i="1"/>
  <c r="AI11" i="1" s="1"/>
  <c r="X11" i="1"/>
  <c r="T11" i="1"/>
  <c r="AH18" i="1"/>
  <c r="AI18" i="1" s="1"/>
  <c r="W18" i="1"/>
  <c r="P18" i="1"/>
  <c r="AH15" i="1"/>
  <c r="AI15" i="1" s="1"/>
  <c r="X15" i="1"/>
  <c r="W15" i="1"/>
  <c r="S15" i="1"/>
  <c r="P15" i="1"/>
  <c r="AH19" i="1"/>
  <c r="AI19" i="1" s="1"/>
  <c r="X19" i="1"/>
  <c r="S19" i="1"/>
  <c r="T19" i="1"/>
  <c r="O19" i="1"/>
  <c r="AH21" i="1"/>
  <c r="AI21" i="1" s="1"/>
  <c r="T21" i="1"/>
  <c r="P21" i="1"/>
  <c r="AH14" i="1"/>
  <c r="AI14" i="1" s="1"/>
  <c r="T14" i="1"/>
  <c r="P14" i="1"/>
  <c r="N7" i="13"/>
  <c r="F7" i="13" s="1"/>
  <c r="H17" i="8"/>
  <c r="P22" i="13"/>
  <c r="N21" i="13"/>
  <c r="N20" i="13"/>
  <c r="P51" i="13"/>
  <c r="P56" i="13"/>
  <c r="P53" i="13"/>
  <c r="D3" i="1"/>
  <c r="D2" i="1"/>
  <c r="D4" i="1"/>
  <c r="D5" i="1"/>
  <c r="D6" i="1"/>
  <c r="D7" i="1"/>
  <c r="D8" i="1"/>
  <c r="H6" i="1"/>
  <c r="J5" i="16" s="1"/>
  <c r="H5" i="1"/>
  <c r="J4" i="16" s="1"/>
  <c r="X154" i="1" l="1"/>
  <c r="W129" i="1"/>
  <c r="W128" i="1"/>
  <c r="X121" i="1"/>
  <c r="W117" i="1"/>
  <c r="X113" i="1"/>
  <c r="X71" i="1"/>
  <c r="W61" i="1"/>
  <c r="O23" i="1"/>
  <c r="W22" i="1"/>
  <c r="W67" i="1"/>
  <c r="X78" i="1"/>
  <c r="X109" i="1"/>
  <c r="W136" i="1"/>
  <c r="W142" i="1"/>
  <c r="W164" i="1"/>
  <c r="X196" i="1"/>
  <c r="W202" i="1"/>
  <c r="X250" i="1"/>
  <c r="X263" i="1"/>
  <c r="W295" i="1"/>
  <c r="W321" i="1"/>
  <c r="X338" i="1"/>
  <c r="W347" i="1"/>
  <c r="W361" i="1"/>
  <c r="W363" i="1"/>
  <c r="X373" i="1"/>
  <c r="W408" i="1"/>
  <c r="W416" i="1"/>
  <c r="W434" i="1"/>
  <c r="W448" i="1"/>
  <c r="W450" i="1"/>
  <c r="W458" i="1"/>
  <c r="W99" i="1"/>
  <c r="X204" i="1"/>
  <c r="X284" i="1"/>
  <c r="X293" i="1"/>
  <c r="X302" i="1"/>
  <c r="W436" i="1"/>
  <c r="X499" i="1"/>
  <c r="X231" i="1"/>
  <c r="W325" i="1"/>
  <c r="X148" i="1"/>
  <c r="X160" i="1"/>
  <c r="X162" i="1"/>
  <c r="W172" i="1"/>
  <c r="X191" i="1"/>
  <c r="W342" i="1"/>
  <c r="P16" i="1"/>
  <c r="X69" i="1"/>
  <c r="W155" i="1"/>
  <c r="X365" i="1"/>
  <c r="X89" i="1"/>
  <c r="W189" i="1"/>
  <c r="X179" i="1"/>
  <c r="P17" i="1"/>
  <c r="W72" i="1"/>
  <c r="W79" i="1"/>
  <c r="X296" i="1"/>
  <c r="W322" i="1"/>
  <c r="X339" i="1"/>
  <c r="W366" i="1"/>
  <c r="W368" i="1"/>
  <c r="W379" i="1"/>
  <c r="W403" i="1"/>
  <c r="X420" i="1"/>
  <c r="W308" i="1"/>
  <c r="W414" i="1"/>
  <c r="X491" i="1"/>
  <c r="W177" i="1"/>
  <c r="W452" i="1"/>
  <c r="X81" i="1"/>
  <c r="W100" i="1"/>
  <c r="W143" i="1"/>
  <c r="X145" i="1"/>
  <c r="W201" i="1"/>
  <c r="W205" i="1"/>
  <c r="W257" i="1"/>
  <c r="X278" i="1"/>
  <c r="X292" i="1"/>
  <c r="W301" i="1"/>
  <c r="X335" i="1"/>
  <c r="W341" i="1"/>
  <c r="X348" i="1"/>
  <c r="X354" i="1"/>
  <c r="W358" i="1"/>
  <c r="X362" i="1"/>
  <c r="X384" i="1"/>
  <c r="X393" i="1"/>
  <c r="W397" i="1"/>
  <c r="X411" i="1"/>
  <c r="X443" i="1"/>
  <c r="X467" i="1"/>
  <c r="W472" i="1"/>
  <c r="W483" i="1"/>
  <c r="X75" i="1"/>
  <c r="W77" i="1"/>
  <c r="W244" i="1"/>
  <c r="X312" i="1"/>
  <c r="W469" i="1"/>
  <c r="W132" i="1"/>
  <c r="X153" i="1"/>
  <c r="W165" i="1"/>
  <c r="W248" i="1"/>
  <c r="O41" i="1"/>
  <c r="O37" i="1"/>
  <c r="P35" i="1"/>
  <c r="W49" i="1"/>
  <c r="X48" i="1"/>
  <c r="P32" i="1"/>
  <c r="T47" i="1"/>
  <c r="W42" i="1"/>
  <c r="W46" i="1"/>
  <c r="O45" i="1"/>
  <c r="S31" i="1"/>
  <c r="X31" i="1"/>
  <c r="O40" i="1"/>
  <c r="T40" i="1"/>
  <c r="W43" i="1"/>
  <c r="T38" i="1"/>
  <c r="X44" i="1"/>
  <c r="P36" i="1"/>
  <c r="O34" i="1"/>
  <c r="S13" i="1"/>
  <c r="W33" i="1"/>
  <c r="O51" i="1"/>
  <c r="W52" i="1"/>
  <c r="X53" i="1"/>
  <c r="S56" i="1"/>
  <c r="X58" i="1"/>
  <c r="O65" i="1"/>
  <c r="X73" i="1"/>
  <c r="S75" i="1"/>
  <c r="X83" i="1"/>
  <c r="S129" i="1"/>
  <c r="X141" i="1"/>
  <c r="T157" i="1"/>
  <c r="S157" i="1"/>
  <c r="X171" i="1"/>
  <c r="W171" i="1"/>
  <c r="O179" i="1"/>
  <c r="T180" i="1"/>
  <c r="S180" i="1"/>
  <c r="S237" i="1"/>
  <c r="T237" i="1"/>
  <c r="O85" i="1"/>
  <c r="P85" i="1"/>
  <c r="W185" i="1"/>
  <c r="X185" i="1"/>
  <c r="W88" i="1"/>
  <c r="T15" i="1"/>
  <c r="S12" i="1"/>
  <c r="S17" i="1"/>
  <c r="P31" i="1"/>
  <c r="T45" i="1"/>
  <c r="O42" i="1"/>
  <c r="P47" i="1"/>
  <c r="W39" i="1"/>
  <c r="O50" i="1"/>
  <c r="W56" i="1"/>
  <c r="S62" i="1"/>
  <c r="T72" i="1"/>
  <c r="S82" i="1"/>
  <c r="W93" i="1"/>
  <c r="S124" i="1"/>
  <c r="X140" i="1"/>
  <c r="W140" i="1"/>
  <c r="O145" i="1"/>
  <c r="P145" i="1"/>
  <c r="P156" i="1"/>
  <c r="X161" i="1"/>
  <c r="W161" i="1"/>
  <c r="X166" i="1"/>
  <c r="P184" i="1"/>
  <c r="S190" i="1"/>
  <c r="X198" i="1"/>
  <c r="W198" i="1"/>
  <c r="O225" i="1"/>
  <c r="S230" i="1"/>
  <c r="X237" i="1"/>
  <c r="S263" i="1"/>
  <c r="T263" i="1"/>
  <c r="S354" i="1"/>
  <c r="T354" i="1"/>
  <c r="P375" i="1"/>
  <c r="O375" i="1"/>
  <c r="S391" i="1"/>
  <c r="T391" i="1"/>
  <c r="X402" i="1"/>
  <c r="W402" i="1"/>
  <c r="T420" i="1"/>
  <c r="S420" i="1"/>
  <c r="X433" i="1"/>
  <c r="W433" i="1"/>
  <c r="P285" i="1"/>
  <c r="O285" i="1"/>
  <c r="P215" i="1"/>
  <c r="O215" i="1"/>
  <c r="W438" i="1"/>
  <c r="X438" i="1"/>
  <c r="W112" i="1"/>
  <c r="O26" i="1"/>
  <c r="W62" i="1"/>
  <c r="X62" i="1"/>
  <c r="T128" i="1"/>
  <c r="S128" i="1"/>
  <c r="P227" i="1"/>
  <c r="O227" i="1"/>
  <c r="X349" i="1"/>
  <c r="W349" i="1"/>
  <c r="P367" i="1"/>
  <c r="O367" i="1"/>
  <c r="X370" i="1"/>
  <c r="W370" i="1"/>
  <c r="P379" i="1"/>
  <c r="O379" i="1"/>
  <c r="T388" i="1"/>
  <c r="S388" i="1"/>
  <c r="P163" i="1"/>
  <c r="O163" i="1"/>
  <c r="X59" i="1"/>
  <c r="W59" i="1"/>
  <c r="S69" i="1"/>
  <c r="T69" i="1"/>
  <c r="P102" i="1"/>
  <c r="O102" i="1"/>
  <c r="X168" i="1"/>
  <c r="W168" i="1"/>
  <c r="T267" i="1"/>
  <c r="S267" i="1"/>
  <c r="X357" i="1"/>
  <c r="W357" i="1"/>
  <c r="O112" i="1"/>
  <c r="P112" i="1"/>
  <c r="T51" i="1"/>
  <c r="T161" i="1"/>
  <c r="O20" i="1"/>
  <c r="W24" i="1"/>
  <c r="W38" i="1"/>
  <c r="S42" i="1"/>
  <c r="O48" i="1"/>
  <c r="S41" i="1"/>
  <c r="O53" i="1"/>
  <c r="W55" i="1"/>
  <c r="P76" i="1"/>
  <c r="X87" i="1"/>
  <c r="W87" i="1"/>
  <c r="X104" i="1"/>
  <c r="W104" i="1"/>
  <c r="W114" i="1"/>
  <c r="X114" i="1"/>
  <c r="O116" i="1"/>
  <c r="X119" i="1"/>
  <c r="W119" i="1"/>
  <c r="X131" i="1"/>
  <c r="W150" i="1"/>
  <c r="X150" i="1"/>
  <c r="T160" i="1"/>
  <c r="S160" i="1"/>
  <c r="O203" i="1"/>
  <c r="S208" i="1"/>
  <c r="S227" i="1"/>
  <c r="S331" i="1"/>
  <c r="T331" i="1"/>
  <c r="W334" i="1"/>
  <c r="O475" i="1"/>
  <c r="P475" i="1"/>
  <c r="P480" i="1"/>
  <c r="O480" i="1"/>
  <c r="X16" i="1"/>
  <c r="P38" i="1"/>
  <c r="P92" i="1"/>
  <c r="O92" i="1"/>
  <c r="X105" i="1"/>
  <c r="P134" i="1"/>
  <c r="X199" i="1"/>
  <c r="W199" i="1"/>
  <c r="S36" i="1"/>
  <c r="O43" i="1"/>
  <c r="T111" i="1"/>
  <c r="S111" i="1"/>
  <c r="W192" i="1"/>
  <c r="X192" i="1"/>
  <c r="P197" i="1"/>
  <c r="O197" i="1"/>
  <c r="W249" i="1"/>
  <c r="T322" i="1"/>
  <c r="S322" i="1"/>
  <c r="S151" i="1"/>
  <c r="T151" i="1"/>
  <c r="O226" i="1"/>
  <c r="P226" i="1"/>
  <c r="P55" i="1"/>
  <c r="W120" i="1"/>
  <c r="P73" i="1"/>
  <c r="O73" i="1"/>
  <c r="X76" i="1"/>
  <c r="W76" i="1"/>
  <c r="T123" i="1"/>
  <c r="S123" i="1"/>
  <c r="P188" i="1"/>
  <c r="O188" i="1"/>
  <c r="O221" i="1"/>
  <c r="O290" i="1"/>
  <c r="P290" i="1"/>
  <c r="O138" i="1"/>
  <c r="P138" i="1"/>
  <c r="W20" i="1"/>
  <c r="W36" i="1"/>
  <c r="S43" i="1"/>
  <c r="W37" i="1"/>
  <c r="W41" i="1"/>
  <c r="S53" i="1"/>
  <c r="X54" i="1"/>
  <c r="P60" i="1"/>
  <c r="O60" i="1"/>
  <c r="T86" i="1"/>
  <c r="S86" i="1"/>
  <c r="S91" i="1"/>
  <c r="T91" i="1"/>
  <c r="P101" i="1"/>
  <c r="O101" i="1"/>
  <c r="O149" i="1"/>
  <c r="X152" i="1"/>
  <c r="T164" i="1"/>
  <c r="S164" i="1"/>
  <c r="O174" i="1"/>
  <c r="T183" i="1"/>
  <c r="S183" i="1"/>
  <c r="T202" i="1"/>
  <c r="S202" i="1"/>
  <c r="W212" i="1"/>
  <c r="X212" i="1"/>
  <c r="T216" i="1"/>
  <c r="S216" i="1"/>
  <c r="S219" i="1"/>
  <c r="P234" i="1"/>
  <c r="O234" i="1"/>
  <c r="S248" i="1"/>
  <c r="T254" i="1"/>
  <c r="T166" i="1"/>
  <c r="S166" i="1"/>
  <c r="S35" i="1"/>
  <c r="T52" i="1"/>
  <c r="P57" i="1"/>
  <c r="T58" i="1"/>
  <c r="T66" i="1"/>
  <c r="T80" i="1"/>
  <c r="S80" i="1"/>
  <c r="S144" i="1"/>
  <c r="W147" i="1"/>
  <c r="X147" i="1"/>
  <c r="X167" i="1"/>
  <c r="W181" i="1"/>
  <c r="X181" i="1"/>
  <c r="X240" i="1"/>
  <c r="W240" i="1"/>
  <c r="S256" i="1"/>
  <c r="X275" i="1"/>
  <c r="W275" i="1"/>
  <c r="T365" i="1"/>
  <c r="S365" i="1"/>
  <c r="T376" i="1"/>
  <c r="S376" i="1"/>
  <c r="W378" i="1"/>
  <c r="X378" i="1"/>
  <c r="X459" i="1"/>
  <c r="W459" i="1"/>
  <c r="X314" i="1"/>
  <c r="W314" i="1"/>
  <c r="P329" i="1"/>
  <c r="O329" i="1"/>
  <c r="T339" i="1"/>
  <c r="S339" i="1"/>
  <c r="T386" i="1"/>
  <c r="S386" i="1"/>
  <c r="W396" i="1"/>
  <c r="X396" i="1"/>
  <c r="P412" i="1"/>
  <c r="O412" i="1"/>
  <c r="W421" i="1"/>
  <c r="X421" i="1"/>
  <c r="X490" i="1"/>
  <c r="O498" i="1"/>
  <c r="P282" i="1"/>
  <c r="O282" i="1"/>
  <c r="T395" i="1"/>
  <c r="S395" i="1"/>
  <c r="T458" i="1"/>
  <c r="S458" i="1"/>
  <c r="O64" i="1"/>
  <c r="S70" i="1"/>
  <c r="O115" i="1"/>
  <c r="S116" i="1"/>
  <c r="S117" i="1"/>
  <c r="W118" i="1"/>
  <c r="O122" i="1"/>
  <c r="W124" i="1"/>
  <c r="O127" i="1"/>
  <c r="W144" i="1"/>
  <c r="S156" i="1"/>
  <c r="S274" i="1"/>
  <c r="T274" i="1"/>
  <c r="T276" i="1"/>
  <c r="S276" i="1"/>
  <c r="O280" i="1"/>
  <c r="P280" i="1"/>
  <c r="W294" i="1"/>
  <c r="X294" i="1"/>
  <c r="S312" i="1"/>
  <c r="T312" i="1"/>
  <c r="T348" i="1"/>
  <c r="S348" i="1"/>
  <c r="S369" i="1"/>
  <c r="T369" i="1"/>
  <c r="O383" i="1"/>
  <c r="P383" i="1"/>
  <c r="P390" i="1"/>
  <c r="O390" i="1"/>
  <c r="W466" i="1"/>
  <c r="P69" i="1"/>
  <c r="P79" i="1"/>
  <c r="P90" i="1"/>
  <c r="W97" i="1"/>
  <c r="P110" i="1"/>
  <c r="X111" i="1"/>
  <c r="O148" i="1"/>
  <c r="P155" i="1"/>
  <c r="S178" i="1"/>
  <c r="O201" i="1"/>
  <c r="T203" i="1"/>
  <c r="O210" i="1"/>
  <c r="S218" i="1"/>
  <c r="T225" i="1"/>
  <c r="S226" i="1"/>
  <c r="P247" i="1"/>
  <c r="O251" i="1"/>
  <c r="P289" i="1"/>
  <c r="O289" i="1"/>
  <c r="S298" i="1"/>
  <c r="T298" i="1"/>
  <c r="X305" i="1"/>
  <c r="W305" i="1"/>
  <c r="T353" i="1"/>
  <c r="S353" i="1"/>
  <c r="O358" i="1"/>
  <c r="P358" i="1"/>
  <c r="O392" i="1"/>
  <c r="P392" i="1"/>
  <c r="O411" i="1"/>
  <c r="W445" i="1"/>
  <c r="X445" i="1"/>
  <c r="T269" i="1"/>
  <c r="S269" i="1"/>
  <c r="W280" i="1"/>
  <c r="X280" i="1"/>
  <c r="X310" i="1"/>
  <c r="W310" i="1"/>
  <c r="T335" i="1"/>
  <c r="S335" i="1"/>
  <c r="X426" i="1"/>
  <c r="W426" i="1"/>
  <c r="W101" i="1"/>
  <c r="S115" i="1"/>
  <c r="W116" i="1"/>
  <c r="T122" i="1"/>
  <c r="X133" i="1"/>
  <c r="S142" i="1"/>
  <c r="S148" i="1"/>
  <c r="X159" i="1"/>
  <c r="O167" i="1"/>
  <c r="W178" i="1"/>
  <c r="W193" i="1"/>
  <c r="W197" i="1"/>
  <c r="T201" i="1"/>
  <c r="W203" i="1"/>
  <c r="W207" i="1"/>
  <c r="S210" i="1"/>
  <c r="W225" i="1"/>
  <c r="X226" i="1"/>
  <c r="S229" i="1"/>
  <c r="T232" i="1"/>
  <c r="O257" i="1"/>
  <c r="X300" i="1"/>
  <c r="W300" i="1"/>
  <c r="O302" i="1"/>
  <c r="X307" i="1"/>
  <c r="W307" i="1"/>
  <c r="T363" i="1"/>
  <c r="S363" i="1"/>
  <c r="P378" i="1"/>
  <c r="O378" i="1"/>
  <c r="X383" i="1"/>
  <c r="W383" i="1"/>
  <c r="X460" i="1"/>
  <c r="W460" i="1"/>
  <c r="W60" i="1"/>
  <c r="O67" i="1"/>
  <c r="S68" i="1"/>
  <c r="O72" i="1"/>
  <c r="T84" i="1"/>
  <c r="O89" i="1"/>
  <c r="X90" i="1"/>
  <c r="S104" i="1"/>
  <c r="S105" i="1"/>
  <c r="W106" i="1"/>
  <c r="W206" i="1"/>
  <c r="T213" i="1"/>
  <c r="O216" i="1"/>
  <c r="O223" i="1"/>
  <c r="P228" i="1"/>
  <c r="W233" i="1"/>
  <c r="X234" i="1"/>
  <c r="P238" i="1"/>
  <c r="W247" i="1"/>
  <c r="O254" i="1"/>
  <c r="X255" i="1"/>
  <c r="W264" i="1"/>
  <c r="X287" i="1"/>
  <c r="W287" i="1"/>
  <c r="X326" i="1"/>
  <c r="W326" i="1"/>
  <c r="W337" i="1"/>
  <c r="X374" i="1"/>
  <c r="W374" i="1"/>
  <c r="P396" i="1"/>
  <c r="O396" i="1"/>
  <c r="X404" i="1"/>
  <c r="W404" i="1"/>
  <c r="T408" i="1"/>
  <c r="S408" i="1"/>
  <c r="P410" i="1"/>
  <c r="O410" i="1"/>
  <c r="P424" i="1"/>
  <c r="O424" i="1"/>
  <c r="X437" i="1"/>
  <c r="W437" i="1"/>
  <c r="O444" i="1"/>
  <c r="S449" i="1"/>
  <c r="T470" i="1"/>
  <c r="S470" i="1"/>
  <c r="X486" i="1"/>
  <c r="W486" i="1"/>
  <c r="S83" i="1"/>
  <c r="X95" i="1"/>
  <c r="X169" i="1"/>
  <c r="O186" i="1"/>
  <c r="T192" i="1"/>
  <c r="P237" i="1"/>
  <c r="W243" i="1"/>
  <c r="P250" i="1"/>
  <c r="O268" i="1"/>
  <c r="P311" i="1"/>
  <c r="O311" i="1"/>
  <c r="P318" i="1"/>
  <c r="O318" i="1"/>
  <c r="T368" i="1"/>
  <c r="S368" i="1"/>
  <c r="T399" i="1"/>
  <c r="S399" i="1"/>
  <c r="P436" i="1"/>
  <c r="O298" i="1"/>
  <c r="S300" i="1"/>
  <c r="S314" i="1"/>
  <c r="W318" i="1"/>
  <c r="W323" i="1"/>
  <c r="O325" i="1"/>
  <c r="S327" i="1"/>
  <c r="O331" i="1"/>
  <c r="W332" i="1"/>
  <c r="O339" i="1"/>
  <c r="S351" i="1"/>
  <c r="T362" i="1"/>
  <c r="O380" i="1"/>
  <c r="W390" i="1"/>
  <c r="O393" i="1"/>
  <c r="O399" i="1"/>
  <c r="S406" i="1"/>
  <c r="O409" i="1"/>
  <c r="W410" i="1"/>
  <c r="T414" i="1"/>
  <c r="S418" i="1"/>
  <c r="X419" i="1"/>
  <c r="O430" i="1"/>
  <c r="X431" i="1"/>
  <c r="W435" i="1"/>
  <c r="S440" i="1"/>
  <c r="O446" i="1"/>
  <c r="O451" i="1"/>
  <c r="S456" i="1"/>
  <c r="S463" i="1"/>
  <c r="X464" i="1"/>
  <c r="O467" i="1"/>
  <c r="X476" i="1"/>
  <c r="O482" i="1"/>
  <c r="O269" i="1"/>
  <c r="T294" i="1"/>
  <c r="S326" i="1"/>
  <c r="O345" i="1"/>
  <c r="O434" i="1"/>
  <c r="W457" i="1"/>
  <c r="W475" i="1"/>
  <c r="X479" i="1"/>
  <c r="P487" i="1"/>
  <c r="P496" i="1"/>
  <c r="W423" i="1"/>
  <c r="S427" i="1"/>
  <c r="W430" i="1"/>
  <c r="T446" i="1"/>
  <c r="W451" i="1"/>
  <c r="W462" i="1"/>
  <c r="W463" i="1"/>
  <c r="S482" i="1"/>
  <c r="W484" i="1"/>
  <c r="S487" i="1"/>
  <c r="T496" i="1"/>
  <c r="W270" i="1"/>
  <c r="S275" i="1"/>
  <c r="W279" i="1"/>
  <c r="X282" i="1"/>
  <c r="W291" i="1"/>
  <c r="S297" i="1"/>
  <c r="W299" i="1"/>
  <c r="S304" i="1"/>
  <c r="W306" i="1"/>
  <c r="W261" i="1"/>
  <c r="S264" i="1"/>
  <c r="X265" i="1"/>
  <c r="O267" i="1"/>
  <c r="T268" i="1"/>
  <c r="P286" i="1"/>
  <c r="S290" i="1"/>
  <c r="X298" i="1"/>
  <c r="T329" i="1"/>
  <c r="O344" i="1"/>
  <c r="X405" i="1"/>
  <c r="X413" i="1"/>
  <c r="X422" i="1"/>
  <c r="X427" i="1"/>
  <c r="S438" i="1"/>
  <c r="P449" i="1"/>
  <c r="P472" i="1"/>
  <c r="O284" i="1"/>
  <c r="S499" i="1"/>
  <c r="X500" i="1"/>
  <c r="T258" i="1"/>
  <c r="T280" i="1"/>
  <c r="P327" i="1"/>
  <c r="S390" i="1"/>
  <c r="P406" i="1"/>
  <c r="T410" i="1"/>
  <c r="O414" i="1"/>
  <c r="W415" i="1"/>
  <c r="O418" i="1"/>
  <c r="W432" i="1"/>
  <c r="W449" i="1"/>
  <c r="W470" i="1"/>
  <c r="T30" i="1"/>
  <c r="W30" i="1"/>
  <c r="O28" i="1"/>
  <c r="S28" i="1"/>
  <c r="T29" i="1"/>
  <c r="W29" i="1"/>
  <c r="X27" i="1"/>
  <c r="O27" i="1"/>
  <c r="S26" i="1"/>
  <c r="P25" i="1"/>
  <c r="S25" i="1"/>
  <c r="W25" i="1"/>
  <c r="S24" i="1"/>
  <c r="X13" i="1"/>
  <c r="P22" i="1"/>
  <c r="W23" i="1"/>
  <c r="S11" i="1"/>
  <c r="O15" i="1"/>
  <c r="O18" i="1"/>
  <c r="W19" i="1"/>
  <c r="X18" i="1"/>
  <c r="X17" i="1"/>
  <c r="P29" i="1"/>
  <c r="X45" i="1"/>
  <c r="W45" i="1"/>
  <c r="X51" i="1"/>
  <c r="P54" i="1"/>
  <c r="O54" i="1"/>
  <c r="O59" i="1"/>
  <c r="P59" i="1"/>
  <c r="P75" i="1"/>
  <c r="O75" i="1"/>
  <c r="P78" i="1"/>
  <c r="O78" i="1"/>
  <c r="T79" i="1"/>
  <c r="S79" i="1"/>
  <c r="W80" i="1"/>
  <c r="X80" i="1"/>
  <c r="X47" i="1"/>
  <c r="W47" i="1"/>
  <c r="T59" i="1"/>
  <c r="S59" i="1"/>
  <c r="T18" i="1"/>
  <c r="S18" i="1"/>
  <c r="T16" i="1"/>
  <c r="P30" i="1"/>
  <c r="O30" i="1"/>
  <c r="T57" i="1"/>
  <c r="S57" i="1"/>
  <c r="P74" i="1"/>
  <c r="O74" i="1"/>
  <c r="T130" i="1"/>
  <c r="S130" i="1"/>
  <c r="W11" i="1"/>
  <c r="S20" i="1"/>
  <c r="T20" i="1"/>
  <c r="P12" i="1"/>
  <c r="W26" i="1"/>
  <c r="X26" i="1"/>
  <c r="T27" i="1"/>
  <c r="P44" i="1"/>
  <c r="O44" i="1"/>
  <c r="P33" i="1"/>
  <c r="O33" i="1"/>
  <c r="T54" i="1"/>
  <c r="P70" i="1"/>
  <c r="O70" i="1"/>
  <c r="T77" i="1"/>
  <c r="S106" i="1"/>
  <c r="T106" i="1"/>
  <c r="X115" i="1"/>
  <c r="W115" i="1"/>
  <c r="P24" i="1"/>
  <c r="O24" i="1"/>
  <c r="X34" i="1"/>
  <c r="W34" i="1"/>
  <c r="S33" i="1"/>
  <c r="O46" i="1"/>
  <c r="P63" i="1"/>
  <c r="O63" i="1"/>
  <c r="T67" i="1"/>
  <c r="O21" i="1"/>
  <c r="P19" i="1"/>
  <c r="X28" i="1"/>
  <c r="S44" i="1"/>
  <c r="O49" i="1"/>
  <c r="P49" i="1"/>
  <c r="P39" i="1"/>
  <c r="P83" i="1"/>
  <c r="O83" i="1"/>
  <c r="T34" i="1"/>
  <c r="S34" i="1"/>
  <c r="S21" i="1"/>
  <c r="T22" i="1"/>
  <c r="X125" i="1"/>
  <c r="W125" i="1"/>
  <c r="X12" i="1"/>
  <c r="W12" i="1"/>
  <c r="S46" i="1"/>
  <c r="T46" i="1"/>
  <c r="S39" i="1"/>
  <c r="T39" i="1"/>
  <c r="T64" i="1"/>
  <c r="S64" i="1"/>
  <c r="X68" i="1"/>
  <c r="W68" i="1"/>
  <c r="T32" i="1"/>
  <c r="S32" i="1"/>
  <c r="S48" i="1"/>
  <c r="S49" i="1"/>
  <c r="O61" i="1"/>
  <c r="X64" i="1"/>
  <c r="W64" i="1"/>
  <c r="W66" i="1"/>
  <c r="X66" i="1"/>
  <c r="X74" i="1"/>
  <c r="W74" i="1"/>
  <c r="P80" i="1"/>
  <c r="O80" i="1"/>
  <c r="X35" i="1"/>
  <c r="W35" i="1"/>
  <c r="X63" i="1"/>
  <c r="W63" i="1"/>
  <c r="X65" i="1"/>
  <c r="W65" i="1"/>
  <c r="P82" i="1"/>
  <c r="O82" i="1"/>
  <c r="X21" i="1"/>
  <c r="W21" i="1"/>
  <c r="T23" i="1"/>
  <c r="S23" i="1"/>
  <c r="O11" i="1"/>
  <c r="P11" i="1"/>
  <c r="W40" i="1"/>
  <c r="W32" i="1"/>
  <c r="P56" i="1"/>
  <c r="T131" i="1"/>
  <c r="S131" i="1"/>
  <c r="S296" i="1"/>
  <c r="T296" i="1"/>
  <c r="X85" i="1"/>
  <c r="W85" i="1"/>
  <c r="T158" i="1"/>
  <c r="S158" i="1"/>
  <c r="P266" i="1"/>
  <c r="O266" i="1"/>
  <c r="X94" i="1"/>
  <c r="W94" i="1"/>
  <c r="T98" i="1"/>
  <c r="S98" i="1"/>
  <c r="T107" i="1"/>
  <c r="S107" i="1"/>
  <c r="X126" i="1"/>
  <c r="W126" i="1"/>
  <c r="P140" i="1"/>
  <c r="O140" i="1"/>
  <c r="W200" i="1"/>
  <c r="X200" i="1"/>
  <c r="X96" i="1"/>
  <c r="W96" i="1"/>
  <c r="T100" i="1"/>
  <c r="S100" i="1"/>
  <c r="T179" i="1"/>
  <c r="S179" i="1"/>
  <c r="T209" i="1"/>
  <c r="S209" i="1"/>
  <c r="P111" i="1"/>
  <c r="O111" i="1"/>
  <c r="P121" i="1"/>
  <c r="O121" i="1"/>
  <c r="P123" i="1"/>
  <c r="O123" i="1"/>
  <c r="T149" i="1"/>
  <c r="S149" i="1"/>
  <c r="T89" i="1"/>
  <c r="S89" i="1"/>
  <c r="P104" i="1"/>
  <c r="O104" i="1"/>
  <c r="T119" i="1"/>
  <c r="S119" i="1"/>
  <c r="T139" i="1"/>
  <c r="S139" i="1"/>
  <c r="T71" i="1"/>
  <c r="S71" i="1"/>
  <c r="X82" i="1"/>
  <c r="W82" i="1"/>
  <c r="S101" i="1"/>
  <c r="W108" i="1"/>
  <c r="S110" i="1"/>
  <c r="S120" i="1"/>
  <c r="X139" i="1"/>
  <c r="W139" i="1"/>
  <c r="P143" i="1"/>
  <c r="O143" i="1"/>
  <c r="W149" i="1"/>
  <c r="P159" i="1"/>
  <c r="O159" i="1"/>
  <c r="S37" i="1"/>
  <c r="W70" i="1"/>
  <c r="T76" i="1"/>
  <c r="P93" i="1"/>
  <c r="O93" i="1"/>
  <c r="S112" i="1"/>
  <c r="P128" i="1"/>
  <c r="O128" i="1"/>
  <c r="T143" i="1"/>
  <c r="S143" i="1"/>
  <c r="S207" i="1"/>
  <c r="T207" i="1"/>
  <c r="P114" i="1"/>
  <c r="O114" i="1"/>
  <c r="X157" i="1"/>
  <c r="W157" i="1"/>
  <c r="X219" i="1"/>
  <c r="W219" i="1"/>
  <c r="T103" i="1"/>
  <c r="X123" i="1"/>
  <c r="W123" i="1"/>
  <c r="P129" i="1"/>
  <c r="T137" i="1"/>
  <c r="S137" i="1"/>
  <c r="X138" i="1"/>
  <c r="W138" i="1"/>
  <c r="S205" i="1"/>
  <c r="T205" i="1"/>
  <c r="X91" i="1"/>
  <c r="W91" i="1"/>
  <c r="T127" i="1"/>
  <c r="S127" i="1"/>
  <c r="P133" i="1"/>
  <c r="O133" i="1"/>
  <c r="W84" i="1"/>
  <c r="X102" i="1"/>
  <c r="X103" i="1"/>
  <c r="W103" i="1"/>
  <c r="P126" i="1"/>
  <c r="X127" i="1"/>
  <c r="W127" i="1"/>
  <c r="P131" i="1"/>
  <c r="O131" i="1"/>
  <c r="S132" i="1"/>
  <c r="X135" i="1"/>
  <c r="W135" i="1"/>
  <c r="X137" i="1"/>
  <c r="P191" i="1"/>
  <c r="O191" i="1"/>
  <c r="P183" i="1"/>
  <c r="O183" i="1"/>
  <c r="P213" i="1"/>
  <c r="O213" i="1"/>
  <c r="O294" i="1"/>
  <c r="P294" i="1"/>
  <c r="X367" i="1"/>
  <c r="W367" i="1"/>
  <c r="T78" i="1"/>
  <c r="S78" i="1"/>
  <c r="T95" i="1"/>
  <c r="S95" i="1"/>
  <c r="P99" i="1"/>
  <c r="O99" i="1"/>
  <c r="W156" i="1"/>
  <c r="O158" i="1"/>
  <c r="X163" i="1"/>
  <c r="W163" i="1"/>
  <c r="S170" i="1"/>
  <c r="P181" i="1"/>
  <c r="O182" i="1"/>
  <c r="P230" i="1"/>
  <c r="O230" i="1"/>
  <c r="T191" i="1"/>
  <c r="S191" i="1"/>
  <c r="S204" i="1"/>
  <c r="T204" i="1"/>
  <c r="P87" i="1"/>
  <c r="O87" i="1"/>
  <c r="P135" i="1"/>
  <c r="O135" i="1"/>
  <c r="O152" i="1"/>
  <c r="X208" i="1"/>
  <c r="X213" i="1"/>
  <c r="W213" i="1"/>
  <c r="T242" i="1"/>
  <c r="S242" i="1"/>
  <c r="T193" i="1"/>
  <c r="S193" i="1"/>
  <c r="P211" i="1"/>
  <c r="O211" i="1"/>
  <c r="X221" i="1"/>
  <c r="W221" i="1"/>
  <c r="O162" i="1"/>
  <c r="S165" i="1"/>
  <c r="T173" i="1"/>
  <c r="S175" i="1"/>
  <c r="W183" i="1"/>
  <c r="W190" i="1"/>
  <c r="S194" i="1"/>
  <c r="T195" i="1"/>
  <c r="S195" i="1"/>
  <c r="P217" i="1"/>
  <c r="O217" i="1"/>
  <c r="T220" i="1"/>
  <c r="S220" i="1"/>
  <c r="P229" i="1"/>
  <c r="O229" i="1"/>
  <c r="W272" i="1"/>
  <c r="X272" i="1"/>
  <c r="X151" i="1"/>
  <c r="W151" i="1"/>
  <c r="T155" i="1"/>
  <c r="S155" i="1"/>
  <c r="T196" i="1"/>
  <c r="T197" i="1"/>
  <c r="S197" i="1"/>
  <c r="S198" i="1"/>
  <c r="P218" i="1"/>
  <c r="O218" i="1"/>
  <c r="P262" i="1"/>
  <c r="O262" i="1"/>
  <c r="X175" i="1"/>
  <c r="W175" i="1"/>
  <c r="P202" i="1"/>
  <c r="O202" i="1"/>
  <c r="P206" i="1"/>
  <c r="O206" i="1"/>
  <c r="T244" i="1"/>
  <c r="S244" i="1"/>
  <c r="T167" i="1"/>
  <c r="S167" i="1"/>
  <c r="X173" i="1"/>
  <c r="W174" i="1"/>
  <c r="P177" i="1"/>
  <c r="T185" i="1"/>
  <c r="S187" i="1"/>
  <c r="W194" i="1"/>
  <c r="P147" i="1"/>
  <c r="O147" i="1"/>
  <c r="P171" i="1"/>
  <c r="O171" i="1"/>
  <c r="O164" i="1"/>
  <c r="P169" i="1"/>
  <c r="O170" i="1"/>
  <c r="X187" i="1"/>
  <c r="W187" i="1"/>
  <c r="X252" i="1"/>
  <c r="W252" i="1"/>
  <c r="W218" i="1"/>
  <c r="X218" i="1"/>
  <c r="P255" i="1"/>
  <c r="O255" i="1"/>
  <c r="P261" i="1"/>
  <c r="O261" i="1"/>
  <c r="T271" i="1"/>
  <c r="S271" i="1"/>
  <c r="W86" i="1"/>
  <c r="S90" i="1"/>
  <c r="O94" i="1"/>
  <c r="W98" i="1"/>
  <c r="S102" i="1"/>
  <c r="O106" i="1"/>
  <c r="W110" i="1"/>
  <c r="S114" i="1"/>
  <c r="O118" i="1"/>
  <c r="W122" i="1"/>
  <c r="S126" i="1"/>
  <c r="O130" i="1"/>
  <c r="W134" i="1"/>
  <c r="S138" i="1"/>
  <c r="O142" i="1"/>
  <c r="W146" i="1"/>
  <c r="S150" i="1"/>
  <c r="O154" i="1"/>
  <c r="W158" i="1"/>
  <c r="S162" i="1"/>
  <c r="O166" i="1"/>
  <c r="W170" i="1"/>
  <c r="S174" i="1"/>
  <c r="O178" i="1"/>
  <c r="W182" i="1"/>
  <c r="S186" i="1"/>
  <c r="O190" i="1"/>
  <c r="O198" i="1"/>
  <c r="O200" i="1"/>
  <c r="O204" i="1"/>
  <c r="P208" i="1"/>
  <c r="W209" i="1"/>
  <c r="W211" i="1"/>
  <c r="S214" i="1"/>
  <c r="O220" i="1"/>
  <c r="W235" i="1"/>
  <c r="O239" i="1"/>
  <c r="T243" i="1"/>
  <c r="W253" i="1"/>
  <c r="T255" i="1"/>
  <c r="S255" i="1"/>
  <c r="X256" i="1"/>
  <c r="T259" i="1"/>
  <c r="S262" i="1"/>
  <c r="T266" i="1"/>
  <c r="S266" i="1"/>
  <c r="X271" i="1"/>
  <c r="W271" i="1"/>
  <c r="W276" i="1"/>
  <c r="X276" i="1"/>
  <c r="T286" i="1"/>
  <c r="S286" i="1"/>
  <c r="O316" i="1"/>
  <c r="P324" i="1"/>
  <c r="O324" i="1"/>
  <c r="T360" i="1"/>
  <c r="S360" i="1"/>
  <c r="X227" i="1"/>
  <c r="W227" i="1"/>
  <c r="P231" i="1"/>
  <c r="O231" i="1"/>
  <c r="W242" i="1"/>
  <c r="X242" i="1"/>
  <c r="O248" i="1"/>
  <c r="P248" i="1"/>
  <c r="X259" i="1"/>
  <c r="W259" i="1"/>
  <c r="X286" i="1"/>
  <c r="W286" i="1"/>
  <c r="W289" i="1"/>
  <c r="X289" i="1"/>
  <c r="T293" i="1"/>
  <c r="S293" i="1"/>
  <c r="T359" i="1"/>
  <c r="S359" i="1"/>
  <c r="X222" i="1"/>
  <c r="W222" i="1"/>
  <c r="W262" i="1"/>
  <c r="X262" i="1"/>
  <c r="T265" i="1"/>
  <c r="S265" i="1"/>
  <c r="S281" i="1"/>
  <c r="T281" i="1"/>
  <c r="S295" i="1"/>
  <c r="T295" i="1"/>
  <c r="S238" i="1"/>
  <c r="T238" i="1"/>
  <c r="P278" i="1"/>
  <c r="O278" i="1"/>
  <c r="P292" i="1"/>
  <c r="O292" i="1"/>
  <c r="P303" i="1"/>
  <c r="O303" i="1"/>
  <c r="P312" i="1"/>
  <c r="O312" i="1"/>
  <c r="S224" i="1"/>
  <c r="X229" i="1"/>
  <c r="W229" i="1"/>
  <c r="T231" i="1"/>
  <c r="W239" i="1"/>
  <c r="S240" i="1"/>
  <c r="T247" i="1"/>
  <c r="S247" i="1"/>
  <c r="P249" i="1"/>
  <c r="W258" i="1"/>
  <c r="W281" i="1"/>
  <c r="W283" i="1"/>
  <c r="X283" i="1"/>
  <c r="W288" i="1"/>
  <c r="T320" i="1"/>
  <c r="S320" i="1"/>
  <c r="S215" i="1"/>
  <c r="W223" i="1"/>
  <c r="W245" i="1"/>
  <c r="P299" i="1"/>
  <c r="O299" i="1"/>
  <c r="T311" i="1"/>
  <c r="S311" i="1"/>
  <c r="W230" i="1"/>
  <c r="X230" i="1"/>
  <c r="P349" i="1"/>
  <c r="O349" i="1"/>
  <c r="W220" i="1"/>
  <c r="W224" i="1"/>
  <c r="T233" i="1"/>
  <c r="X246" i="1"/>
  <c r="W246" i="1"/>
  <c r="S249" i="1"/>
  <c r="P272" i="1"/>
  <c r="O272" i="1"/>
  <c r="P276" i="1"/>
  <c r="T277" i="1"/>
  <c r="S277" i="1"/>
  <c r="T308" i="1"/>
  <c r="S308" i="1"/>
  <c r="X313" i="1"/>
  <c r="W313" i="1"/>
  <c r="O244" i="1"/>
  <c r="P244" i="1"/>
  <c r="S272" i="1"/>
  <c r="T272" i="1"/>
  <c r="X303" i="1"/>
  <c r="W303" i="1"/>
  <c r="P317" i="1"/>
  <c r="O317" i="1"/>
  <c r="X319" i="1"/>
  <c r="W319" i="1"/>
  <c r="P214" i="1"/>
  <c r="O219" i="1"/>
  <c r="S250" i="1"/>
  <c r="X251" i="1"/>
  <c r="W251" i="1"/>
  <c r="S273" i="1"/>
  <c r="X274" i="1"/>
  <c r="S387" i="1"/>
  <c r="T387" i="1"/>
  <c r="X277" i="1"/>
  <c r="W277" i="1"/>
  <c r="P301" i="1"/>
  <c r="O301" i="1"/>
  <c r="X320" i="1"/>
  <c r="W320" i="1"/>
  <c r="T325" i="1"/>
  <c r="S325" i="1"/>
  <c r="T332" i="1"/>
  <c r="S332" i="1"/>
  <c r="T235" i="1"/>
  <c r="S251" i="1"/>
  <c r="X285" i="1"/>
  <c r="W285" i="1"/>
  <c r="P288" i="1"/>
  <c r="T292" i="1"/>
  <c r="S292" i="1"/>
  <c r="O305" i="1"/>
  <c r="P315" i="1"/>
  <c r="O315" i="1"/>
  <c r="S328" i="1"/>
  <c r="S347" i="1"/>
  <c r="T239" i="1"/>
  <c r="S239" i="1"/>
  <c r="T288" i="1"/>
  <c r="S288" i="1"/>
  <c r="T289" i="1"/>
  <c r="S289" i="1"/>
  <c r="P296" i="1"/>
  <c r="O296" i="1"/>
  <c r="T305" i="1"/>
  <c r="S305" i="1"/>
  <c r="P341" i="1"/>
  <c r="O341" i="1"/>
  <c r="P337" i="1"/>
  <c r="O337" i="1"/>
  <c r="S342" i="1"/>
  <c r="T342" i="1"/>
  <c r="X371" i="1"/>
  <c r="W371" i="1"/>
  <c r="S309" i="1"/>
  <c r="P322" i="1"/>
  <c r="O322" i="1"/>
  <c r="X324" i="1"/>
  <c r="T307" i="1"/>
  <c r="S307" i="1"/>
  <c r="T338" i="1"/>
  <c r="S338" i="1"/>
  <c r="X343" i="1"/>
  <c r="W343" i="1"/>
  <c r="X344" i="1"/>
  <c r="W344" i="1"/>
  <c r="W350" i="1"/>
  <c r="X350" i="1"/>
  <c r="X377" i="1"/>
  <c r="W377" i="1"/>
  <c r="X269" i="1"/>
  <c r="W269" i="1"/>
  <c r="P277" i="1"/>
  <c r="O277" i="1"/>
  <c r="T282" i="1"/>
  <c r="S282" i="1"/>
  <c r="O335" i="1"/>
  <c r="P335" i="1"/>
  <c r="T345" i="1"/>
  <c r="S345" i="1"/>
  <c r="T355" i="1"/>
  <c r="S355" i="1"/>
  <c r="P366" i="1"/>
  <c r="O366" i="1"/>
  <c r="S379" i="1"/>
  <c r="T379" i="1"/>
  <c r="T380" i="1"/>
  <c r="S380" i="1"/>
  <c r="T381" i="1"/>
  <c r="S381" i="1"/>
  <c r="T401" i="1"/>
  <c r="S401" i="1"/>
  <c r="P281" i="1"/>
  <c r="O281" i="1"/>
  <c r="P297" i="1"/>
  <c r="O297" i="1"/>
  <c r="T316" i="1"/>
  <c r="S316" i="1"/>
  <c r="X331" i="1"/>
  <c r="W331" i="1"/>
  <c r="X345" i="1"/>
  <c r="W345" i="1"/>
  <c r="P347" i="1"/>
  <c r="W351" i="1"/>
  <c r="X352" i="1"/>
  <c r="W352" i="1"/>
  <c r="O359" i="1"/>
  <c r="P361" i="1"/>
  <c r="O361" i="1"/>
  <c r="O363" i="1"/>
  <c r="O365" i="1"/>
  <c r="P365" i="1"/>
  <c r="O275" i="1"/>
  <c r="S302" i="1"/>
  <c r="W317" i="1"/>
  <c r="T318" i="1"/>
  <c r="T319" i="1"/>
  <c r="S319" i="1"/>
  <c r="X353" i="1"/>
  <c r="W353" i="1"/>
  <c r="X355" i="1"/>
  <c r="W355" i="1"/>
  <c r="X356" i="1"/>
  <c r="W356" i="1"/>
  <c r="O364" i="1"/>
  <c r="P360" i="1"/>
  <c r="O360" i="1"/>
  <c r="X369" i="1"/>
  <c r="W369" i="1"/>
  <c r="W399" i="1"/>
  <c r="X399" i="1"/>
  <c r="X297" i="1"/>
  <c r="W297" i="1"/>
  <c r="P342" i="1"/>
  <c r="O342" i="1"/>
  <c r="P391" i="1"/>
  <c r="O391" i="1"/>
  <c r="P300" i="1"/>
  <c r="X304" i="1"/>
  <c r="W304" i="1"/>
  <c r="X327" i="1"/>
  <c r="W327" i="1"/>
  <c r="W329" i="1"/>
  <c r="T330" i="1"/>
  <c r="W336" i="1"/>
  <c r="T382" i="1"/>
  <c r="S382" i="1"/>
  <c r="P371" i="1"/>
  <c r="O371" i="1"/>
  <c r="O373" i="1"/>
  <c r="P373" i="1"/>
  <c r="P334" i="1"/>
  <c r="O334" i="1"/>
  <c r="T384" i="1"/>
  <c r="S384" i="1"/>
  <c r="X273" i="1"/>
  <c r="W273" i="1"/>
  <c r="T317" i="1"/>
  <c r="S317" i="1"/>
  <c r="S337" i="1"/>
  <c r="T344" i="1"/>
  <c r="S344" i="1"/>
  <c r="W360" i="1"/>
  <c r="S377" i="1"/>
  <c r="O381" i="1"/>
  <c r="X385" i="1"/>
  <c r="O443" i="1"/>
  <c r="P443" i="1"/>
  <c r="T350" i="1"/>
  <c r="S350" i="1"/>
  <c r="T356" i="1"/>
  <c r="S356" i="1"/>
  <c r="X364" i="1"/>
  <c r="W364" i="1"/>
  <c r="T372" i="1"/>
  <c r="S372" i="1"/>
  <c r="P408" i="1"/>
  <c r="O408" i="1"/>
  <c r="W376" i="1"/>
  <c r="T422" i="1"/>
  <c r="S422" i="1"/>
  <c r="X386" i="1"/>
  <c r="O382" i="1"/>
  <c r="P385" i="1"/>
  <c r="O385" i="1"/>
  <c r="X316" i="1"/>
  <c r="W316" i="1"/>
  <c r="P336" i="1"/>
  <c r="O336" i="1"/>
  <c r="P397" i="1"/>
  <c r="O397" i="1"/>
  <c r="S415" i="1"/>
  <c r="T415" i="1"/>
  <c r="P264" i="1"/>
  <c r="T284" i="1"/>
  <c r="O293" i="1"/>
  <c r="W309" i="1"/>
  <c r="X328" i="1"/>
  <c r="W328" i="1"/>
  <c r="P348" i="1"/>
  <c r="O348" i="1"/>
  <c r="O351" i="1"/>
  <c r="O384" i="1"/>
  <c r="P386" i="1"/>
  <c r="O386" i="1"/>
  <c r="X389" i="1"/>
  <c r="W389" i="1"/>
  <c r="W395" i="1"/>
  <c r="W400" i="1"/>
  <c r="X401" i="1"/>
  <c r="W401" i="1"/>
  <c r="T417" i="1"/>
  <c r="X424" i="1"/>
  <c r="W424" i="1"/>
  <c r="W440" i="1"/>
  <c r="X440" i="1"/>
  <c r="X340" i="1"/>
  <c r="W340" i="1"/>
  <c r="P377" i="1"/>
  <c r="O377" i="1"/>
  <c r="S413" i="1"/>
  <c r="T413" i="1"/>
  <c r="P428" i="1"/>
  <c r="O428" i="1"/>
  <c r="T371" i="1"/>
  <c r="S371" i="1"/>
  <c r="W375" i="1"/>
  <c r="X375" i="1"/>
  <c r="T385" i="1"/>
  <c r="S385" i="1"/>
  <c r="S405" i="1"/>
  <c r="T407" i="1"/>
  <c r="S407" i="1"/>
  <c r="T450" i="1"/>
  <c r="S450" i="1"/>
  <c r="T393" i="1"/>
  <c r="S393" i="1"/>
  <c r="O395" i="1"/>
  <c r="P395" i="1"/>
  <c r="X409" i="1"/>
  <c r="W412" i="1"/>
  <c r="W428" i="1"/>
  <c r="X428" i="1"/>
  <c r="O416" i="1"/>
  <c r="P374" i="1"/>
  <c r="O374" i="1"/>
  <c r="W392" i="1"/>
  <c r="O419" i="1"/>
  <c r="P419" i="1"/>
  <c r="O464" i="1"/>
  <c r="P464" i="1"/>
  <c r="W407" i="1"/>
  <c r="X407" i="1"/>
  <c r="P459" i="1"/>
  <c r="O459" i="1"/>
  <c r="T444" i="1"/>
  <c r="S444" i="1"/>
  <c r="O463" i="1"/>
  <c r="P463" i="1"/>
  <c r="T435" i="1"/>
  <c r="S435" i="1"/>
  <c r="T441" i="1"/>
  <c r="S441" i="1"/>
  <c r="P455" i="1"/>
  <c r="O455" i="1"/>
  <c r="O429" i="1"/>
  <c r="P429" i="1"/>
  <c r="S432" i="1"/>
  <c r="S434" i="1"/>
  <c r="W441" i="1"/>
  <c r="X441" i="1"/>
  <c r="P452" i="1"/>
  <c r="O452" i="1"/>
  <c r="P469" i="1"/>
  <c r="O469" i="1"/>
  <c r="S429" i="1"/>
  <c r="T439" i="1"/>
  <c r="S439" i="1"/>
  <c r="P453" i="1"/>
  <c r="O453" i="1"/>
  <c r="T447" i="1"/>
  <c r="S451" i="1"/>
  <c r="T451" i="1"/>
  <c r="X465" i="1"/>
  <c r="T468" i="1"/>
  <c r="P481" i="1"/>
  <c r="O481" i="1"/>
  <c r="S430" i="1"/>
  <c r="W439" i="1"/>
  <c r="O441" i="1"/>
  <c r="X454" i="1"/>
  <c r="S455" i="1"/>
  <c r="T459" i="1"/>
  <c r="T469" i="1"/>
  <c r="T411" i="1"/>
  <c r="S416" i="1"/>
  <c r="P427" i="1"/>
  <c r="X429" i="1"/>
  <c r="O431" i="1"/>
  <c r="T433" i="1"/>
  <c r="O437" i="1"/>
  <c r="P437" i="1"/>
  <c r="W444" i="1"/>
  <c r="S445" i="1"/>
  <c r="T445" i="1"/>
  <c r="P447" i="1"/>
  <c r="X455" i="1"/>
  <c r="W455" i="1"/>
  <c r="S471" i="1"/>
  <c r="T471" i="1"/>
  <c r="T479" i="1"/>
  <c r="O484" i="1"/>
  <c r="P484" i="1"/>
  <c r="P493" i="1"/>
  <c r="O493" i="1"/>
  <c r="S480" i="1"/>
  <c r="T480" i="1"/>
  <c r="T462" i="1"/>
  <c r="S462" i="1"/>
  <c r="W473" i="1"/>
  <c r="X477" i="1"/>
  <c r="W477" i="1"/>
  <c r="W446" i="1"/>
  <c r="P454" i="1"/>
  <c r="O454" i="1"/>
  <c r="X456" i="1"/>
  <c r="T457" i="1"/>
  <c r="P488" i="1"/>
  <c r="O488" i="1"/>
  <c r="P489" i="1"/>
  <c r="O489" i="1"/>
  <c r="W442" i="1"/>
  <c r="W461" i="1"/>
  <c r="X485" i="1"/>
  <c r="P497" i="1"/>
  <c r="O497" i="1"/>
  <c r="T497" i="1"/>
  <c r="S497" i="1"/>
  <c r="P473" i="1"/>
  <c r="O473" i="1"/>
  <c r="O478" i="1"/>
  <c r="S484" i="1"/>
  <c r="W487" i="1"/>
  <c r="T492" i="1"/>
  <c r="P485" i="1"/>
  <c r="O485" i="1"/>
  <c r="S467" i="1"/>
  <c r="S473" i="1"/>
  <c r="W480" i="1"/>
  <c r="T481" i="1"/>
  <c r="S481" i="1"/>
  <c r="O486" i="1"/>
  <c r="S489" i="1"/>
  <c r="T493" i="1"/>
  <c r="S493" i="1"/>
  <c r="S494" i="1"/>
  <c r="O495" i="1"/>
  <c r="W497" i="1"/>
  <c r="S498" i="1"/>
  <c r="X493" i="1"/>
  <c r="W493" i="1"/>
  <c r="X489" i="1"/>
  <c r="W489" i="1"/>
  <c r="S486" i="1"/>
  <c r="W494" i="1"/>
  <c r="S500" i="1"/>
  <c r="P2" i="1"/>
  <c r="O2" i="1"/>
  <c r="S2" i="1"/>
  <c r="T2" i="1"/>
  <c r="P4" i="1"/>
  <c r="S4" i="1"/>
  <c r="O5" i="1"/>
  <c r="S5" i="1"/>
  <c r="O6" i="1"/>
  <c r="S6" i="1"/>
  <c r="O9" i="1"/>
  <c r="S9" i="1"/>
  <c r="O7" i="1"/>
  <c r="S7" i="1"/>
  <c r="O8" i="1"/>
  <c r="S8" i="1"/>
  <c r="P10" i="1"/>
  <c r="S10" i="1"/>
  <c r="S3" i="1"/>
  <c r="P3" i="1"/>
  <c r="D9" i="1"/>
  <c r="P8" i="1" l="1"/>
  <c r="O4" i="1"/>
  <c r="O10" i="1"/>
  <c r="T8" i="1"/>
  <c r="T6" i="1"/>
  <c r="T3" i="1"/>
  <c r="S14" i="1"/>
  <c r="T10" i="1"/>
  <c r="T9" i="1"/>
  <c r="P9" i="1"/>
  <c r="P6" i="1"/>
  <c r="T5" i="1"/>
  <c r="P5" i="1"/>
  <c r="T4" i="1"/>
  <c r="T7" i="1"/>
  <c r="P7" i="1"/>
  <c r="O14" i="1"/>
  <c r="O3" i="1"/>
  <c r="A11" i="11"/>
  <c r="N5" i="13"/>
  <c r="F19" i="13" l="1"/>
  <c r="F6" i="13"/>
  <c r="F26" i="13"/>
  <c r="G26" i="13" s="1"/>
  <c r="N4" i="13"/>
  <c r="F4" i="13" s="1"/>
  <c r="N10" i="13" l="1"/>
  <c r="F29" i="13" s="1"/>
  <c r="G29" i="13" s="1"/>
  <c r="A12" i="8"/>
  <c r="A11" i="8"/>
  <c r="A9" i="8"/>
  <c r="A9" i="11"/>
  <c r="N18" i="13"/>
  <c r="N17" i="13"/>
  <c r="N16" i="13"/>
  <c r="N14" i="13"/>
  <c r="N13" i="13"/>
  <c r="N12" i="13"/>
  <c r="N11" i="13"/>
  <c r="N9" i="13"/>
  <c r="N8" i="13"/>
  <c r="N6" i="13"/>
  <c r="G7" i="13" s="1"/>
  <c r="F28" i="13"/>
  <c r="G28" i="13" s="1"/>
  <c r="G4" i="13"/>
  <c r="N3" i="13"/>
  <c r="G15" i="13" l="1"/>
  <c r="F27" i="13"/>
  <c r="G27" i="13" s="1"/>
  <c r="F5" i="13"/>
  <c r="G5" i="13" s="1"/>
  <c r="G30" i="13"/>
  <c r="F20" i="13"/>
  <c r="G20" i="13" s="1"/>
  <c r="F21" i="13"/>
  <c r="G21" i="13" s="1"/>
  <c r="F30" i="13"/>
  <c r="H29" i="13" s="1"/>
  <c r="G32" i="13" s="1"/>
  <c r="F22" i="13"/>
  <c r="G22" i="13" s="1"/>
  <c r="F8" i="13"/>
  <c r="G8" i="13" s="1"/>
  <c r="G6" i="13"/>
  <c r="F12" i="13"/>
  <c r="G12" i="13" s="1"/>
  <c r="F13" i="13"/>
  <c r="G13" i="13" s="1"/>
  <c r="F14" i="13"/>
  <c r="G14" i="13" s="1"/>
  <c r="H15" i="11"/>
  <c r="H17" i="11" s="1"/>
  <c r="H16" i="11"/>
  <c r="A10" i="11"/>
  <c r="H5" i="11"/>
  <c r="A17" i="11" s="1"/>
  <c r="H2" i="1"/>
  <c r="H4" i="1"/>
  <c r="J3" i="16" s="1"/>
  <c r="H9" i="1"/>
  <c r="J8" i="16" s="1"/>
  <c r="H8" i="1"/>
  <c r="J7" i="16" s="1"/>
  <c r="H10" i="1"/>
  <c r="J9" i="16" s="1"/>
  <c r="H14" i="1"/>
  <c r="J13" i="16" s="1"/>
  <c r="H21" i="1"/>
  <c r="J20" i="16" s="1"/>
  <c r="H15" i="1"/>
  <c r="J14" i="16" s="1"/>
  <c r="H18" i="1"/>
  <c r="J17" i="16" s="1"/>
  <c r="H11" i="1"/>
  <c r="J10" i="16" s="1"/>
  <c r="H16" i="1"/>
  <c r="J15" i="16" s="1"/>
  <c r="H20" i="1"/>
  <c r="J19" i="16" s="1"/>
  <c r="H12" i="1"/>
  <c r="J11" i="16" s="1"/>
  <c r="H13" i="1"/>
  <c r="J12" i="16" s="1"/>
  <c r="H22" i="1"/>
  <c r="J21" i="16" s="1"/>
  <c r="H17" i="1"/>
  <c r="J16" i="16" s="1"/>
  <c r="H23" i="1"/>
  <c r="J22" i="16" s="1"/>
  <c r="H24" i="1"/>
  <c r="J23" i="16" s="1"/>
  <c r="H25" i="1"/>
  <c r="J24" i="16" s="1"/>
  <c r="H26" i="1"/>
  <c r="J25" i="16" s="1"/>
  <c r="H27" i="1"/>
  <c r="J26" i="16" s="1"/>
  <c r="H29" i="1"/>
  <c r="J28" i="16" s="1"/>
  <c r="H28" i="1"/>
  <c r="J27" i="16" s="1"/>
  <c r="H30" i="1"/>
  <c r="J29" i="16" s="1"/>
  <c r="H34" i="1"/>
  <c r="J33" i="16" s="1"/>
  <c r="H36" i="1"/>
  <c r="J35" i="16" s="1"/>
  <c r="H44" i="1"/>
  <c r="J43" i="16" s="1"/>
  <c r="H38" i="1"/>
  <c r="J37" i="16" s="1"/>
  <c r="H33" i="1"/>
  <c r="J32" i="16" s="1"/>
  <c r="H43" i="1"/>
  <c r="J42" i="16" s="1"/>
  <c r="H40" i="1"/>
  <c r="J39" i="16" s="1"/>
  <c r="H31" i="1"/>
  <c r="J30" i="16" s="1"/>
  <c r="H45" i="1"/>
  <c r="J44" i="16" s="1"/>
  <c r="H46" i="1"/>
  <c r="J45" i="16" s="1"/>
  <c r="H42" i="1"/>
  <c r="J41" i="16" s="1"/>
  <c r="H47" i="1"/>
  <c r="J46" i="16" s="1"/>
  <c r="H32" i="1"/>
  <c r="J31" i="16" s="1"/>
  <c r="H48" i="1"/>
  <c r="J47" i="16" s="1"/>
  <c r="H49" i="1"/>
  <c r="J48" i="16" s="1"/>
  <c r="H39" i="1"/>
  <c r="J38" i="16" s="1"/>
  <c r="H35" i="1"/>
  <c r="J34" i="16" s="1"/>
  <c r="H37" i="1"/>
  <c r="J36" i="16" s="1"/>
  <c r="H41" i="1"/>
  <c r="J40" i="16" s="1"/>
  <c r="H50" i="1"/>
  <c r="J49" i="16" s="1"/>
  <c r="H51" i="1"/>
  <c r="J51" i="16" s="1"/>
  <c r="H52" i="1"/>
  <c r="J73" i="16" s="1"/>
  <c r="H53" i="1"/>
  <c r="J96" i="16" s="1"/>
  <c r="H54" i="1"/>
  <c r="J52" i="16" s="1"/>
  <c r="H55" i="1"/>
  <c r="J74" i="16" s="1"/>
  <c r="H56" i="1"/>
  <c r="J76" i="16" s="1"/>
  <c r="H57" i="1"/>
  <c r="J53" i="16" s="1"/>
  <c r="H58" i="1"/>
  <c r="J75" i="16" s="1"/>
  <c r="H59" i="1"/>
  <c r="J77" i="16" s="1"/>
  <c r="H60" i="1"/>
  <c r="J65" i="16" s="1"/>
  <c r="H61" i="1"/>
  <c r="J78" i="16" s="1"/>
  <c r="H62" i="1"/>
  <c r="J54" i="16" s="1"/>
  <c r="H63" i="1"/>
  <c r="J79" i="16" s="1"/>
  <c r="H64" i="1"/>
  <c r="J55" i="16" s="1"/>
  <c r="H65" i="1"/>
  <c r="J80" i="16" s="1"/>
  <c r="H66" i="1"/>
  <c r="J66" i="16" s="1"/>
  <c r="H67" i="1"/>
  <c r="J81" i="16" s="1"/>
  <c r="H68" i="1"/>
  <c r="J67" i="16" s="1"/>
  <c r="H69" i="1"/>
  <c r="J82" i="16" s="1"/>
  <c r="H70" i="1"/>
  <c r="J56" i="16" s="1"/>
  <c r="H71" i="1"/>
  <c r="J83" i="16" s="1"/>
  <c r="H72" i="1"/>
  <c r="J57" i="16" s="1"/>
  <c r="H73" i="1"/>
  <c r="J93" i="16" s="1"/>
  <c r="H74" i="1"/>
  <c r="J58" i="16" s="1"/>
  <c r="H75" i="1"/>
  <c r="J84" i="16" s="1"/>
  <c r="H76" i="1"/>
  <c r="J68" i="16" s="1"/>
  <c r="H77" i="1"/>
  <c r="J89" i="16" s="1"/>
  <c r="H78" i="1"/>
  <c r="J59" i="16" s="1"/>
  <c r="H79" i="1"/>
  <c r="J94" i="16" s="1"/>
  <c r="H80" i="1"/>
  <c r="J60" i="16" s="1"/>
  <c r="H81" i="1"/>
  <c r="J61" i="16" s="1"/>
  <c r="H82" i="1"/>
  <c r="J85" i="16" s="1"/>
  <c r="H83" i="1"/>
  <c r="J62" i="16" s="1"/>
  <c r="H84" i="1"/>
  <c r="J86" i="16" s="1"/>
  <c r="H85" i="1"/>
  <c r="J69" i="16" s="1"/>
  <c r="H86" i="1"/>
  <c r="J90" i="16" s="1"/>
  <c r="H87" i="1"/>
  <c r="J63" i="16" s="1"/>
  <c r="H88" i="1"/>
  <c r="J87" i="16" s="1"/>
  <c r="H89" i="1"/>
  <c r="J64" i="16" s="1"/>
  <c r="H90" i="1"/>
  <c r="J70" i="16" s="1"/>
  <c r="H91" i="1"/>
  <c r="J88" i="16" s="1"/>
  <c r="H92" i="1"/>
  <c r="J71" i="16" s="1"/>
  <c r="H93" i="1"/>
  <c r="J91" i="16" s="1"/>
  <c r="H94" i="1"/>
  <c r="J50" i="16" s="1"/>
  <c r="H95" i="1"/>
  <c r="J72" i="16" s="1"/>
  <c r="H97" i="1"/>
  <c r="J95" i="16" s="1"/>
  <c r="H98" i="1"/>
  <c r="J97" i="16" s="1"/>
  <c r="H99" i="1"/>
  <c r="J98" i="16" s="1"/>
  <c r="H100" i="1"/>
  <c r="J99" i="16" s="1"/>
  <c r="H101" i="1"/>
  <c r="J100" i="16" s="1"/>
  <c r="H102" i="1"/>
  <c r="J101" i="16" s="1"/>
  <c r="H103" i="1"/>
  <c r="J102" i="16" s="1"/>
  <c r="H104" i="1"/>
  <c r="J103" i="16" s="1"/>
  <c r="H105" i="1"/>
  <c r="J104" i="16" s="1"/>
  <c r="H106" i="1"/>
  <c r="J105" i="16" s="1"/>
  <c r="H107" i="1"/>
  <c r="J106" i="16" s="1"/>
  <c r="H108" i="1"/>
  <c r="J107" i="16" s="1"/>
  <c r="H109" i="1"/>
  <c r="J108" i="16" s="1"/>
  <c r="H110" i="1"/>
  <c r="J109" i="16" s="1"/>
  <c r="H111" i="1"/>
  <c r="J110" i="16" s="1"/>
  <c r="H112" i="1"/>
  <c r="J111" i="16" s="1"/>
  <c r="H113" i="1"/>
  <c r="J112" i="16" s="1"/>
  <c r="H114" i="1"/>
  <c r="J113" i="16" s="1"/>
  <c r="H115" i="1"/>
  <c r="J114" i="16" s="1"/>
  <c r="H116" i="1"/>
  <c r="J115" i="16" s="1"/>
  <c r="H117" i="1"/>
  <c r="J116" i="16" s="1"/>
  <c r="H118" i="1"/>
  <c r="J117" i="16" s="1"/>
  <c r="H119" i="1"/>
  <c r="J118" i="16" s="1"/>
  <c r="H120" i="1"/>
  <c r="J119" i="16" s="1"/>
  <c r="H121" i="1"/>
  <c r="J120" i="16" s="1"/>
  <c r="J121" i="16"/>
  <c r="H123" i="1"/>
  <c r="J122" i="16" s="1"/>
  <c r="H124" i="1"/>
  <c r="J123" i="16" s="1"/>
  <c r="H125" i="1"/>
  <c r="J126" i="16" s="1"/>
  <c r="H126" i="1"/>
  <c r="J143" i="16" s="1"/>
  <c r="H127" i="1"/>
  <c r="J127" i="16" s="1"/>
  <c r="H128" i="1"/>
  <c r="J144" i="16" s="1"/>
  <c r="H129" i="1"/>
  <c r="J128" i="16" s="1"/>
  <c r="H130" i="1"/>
  <c r="J124" i="16" s="1"/>
  <c r="H131" i="1"/>
  <c r="J129" i="16" s="1"/>
  <c r="H132" i="1"/>
  <c r="J145" i="16" s="1"/>
  <c r="H133" i="1"/>
  <c r="J146" i="16" s="1"/>
  <c r="H134" i="1"/>
  <c r="J130" i="16" s="1"/>
  <c r="H135" i="1"/>
  <c r="J147" i="16" s="1"/>
  <c r="H136" i="1"/>
  <c r="J131" i="16" s="1"/>
  <c r="H137" i="1"/>
  <c r="J148" i="16" s="1"/>
  <c r="H138" i="1"/>
  <c r="J149" i="16" s="1"/>
  <c r="H139" i="1"/>
  <c r="J132" i="16" s="1"/>
  <c r="H140" i="1"/>
  <c r="J133" i="16" s="1"/>
  <c r="H141" i="1"/>
  <c r="J134" i="16" s="1"/>
  <c r="H142" i="1"/>
  <c r="J135" i="16" s="1"/>
  <c r="H143" i="1"/>
  <c r="J136" i="16" s="1"/>
  <c r="H144" i="1"/>
  <c r="J137" i="16" s="1"/>
  <c r="H145" i="1"/>
  <c r="J138" i="16" s="1"/>
  <c r="H146" i="1"/>
  <c r="J139" i="16" s="1"/>
  <c r="H147" i="1"/>
  <c r="J140" i="16" s="1"/>
  <c r="H149" i="1"/>
  <c r="J151" i="16" s="1"/>
  <c r="H150" i="1"/>
  <c r="J141" i="16" s="1"/>
  <c r="H151" i="1"/>
  <c r="J152" i="16" s="1"/>
  <c r="H152" i="1"/>
  <c r="J142" i="16" s="1"/>
  <c r="H153" i="1"/>
  <c r="J125" i="16" s="1"/>
  <c r="H154" i="1"/>
  <c r="J153" i="16" s="1"/>
  <c r="H155" i="1"/>
  <c r="J154" i="16" s="1"/>
  <c r="H156" i="1"/>
  <c r="J155" i="16" s="1"/>
  <c r="H157" i="1"/>
  <c r="J156" i="16" s="1"/>
  <c r="H158" i="1"/>
  <c r="J157" i="16" s="1"/>
  <c r="H159" i="1"/>
  <c r="J158" i="16" s="1"/>
  <c r="H160" i="1"/>
  <c r="J159" i="16" s="1"/>
  <c r="H161" i="1"/>
  <c r="J160" i="16" s="1"/>
  <c r="H162" i="1"/>
  <c r="J161" i="16" s="1"/>
  <c r="H163" i="1"/>
  <c r="J162" i="16" s="1"/>
  <c r="H164" i="1"/>
  <c r="J163" i="16" s="1"/>
  <c r="H165" i="1"/>
  <c r="J164" i="16" s="1"/>
  <c r="H166" i="1"/>
  <c r="J165" i="16" s="1"/>
  <c r="H167" i="1"/>
  <c r="J166" i="16" s="1"/>
  <c r="H168" i="1"/>
  <c r="J167" i="16" s="1"/>
  <c r="H169" i="1"/>
  <c r="J168" i="16" s="1"/>
  <c r="H170" i="1"/>
  <c r="J169" i="16" s="1"/>
  <c r="H171" i="1"/>
  <c r="J170" i="16" s="1"/>
  <c r="H172" i="1"/>
  <c r="J171" i="16" s="1"/>
  <c r="H173" i="1"/>
  <c r="J172" i="16" s="1"/>
  <c r="H174" i="1"/>
  <c r="J173" i="16" s="1"/>
  <c r="H175" i="1"/>
  <c r="J174" i="16" s="1"/>
  <c r="H176" i="1"/>
  <c r="J175" i="16" s="1"/>
  <c r="H177" i="1"/>
  <c r="J176" i="16" s="1"/>
  <c r="H178" i="1"/>
  <c r="J177" i="16" s="1"/>
  <c r="H179" i="1"/>
  <c r="J178" i="16" s="1"/>
  <c r="H180" i="1"/>
  <c r="J179" i="16" s="1"/>
  <c r="H181" i="1"/>
  <c r="J180" i="16" s="1"/>
  <c r="H182" i="1"/>
  <c r="J181" i="16" s="1"/>
  <c r="H183" i="1"/>
  <c r="J182" i="16" s="1"/>
  <c r="H184" i="1"/>
  <c r="J183" i="16" s="1"/>
  <c r="H185" i="1"/>
  <c r="J184" i="16" s="1"/>
  <c r="H186" i="1"/>
  <c r="J185" i="16" s="1"/>
  <c r="H187" i="1"/>
  <c r="J186" i="16" s="1"/>
  <c r="H188" i="1"/>
  <c r="J187" i="16" s="1"/>
  <c r="H189" i="1"/>
  <c r="J188" i="16" s="1"/>
  <c r="H190" i="1"/>
  <c r="J189" i="16" s="1"/>
  <c r="H191" i="1"/>
  <c r="J190" i="16" s="1"/>
  <c r="H192" i="1"/>
  <c r="J191" i="16" s="1"/>
  <c r="H193" i="1"/>
  <c r="J192" i="16" s="1"/>
  <c r="H194" i="1"/>
  <c r="J193" i="16" s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3" i="1"/>
  <c r="J2" i="16" s="1"/>
  <c r="B2" i="9"/>
  <c r="C2" i="9"/>
  <c r="D2" i="9"/>
  <c r="E2" i="9"/>
  <c r="F2" i="9"/>
  <c r="G2" i="9"/>
  <c r="H2" i="9"/>
  <c r="B3" i="9"/>
  <c r="C3" i="9"/>
  <c r="D3" i="9"/>
  <c r="E3" i="9"/>
  <c r="F3" i="9"/>
  <c r="G3" i="9"/>
  <c r="H3" i="9"/>
  <c r="B5" i="9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B8" i="9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D10" i="9"/>
  <c r="E10" i="9"/>
  <c r="F10" i="9"/>
  <c r="G10" i="9"/>
  <c r="H10" i="9"/>
  <c r="B11" i="9"/>
  <c r="C11" i="9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C13" i="9"/>
  <c r="D13" i="9"/>
  <c r="E13" i="9"/>
  <c r="F13" i="9"/>
  <c r="G13" i="9"/>
  <c r="H13" i="9"/>
  <c r="B14" i="9"/>
  <c r="C14" i="9"/>
  <c r="D14" i="9"/>
  <c r="E14" i="9"/>
  <c r="F14" i="9"/>
  <c r="G14" i="9"/>
  <c r="H14" i="9"/>
  <c r="B15" i="9"/>
  <c r="C15" i="9"/>
  <c r="D15" i="9"/>
  <c r="E15" i="9"/>
  <c r="F15" i="9"/>
  <c r="G15" i="9"/>
  <c r="H15" i="9"/>
  <c r="B16" i="9"/>
  <c r="C16" i="9"/>
  <c r="D16" i="9"/>
  <c r="E16" i="9"/>
  <c r="F16" i="9"/>
  <c r="G16" i="9"/>
  <c r="H16" i="9"/>
  <c r="B17" i="9"/>
  <c r="C17" i="9"/>
  <c r="D17" i="9"/>
  <c r="E17" i="9"/>
  <c r="F17" i="9"/>
  <c r="G17" i="9"/>
  <c r="H17" i="9"/>
  <c r="B18" i="9"/>
  <c r="C18" i="9"/>
  <c r="D18" i="9"/>
  <c r="E18" i="9"/>
  <c r="F18" i="9"/>
  <c r="G18" i="9"/>
  <c r="H18" i="9"/>
  <c r="B19" i="9"/>
  <c r="C19" i="9"/>
  <c r="D19" i="9"/>
  <c r="E19" i="9"/>
  <c r="F19" i="9"/>
  <c r="G19" i="9"/>
  <c r="H19" i="9"/>
  <c r="B20" i="9"/>
  <c r="C20" i="9"/>
  <c r="D20" i="9"/>
  <c r="E20" i="9"/>
  <c r="F20" i="9"/>
  <c r="G20" i="9"/>
  <c r="H20" i="9"/>
  <c r="B21" i="9"/>
  <c r="C21" i="9"/>
  <c r="D21" i="9"/>
  <c r="E21" i="9"/>
  <c r="F21" i="9"/>
  <c r="G21" i="9"/>
  <c r="H21" i="9"/>
  <c r="B22" i="9"/>
  <c r="C22" i="9"/>
  <c r="D22" i="9"/>
  <c r="E22" i="9"/>
  <c r="F22" i="9"/>
  <c r="G22" i="9"/>
  <c r="H22" i="9"/>
  <c r="B23" i="9"/>
  <c r="C23" i="9"/>
  <c r="D23" i="9"/>
  <c r="E23" i="9"/>
  <c r="F23" i="9"/>
  <c r="G23" i="9"/>
  <c r="H23" i="9"/>
  <c r="B24" i="9"/>
  <c r="C24" i="9"/>
  <c r="D24" i="9"/>
  <c r="E24" i="9"/>
  <c r="F24" i="9"/>
  <c r="G24" i="9"/>
  <c r="H24" i="9"/>
  <c r="B25" i="9"/>
  <c r="C25" i="9"/>
  <c r="D25" i="9"/>
  <c r="E25" i="9"/>
  <c r="F25" i="9"/>
  <c r="G25" i="9"/>
  <c r="H25" i="9"/>
  <c r="B26" i="9"/>
  <c r="C26" i="9"/>
  <c r="D26" i="9"/>
  <c r="E26" i="9"/>
  <c r="F26" i="9"/>
  <c r="G26" i="9"/>
  <c r="H26" i="9"/>
  <c r="B27" i="9"/>
  <c r="C27" i="9"/>
  <c r="D27" i="9"/>
  <c r="E27" i="9"/>
  <c r="F27" i="9"/>
  <c r="G27" i="9"/>
  <c r="H27" i="9"/>
  <c r="B28" i="9"/>
  <c r="C28" i="9"/>
  <c r="D28" i="9"/>
  <c r="E28" i="9"/>
  <c r="F28" i="9"/>
  <c r="G28" i="9"/>
  <c r="H28" i="9"/>
  <c r="B29" i="9"/>
  <c r="C29" i="9"/>
  <c r="D29" i="9"/>
  <c r="E29" i="9"/>
  <c r="F29" i="9"/>
  <c r="G29" i="9"/>
  <c r="H29" i="9"/>
  <c r="B30" i="9"/>
  <c r="C30" i="9"/>
  <c r="D30" i="9"/>
  <c r="E30" i="9"/>
  <c r="F30" i="9"/>
  <c r="G30" i="9"/>
  <c r="H30" i="9"/>
  <c r="B31" i="9"/>
  <c r="C31" i="9"/>
  <c r="D31" i="9"/>
  <c r="E31" i="9"/>
  <c r="F31" i="9"/>
  <c r="G31" i="9"/>
  <c r="H31" i="9"/>
  <c r="B32" i="9"/>
  <c r="C32" i="9"/>
  <c r="D32" i="9"/>
  <c r="E32" i="9"/>
  <c r="F32" i="9"/>
  <c r="G32" i="9"/>
  <c r="H32" i="9"/>
  <c r="B33" i="9"/>
  <c r="C33" i="9"/>
  <c r="D33" i="9"/>
  <c r="E33" i="9"/>
  <c r="F33" i="9"/>
  <c r="G33" i="9"/>
  <c r="H33" i="9"/>
  <c r="B34" i="9"/>
  <c r="C34" i="9"/>
  <c r="D34" i="9"/>
  <c r="E34" i="9"/>
  <c r="F34" i="9"/>
  <c r="G34" i="9"/>
  <c r="H34" i="9"/>
  <c r="B35" i="9"/>
  <c r="C35" i="9"/>
  <c r="D35" i="9"/>
  <c r="E35" i="9"/>
  <c r="F35" i="9"/>
  <c r="G35" i="9"/>
  <c r="H35" i="9"/>
  <c r="B36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C39" i="9"/>
  <c r="D39" i="9"/>
  <c r="E39" i="9"/>
  <c r="F39" i="9"/>
  <c r="G39" i="9"/>
  <c r="H39" i="9"/>
  <c r="B40" i="9"/>
  <c r="C40" i="9"/>
  <c r="D40" i="9"/>
  <c r="E40" i="9"/>
  <c r="F40" i="9"/>
  <c r="G40" i="9"/>
  <c r="H40" i="9"/>
  <c r="B41" i="9"/>
  <c r="C41" i="9"/>
  <c r="D41" i="9"/>
  <c r="E41" i="9"/>
  <c r="F41" i="9"/>
  <c r="G41" i="9"/>
  <c r="H41" i="9"/>
  <c r="B42" i="9"/>
  <c r="C42" i="9"/>
  <c r="D42" i="9"/>
  <c r="E42" i="9"/>
  <c r="F42" i="9"/>
  <c r="G42" i="9"/>
  <c r="H42" i="9"/>
  <c r="B43" i="9"/>
  <c r="C43" i="9"/>
  <c r="D43" i="9"/>
  <c r="E43" i="9"/>
  <c r="F43" i="9"/>
  <c r="G43" i="9"/>
  <c r="H43" i="9"/>
  <c r="B44" i="9"/>
  <c r="C44" i="9"/>
  <c r="D44" i="9"/>
  <c r="E44" i="9"/>
  <c r="F44" i="9"/>
  <c r="G44" i="9"/>
  <c r="H44" i="9"/>
  <c r="B45" i="9"/>
  <c r="C45" i="9"/>
  <c r="D45" i="9"/>
  <c r="E45" i="9"/>
  <c r="F45" i="9"/>
  <c r="G45" i="9"/>
  <c r="H45" i="9"/>
  <c r="B46" i="9"/>
  <c r="C46" i="9"/>
  <c r="D46" i="9"/>
  <c r="E46" i="9"/>
  <c r="F46" i="9"/>
  <c r="G46" i="9"/>
  <c r="H46" i="9"/>
  <c r="B47" i="9"/>
  <c r="C47" i="9"/>
  <c r="D47" i="9"/>
  <c r="E47" i="9"/>
  <c r="F47" i="9"/>
  <c r="G47" i="9"/>
  <c r="H47" i="9"/>
  <c r="B48" i="9"/>
  <c r="C48" i="9"/>
  <c r="D48" i="9"/>
  <c r="E48" i="9"/>
  <c r="F48" i="9"/>
  <c r="G48" i="9"/>
  <c r="H48" i="9"/>
  <c r="B49" i="9"/>
  <c r="C49" i="9"/>
  <c r="D49" i="9"/>
  <c r="E49" i="9"/>
  <c r="F49" i="9"/>
  <c r="G49" i="9"/>
  <c r="H49" i="9"/>
  <c r="B50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55" i="9"/>
  <c r="C55" i="9"/>
  <c r="D55" i="9"/>
  <c r="E55" i="9"/>
  <c r="F55" i="9"/>
  <c r="G55" i="9"/>
  <c r="H55" i="9"/>
  <c r="H4" i="9"/>
  <c r="G4" i="9"/>
  <c r="F4" i="9"/>
  <c r="E4" i="9"/>
  <c r="D4" i="9"/>
  <c r="C4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4" i="9"/>
  <c r="F2" i="1"/>
  <c r="H16" i="8"/>
  <c r="H5" i="8"/>
  <c r="A10" i="8"/>
  <c r="D10" i="1"/>
  <c r="D14" i="1"/>
  <c r="D21" i="1"/>
  <c r="C19" i="1"/>
  <c r="D19" i="1" s="1"/>
  <c r="D15" i="1"/>
  <c r="D18" i="1"/>
  <c r="D11" i="1"/>
  <c r="D16" i="1"/>
  <c r="D20" i="1"/>
  <c r="D12" i="1"/>
  <c r="D13" i="1"/>
  <c r="D22" i="1"/>
  <c r="D17" i="1"/>
  <c r="D23" i="1"/>
  <c r="D24" i="1"/>
  <c r="D25" i="1"/>
  <c r="D26" i="1"/>
  <c r="D27" i="1"/>
  <c r="D29" i="1"/>
  <c r="D28" i="1"/>
  <c r="D30" i="1"/>
  <c r="D34" i="1"/>
  <c r="D36" i="1"/>
  <c r="D44" i="1"/>
  <c r="D38" i="1"/>
  <c r="D33" i="1"/>
  <c r="C43" i="1"/>
  <c r="D43" i="1" s="1"/>
  <c r="D40" i="1"/>
  <c r="D31" i="1"/>
  <c r="D45" i="1"/>
  <c r="D46" i="1"/>
  <c r="D42" i="1"/>
  <c r="D47" i="1"/>
  <c r="D32" i="1"/>
  <c r="D48" i="1"/>
  <c r="D49" i="1"/>
  <c r="C39" i="1"/>
  <c r="D39" i="1" s="1"/>
  <c r="D35" i="1"/>
  <c r="D37" i="1"/>
  <c r="D41" i="1"/>
  <c r="D50" i="1"/>
  <c r="C51" i="1"/>
  <c r="D51" i="1" s="1"/>
  <c r="D52" i="1"/>
  <c r="C53" i="1"/>
  <c r="D53" i="1" s="1"/>
  <c r="C54" i="1"/>
  <c r="D54" i="1" s="1"/>
  <c r="D55" i="1"/>
  <c r="D56" i="1"/>
  <c r="C57" i="1"/>
  <c r="D57" i="1" s="1"/>
  <c r="D58" i="1"/>
  <c r="D59" i="1"/>
  <c r="D60" i="1"/>
  <c r="C61" i="1"/>
  <c r="D61" i="1" s="1"/>
  <c r="D62" i="1"/>
  <c r="D63" i="1"/>
  <c r="D64" i="1"/>
  <c r="D65" i="1"/>
  <c r="D66" i="1"/>
  <c r="D67" i="1"/>
  <c r="D68" i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D94" i="1"/>
  <c r="C95" i="1"/>
  <c r="D95" i="1" s="1"/>
  <c r="C96" i="1"/>
  <c r="D96" i="1" s="1"/>
  <c r="C97" i="1"/>
  <c r="D97" i="1" s="1"/>
  <c r="D98" i="1"/>
  <c r="C99" i="1"/>
  <c r="D99" i="1" s="1"/>
  <c r="D100" i="1"/>
  <c r="D101" i="1"/>
  <c r="D102" i="1"/>
  <c r="C103" i="1"/>
  <c r="D103" i="1" s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C124" i="1"/>
  <c r="D124" i="1" s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F15" i="1"/>
  <c r="W5" i="1"/>
  <c r="AH5" i="1"/>
  <c r="AI5" i="1" s="1"/>
  <c r="W6" i="1"/>
  <c r="AH6" i="1"/>
  <c r="AI6" i="1" s="1"/>
  <c r="W9" i="1"/>
  <c r="AH9" i="1"/>
  <c r="AI9" i="1" s="1"/>
  <c r="W7" i="1"/>
  <c r="AH7" i="1"/>
  <c r="AI7" i="1" s="1"/>
  <c r="W8" i="1"/>
  <c r="AH8" i="1"/>
  <c r="AI8" i="1" s="1"/>
  <c r="W10" i="1"/>
  <c r="AH10" i="1"/>
  <c r="AI10" i="1" s="1"/>
  <c r="X14" i="1"/>
  <c r="AH2" i="1"/>
  <c r="AI2" i="1" s="1"/>
  <c r="AH4" i="1"/>
  <c r="AI4" i="1" s="1"/>
  <c r="X2" i="1"/>
  <c r="W4" i="1"/>
  <c r="F5" i="1"/>
  <c r="AH3" i="1"/>
  <c r="AI3" i="1" s="1"/>
  <c r="X3" i="1"/>
  <c r="C10" i="5"/>
  <c r="M10" i="5"/>
  <c r="M9" i="5"/>
  <c r="M8" i="5"/>
  <c r="D8" i="5"/>
  <c r="C7" i="5"/>
  <c r="D6" i="5"/>
  <c r="F6" i="5"/>
  <c r="M6" i="5"/>
  <c r="H5" i="5"/>
  <c r="M5" i="5"/>
  <c r="D5" i="5"/>
  <c r="C5" i="5"/>
  <c r="G4" i="5"/>
  <c r="H4" i="5"/>
  <c r="F3" i="5"/>
  <c r="F9" i="5" s="1"/>
  <c r="G3" i="5"/>
  <c r="G7" i="5" s="1"/>
  <c r="H3" i="5"/>
  <c r="H6" i="5" s="1"/>
  <c r="I3" i="5"/>
  <c r="I13" i="5" s="1"/>
  <c r="J3" i="5"/>
  <c r="J5" i="5" s="1"/>
  <c r="K3" i="5"/>
  <c r="K6" i="5" s="1"/>
  <c r="L3" i="5"/>
  <c r="L8" i="5" s="1"/>
  <c r="M3" i="5"/>
  <c r="M13" i="5" s="1"/>
  <c r="D3" i="5"/>
  <c r="D13" i="5" s="1"/>
  <c r="E3" i="5"/>
  <c r="E9" i="5" s="1"/>
  <c r="C3" i="5"/>
  <c r="C9" i="5" s="1"/>
  <c r="O13" i="5"/>
  <c r="O12" i="5"/>
  <c r="O11" i="5"/>
  <c r="O7" i="5"/>
  <c r="O6" i="5"/>
  <c r="F11" i="1"/>
  <c r="F16" i="1"/>
  <c r="F20" i="1"/>
  <c r="F12" i="1"/>
  <c r="F13" i="1"/>
  <c r="F22" i="1"/>
  <c r="F17" i="1"/>
  <c r="F23" i="1"/>
  <c r="F24" i="1"/>
  <c r="F25" i="1"/>
  <c r="F26" i="1"/>
  <c r="F27" i="1"/>
  <c r="F29" i="1"/>
  <c r="F28" i="1"/>
  <c r="F30" i="1"/>
  <c r="F34" i="1"/>
  <c r="F36" i="1"/>
  <c r="F44" i="1"/>
  <c r="F38" i="1"/>
  <c r="F33" i="1"/>
  <c r="F43" i="1"/>
  <c r="F40" i="1"/>
  <c r="F31" i="1"/>
  <c r="F45" i="1"/>
  <c r="F46" i="1"/>
  <c r="F42" i="1"/>
  <c r="F47" i="1"/>
  <c r="F32" i="1"/>
  <c r="F48" i="1"/>
  <c r="F49" i="1"/>
  <c r="F39" i="1"/>
  <c r="F35" i="1"/>
  <c r="F37" i="1"/>
  <c r="F41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4" i="1"/>
  <c r="F6" i="1"/>
  <c r="F9" i="1"/>
  <c r="F7" i="1"/>
  <c r="F8" i="1"/>
  <c r="F10" i="1"/>
  <c r="F14" i="1"/>
  <c r="F21" i="1"/>
  <c r="F19" i="1"/>
  <c r="F18" i="1"/>
  <c r="F3" i="1"/>
  <c r="M494" i="1" l="1"/>
  <c r="U494" i="1"/>
  <c r="Q494" i="1"/>
  <c r="Y494" i="1"/>
  <c r="AJ494" i="1"/>
  <c r="AJ482" i="1"/>
  <c r="U482" i="1"/>
  <c r="M482" i="1"/>
  <c r="Q482" i="1"/>
  <c r="Y482" i="1"/>
  <c r="M470" i="1"/>
  <c r="Q470" i="1"/>
  <c r="Y470" i="1"/>
  <c r="U470" i="1"/>
  <c r="AJ470" i="1"/>
  <c r="AJ458" i="1"/>
  <c r="Q458" i="1"/>
  <c r="U458" i="1"/>
  <c r="Y458" i="1"/>
  <c r="M458" i="1"/>
  <c r="AJ446" i="1"/>
  <c r="Q446" i="1"/>
  <c r="U446" i="1"/>
  <c r="Y446" i="1"/>
  <c r="M446" i="1"/>
  <c r="AJ434" i="1"/>
  <c r="Q434" i="1"/>
  <c r="U434" i="1"/>
  <c r="Y434" i="1"/>
  <c r="M434" i="1"/>
  <c r="Q422" i="1"/>
  <c r="M422" i="1"/>
  <c r="AJ422" i="1"/>
  <c r="Y422" i="1"/>
  <c r="U422" i="1"/>
  <c r="U410" i="1"/>
  <c r="AJ410" i="1"/>
  <c r="Y410" i="1"/>
  <c r="Q410" i="1"/>
  <c r="M410" i="1"/>
  <c r="Q398" i="1"/>
  <c r="Y398" i="1"/>
  <c r="AJ398" i="1"/>
  <c r="U398" i="1"/>
  <c r="M398" i="1"/>
  <c r="AJ386" i="1"/>
  <c r="U386" i="1"/>
  <c r="M386" i="1"/>
  <c r="Y386" i="1"/>
  <c r="Q386" i="1"/>
  <c r="AJ374" i="1"/>
  <c r="M374" i="1"/>
  <c r="U374" i="1"/>
  <c r="Y374" i="1"/>
  <c r="Q374" i="1"/>
  <c r="AJ362" i="1"/>
  <c r="U362" i="1"/>
  <c r="Q362" i="1"/>
  <c r="Y362" i="1"/>
  <c r="M362" i="1"/>
  <c r="Q350" i="1"/>
  <c r="AJ350" i="1"/>
  <c r="M350" i="1"/>
  <c r="Y350" i="1"/>
  <c r="U350" i="1"/>
  <c r="AJ338" i="1"/>
  <c r="Q338" i="1"/>
  <c r="M338" i="1"/>
  <c r="Y338" i="1"/>
  <c r="U338" i="1"/>
  <c r="AJ326" i="1"/>
  <c r="Q326" i="1"/>
  <c r="U326" i="1"/>
  <c r="M326" i="1"/>
  <c r="Y326" i="1"/>
  <c r="Q314" i="1"/>
  <c r="AJ314" i="1"/>
  <c r="Y314" i="1"/>
  <c r="U314" i="1"/>
  <c r="M314" i="1"/>
  <c r="U302" i="1"/>
  <c r="AJ302" i="1"/>
  <c r="Y302" i="1"/>
  <c r="M302" i="1"/>
  <c r="Q302" i="1"/>
  <c r="AJ290" i="1"/>
  <c r="Y290" i="1"/>
  <c r="Q290" i="1"/>
  <c r="U290" i="1"/>
  <c r="M290" i="1"/>
  <c r="U278" i="1"/>
  <c r="AJ278" i="1"/>
  <c r="Y278" i="1"/>
  <c r="M278" i="1"/>
  <c r="Q278" i="1"/>
  <c r="Y266" i="1"/>
  <c r="AJ266" i="1"/>
  <c r="M266" i="1"/>
  <c r="U266" i="1"/>
  <c r="Q266" i="1"/>
  <c r="AJ254" i="1"/>
  <c r="Y254" i="1"/>
  <c r="U254" i="1"/>
  <c r="Q254" i="1"/>
  <c r="M254" i="1"/>
  <c r="Q242" i="1"/>
  <c r="AJ242" i="1"/>
  <c r="Y242" i="1"/>
  <c r="M242" i="1"/>
  <c r="U242" i="1"/>
  <c r="U230" i="1"/>
  <c r="AJ230" i="1"/>
  <c r="Q230" i="1"/>
  <c r="M230" i="1"/>
  <c r="Y230" i="1"/>
  <c r="AJ218" i="1"/>
  <c r="U218" i="1"/>
  <c r="M218" i="1"/>
  <c r="Y218" i="1"/>
  <c r="Q218" i="1"/>
  <c r="Y206" i="1"/>
  <c r="U206" i="1"/>
  <c r="AJ206" i="1"/>
  <c r="M206" i="1"/>
  <c r="Q206" i="1"/>
  <c r="Y194" i="1"/>
  <c r="AA193" i="16" s="1"/>
  <c r="U194" i="1"/>
  <c r="W193" i="16" s="1"/>
  <c r="Q194" i="1"/>
  <c r="S193" i="16" s="1"/>
  <c r="AJ194" i="1"/>
  <c r="M194" i="1"/>
  <c r="O193" i="16" s="1"/>
  <c r="U182" i="1"/>
  <c r="W181" i="16" s="1"/>
  <c r="AJ182" i="1"/>
  <c r="M182" i="1"/>
  <c r="O181" i="16" s="1"/>
  <c r="Y182" i="1"/>
  <c r="AA181" i="16" s="1"/>
  <c r="Q182" i="1"/>
  <c r="S181" i="16" s="1"/>
  <c r="Q170" i="1"/>
  <c r="S169" i="16" s="1"/>
  <c r="AJ170" i="1"/>
  <c r="U170" i="1"/>
  <c r="W169" i="16" s="1"/>
  <c r="M170" i="1"/>
  <c r="O169" i="16" s="1"/>
  <c r="Y170" i="1"/>
  <c r="AA169" i="16" s="1"/>
  <c r="AJ158" i="1"/>
  <c r="Y158" i="1"/>
  <c r="AA157" i="16" s="1"/>
  <c r="M158" i="1"/>
  <c r="O157" i="16" s="1"/>
  <c r="Q158" i="1"/>
  <c r="S157" i="16" s="1"/>
  <c r="U158" i="1"/>
  <c r="W157" i="16" s="1"/>
  <c r="AJ146" i="1"/>
  <c r="U146" i="1"/>
  <c r="W139" i="16" s="1"/>
  <c r="Q146" i="1"/>
  <c r="S139" i="16" s="1"/>
  <c r="M146" i="1"/>
  <c r="O139" i="16" s="1"/>
  <c r="Y146" i="1"/>
  <c r="AA139" i="16" s="1"/>
  <c r="Q134" i="1"/>
  <c r="S130" i="16" s="1"/>
  <c r="Y134" i="1"/>
  <c r="AA130" i="16" s="1"/>
  <c r="AJ134" i="1"/>
  <c r="U134" i="1"/>
  <c r="W130" i="16" s="1"/>
  <c r="M134" i="1"/>
  <c r="O130" i="16" s="1"/>
  <c r="Q122" i="1"/>
  <c r="S121" i="16" s="1"/>
  <c r="U122" i="1"/>
  <c r="W121" i="16" s="1"/>
  <c r="AJ122" i="1"/>
  <c r="Y122" i="1"/>
  <c r="AA121" i="16" s="1"/>
  <c r="M122" i="1"/>
  <c r="O121" i="16" s="1"/>
  <c r="Y110" i="1"/>
  <c r="AA109" i="16" s="1"/>
  <c r="Q110" i="1"/>
  <c r="S109" i="16" s="1"/>
  <c r="M110" i="1"/>
  <c r="O109" i="16" s="1"/>
  <c r="U110" i="1"/>
  <c r="W109" i="16" s="1"/>
  <c r="AJ110" i="1"/>
  <c r="Y98" i="1"/>
  <c r="AA97" i="16" s="1"/>
  <c r="AJ98" i="1"/>
  <c r="M98" i="1"/>
  <c r="O97" i="16" s="1"/>
  <c r="Q98" i="1"/>
  <c r="S97" i="16" s="1"/>
  <c r="U98" i="1"/>
  <c r="W97" i="16" s="1"/>
  <c r="Q86" i="1"/>
  <c r="S90" i="16" s="1"/>
  <c r="Y86" i="1"/>
  <c r="AA90" i="16" s="1"/>
  <c r="U86" i="1"/>
  <c r="W90" i="16" s="1"/>
  <c r="M86" i="1"/>
  <c r="O90" i="16" s="1"/>
  <c r="AJ86" i="1"/>
  <c r="U74" i="1"/>
  <c r="W58" i="16" s="1"/>
  <c r="AJ74" i="1"/>
  <c r="Q74" i="1"/>
  <c r="S58" i="16" s="1"/>
  <c r="Y74" i="1"/>
  <c r="AA58" i="16" s="1"/>
  <c r="M74" i="1"/>
  <c r="O58" i="16" s="1"/>
  <c r="Q62" i="1"/>
  <c r="S54" i="16" s="1"/>
  <c r="AJ62" i="1"/>
  <c r="U62" i="1"/>
  <c r="W54" i="16" s="1"/>
  <c r="Y62" i="1"/>
  <c r="AA54" i="16" s="1"/>
  <c r="M62" i="1"/>
  <c r="O54" i="16" s="1"/>
  <c r="Y50" i="1"/>
  <c r="AA49" i="16" s="1"/>
  <c r="U50" i="1"/>
  <c r="W49" i="16" s="1"/>
  <c r="AJ50" i="1"/>
  <c r="Q50" i="1"/>
  <c r="S49" i="16" s="1"/>
  <c r="M50" i="1"/>
  <c r="O49" i="16" s="1"/>
  <c r="Q31" i="1"/>
  <c r="S30" i="16" s="1"/>
  <c r="AJ31" i="1"/>
  <c r="U31" i="1"/>
  <c r="W30" i="16" s="1"/>
  <c r="Y31" i="1"/>
  <c r="AA30" i="16" s="1"/>
  <c r="M31" i="1"/>
  <c r="O30" i="16" s="1"/>
  <c r="Q26" i="1"/>
  <c r="S25" i="16" s="1"/>
  <c r="AJ26" i="1"/>
  <c r="U26" i="1"/>
  <c r="W25" i="16" s="1"/>
  <c r="Y26" i="1"/>
  <c r="AA25" i="16" s="1"/>
  <c r="M26" i="1"/>
  <c r="O25" i="16" s="1"/>
  <c r="AJ15" i="1"/>
  <c r="Q15" i="1"/>
  <c r="S14" i="16" s="1"/>
  <c r="U15" i="1"/>
  <c r="W14" i="16" s="1"/>
  <c r="Y15" i="1"/>
  <c r="AA14" i="16" s="1"/>
  <c r="M15" i="1"/>
  <c r="O14" i="16" s="1"/>
  <c r="M469" i="1"/>
  <c r="AJ469" i="1"/>
  <c r="Y469" i="1"/>
  <c r="U469" i="1"/>
  <c r="Q469" i="1"/>
  <c r="Q289" i="1"/>
  <c r="AJ289" i="1"/>
  <c r="M289" i="1"/>
  <c r="U289" i="1"/>
  <c r="Y289" i="1"/>
  <c r="AJ193" i="1"/>
  <c r="Y193" i="1"/>
  <c r="AA192" i="16" s="1"/>
  <c r="Q193" i="1"/>
  <c r="S192" i="16" s="1"/>
  <c r="M193" i="1"/>
  <c r="O192" i="16" s="1"/>
  <c r="U193" i="1"/>
  <c r="W192" i="16" s="1"/>
  <c r="U157" i="1"/>
  <c r="W156" i="16" s="1"/>
  <c r="Q157" i="1"/>
  <c r="S156" i="16" s="1"/>
  <c r="M157" i="1"/>
  <c r="O156" i="16" s="1"/>
  <c r="AJ157" i="1"/>
  <c r="Y157" i="1"/>
  <c r="AA156" i="16" s="1"/>
  <c r="Y145" i="1"/>
  <c r="AA138" i="16" s="1"/>
  <c r="U145" i="1"/>
  <c r="W138" i="16" s="1"/>
  <c r="Q145" i="1"/>
  <c r="S138" i="16" s="1"/>
  <c r="AJ145" i="1"/>
  <c r="M145" i="1"/>
  <c r="O138" i="16" s="1"/>
  <c r="U133" i="1"/>
  <c r="W146" i="16" s="1"/>
  <c r="M133" i="1"/>
  <c r="O146" i="16" s="1"/>
  <c r="Y133" i="1"/>
  <c r="AA146" i="16" s="1"/>
  <c r="AJ133" i="1"/>
  <c r="Q133" i="1"/>
  <c r="S146" i="16" s="1"/>
  <c r="M121" i="1"/>
  <c r="O120" i="16" s="1"/>
  <c r="U121" i="1"/>
  <c r="W120" i="16" s="1"/>
  <c r="Y121" i="1"/>
  <c r="AA120" i="16" s="1"/>
  <c r="AJ121" i="1"/>
  <c r="Q121" i="1"/>
  <c r="S120" i="16" s="1"/>
  <c r="U109" i="1"/>
  <c r="W108" i="16" s="1"/>
  <c r="Q109" i="1"/>
  <c r="S108" i="16" s="1"/>
  <c r="AJ109" i="1"/>
  <c r="M109" i="1"/>
  <c r="O108" i="16" s="1"/>
  <c r="Y109" i="1"/>
  <c r="AA108" i="16" s="1"/>
  <c r="U97" i="1"/>
  <c r="W95" i="16" s="1"/>
  <c r="Q97" i="1"/>
  <c r="S95" i="16" s="1"/>
  <c r="Y97" i="1"/>
  <c r="AA95" i="16" s="1"/>
  <c r="AJ97" i="1"/>
  <c r="M97" i="1"/>
  <c r="O95" i="16" s="1"/>
  <c r="U85" i="1"/>
  <c r="W69" i="16" s="1"/>
  <c r="M85" i="1"/>
  <c r="O69" i="16" s="1"/>
  <c r="AJ85" i="1"/>
  <c r="Q85" i="1"/>
  <c r="S69" i="16" s="1"/>
  <c r="Y85" i="1"/>
  <c r="AA69" i="16" s="1"/>
  <c r="Q73" i="1"/>
  <c r="S93" i="16" s="1"/>
  <c r="Y73" i="1"/>
  <c r="AA93" i="16" s="1"/>
  <c r="AJ73" i="1"/>
  <c r="U73" i="1"/>
  <c r="W93" i="16" s="1"/>
  <c r="M73" i="1"/>
  <c r="O93" i="16" s="1"/>
  <c r="U61" i="1"/>
  <c r="W78" i="16" s="1"/>
  <c r="Q61" i="1"/>
  <c r="S78" i="16" s="1"/>
  <c r="Y61" i="1"/>
  <c r="AA78" i="16" s="1"/>
  <c r="AJ61" i="1"/>
  <c r="M61" i="1"/>
  <c r="O78" i="16" s="1"/>
  <c r="Q41" i="1"/>
  <c r="S40" i="16" s="1"/>
  <c r="Y41" i="1"/>
  <c r="AA40" i="16" s="1"/>
  <c r="AJ41" i="1"/>
  <c r="U41" i="1"/>
  <c r="W40" i="16" s="1"/>
  <c r="M41" i="1"/>
  <c r="O40" i="16" s="1"/>
  <c r="U40" i="1"/>
  <c r="W39" i="16" s="1"/>
  <c r="AJ40" i="1"/>
  <c r="Y40" i="1"/>
  <c r="AA39" i="16" s="1"/>
  <c r="Q40" i="1"/>
  <c r="S39" i="16" s="1"/>
  <c r="M40" i="1"/>
  <c r="O39" i="16" s="1"/>
  <c r="U25" i="1"/>
  <c r="W24" i="16" s="1"/>
  <c r="M25" i="1"/>
  <c r="O24" i="16" s="1"/>
  <c r="Y25" i="1"/>
  <c r="AA24" i="16" s="1"/>
  <c r="Q25" i="1"/>
  <c r="S24" i="16" s="1"/>
  <c r="AJ25" i="1"/>
  <c r="AJ19" i="1"/>
  <c r="M19" i="1"/>
  <c r="U19" i="1"/>
  <c r="Y19" i="1"/>
  <c r="Q19" i="1"/>
  <c r="AJ481" i="1"/>
  <c r="Y481" i="1"/>
  <c r="M481" i="1"/>
  <c r="Q481" i="1"/>
  <c r="U481" i="1"/>
  <c r="M445" i="1"/>
  <c r="Y445" i="1"/>
  <c r="AJ445" i="1"/>
  <c r="Q445" i="1"/>
  <c r="U445" i="1"/>
  <c r="Q421" i="1"/>
  <c r="Y421" i="1"/>
  <c r="AJ421" i="1"/>
  <c r="U421" i="1"/>
  <c r="M421" i="1"/>
  <c r="U397" i="1"/>
  <c r="Y397" i="1"/>
  <c r="M397" i="1"/>
  <c r="AJ397" i="1"/>
  <c r="Q397" i="1"/>
  <c r="Y361" i="1"/>
  <c r="U361" i="1"/>
  <c r="M361" i="1"/>
  <c r="AJ361" i="1"/>
  <c r="Q361" i="1"/>
  <c r="AJ337" i="1"/>
  <c r="Y337" i="1"/>
  <c r="U337" i="1"/>
  <c r="Q337" i="1"/>
  <c r="M337" i="1"/>
  <c r="M313" i="1"/>
  <c r="Q313" i="1"/>
  <c r="AJ313" i="1"/>
  <c r="U313" i="1"/>
  <c r="Y313" i="1"/>
  <c r="U241" i="1"/>
  <c r="Q241" i="1"/>
  <c r="M241" i="1"/>
  <c r="Y241" i="1"/>
  <c r="AJ241" i="1"/>
  <c r="U181" i="1"/>
  <c r="W180" i="16" s="1"/>
  <c r="Y181" i="1"/>
  <c r="AA180" i="16" s="1"/>
  <c r="AJ181" i="1"/>
  <c r="M181" i="1"/>
  <c r="O180" i="16" s="1"/>
  <c r="Q181" i="1"/>
  <c r="S180" i="16" s="1"/>
  <c r="Q492" i="1"/>
  <c r="Y492" i="1"/>
  <c r="AJ492" i="1"/>
  <c r="M492" i="1"/>
  <c r="U492" i="1"/>
  <c r="M480" i="1"/>
  <c r="Y480" i="1"/>
  <c r="Q480" i="1"/>
  <c r="AJ480" i="1"/>
  <c r="U480" i="1"/>
  <c r="Q468" i="1"/>
  <c r="AJ468" i="1"/>
  <c r="M468" i="1"/>
  <c r="Y468" i="1"/>
  <c r="U468" i="1"/>
  <c r="Q456" i="1"/>
  <c r="AJ456" i="1"/>
  <c r="U456" i="1"/>
  <c r="M456" i="1"/>
  <c r="Y456" i="1"/>
  <c r="AJ444" i="1"/>
  <c r="Y444" i="1"/>
  <c r="Q444" i="1"/>
  <c r="M444" i="1"/>
  <c r="U444" i="1"/>
  <c r="M432" i="1"/>
  <c r="AJ432" i="1"/>
  <c r="Y432" i="1"/>
  <c r="U432" i="1"/>
  <c r="Q432" i="1"/>
  <c r="U420" i="1"/>
  <c r="M420" i="1"/>
  <c r="Q420" i="1"/>
  <c r="Y420" i="1"/>
  <c r="AJ420" i="1"/>
  <c r="M408" i="1"/>
  <c r="U408" i="1"/>
  <c r="Y408" i="1"/>
  <c r="AJ408" i="1"/>
  <c r="Q408" i="1"/>
  <c r="Q396" i="1"/>
  <c r="U396" i="1"/>
  <c r="Y396" i="1"/>
  <c r="M396" i="1"/>
  <c r="AJ396" i="1"/>
  <c r="M384" i="1"/>
  <c r="Y384" i="1"/>
  <c r="Q384" i="1"/>
  <c r="AJ384" i="1"/>
  <c r="U384" i="1"/>
  <c r="AJ372" i="1"/>
  <c r="Q372" i="1"/>
  <c r="M372" i="1"/>
  <c r="Y372" i="1"/>
  <c r="U372" i="1"/>
  <c r="Y360" i="1"/>
  <c r="AJ360" i="1"/>
  <c r="M360" i="1"/>
  <c r="U360" i="1"/>
  <c r="Q360" i="1"/>
  <c r="AJ348" i="1"/>
  <c r="M348" i="1"/>
  <c r="Y348" i="1"/>
  <c r="U348" i="1"/>
  <c r="Q348" i="1"/>
  <c r="Y336" i="1"/>
  <c r="AJ336" i="1"/>
  <c r="M336" i="1"/>
  <c r="U336" i="1"/>
  <c r="Q336" i="1"/>
  <c r="U324" i="1"/>
  <c r="AJ324" i="1"/>
  <c r="M324" i="1"/>
  <c r="Y324" i="1"/>
  <c r="Q324" i="1"/>
  <c r="U312" i="1"/>
  <c r="Y312" i="1"/>
  <c r="M312" i="1"/>
  <c r="AJ312" i="1"/>
  <c r="Q312" i="1"/>
  <c r="Y300" i="1"/>
  <c r="U300" i="1"/>
  <c r="AJ300" i="1"/>
  <c r="M300" i="1"/>
  <c r="Q300" i="1"/>
  <c r="M288" i="1"/>
  <c r="Y288" i="1"/>
  <c r="AJ288" i="1"/>
  <c r="U288" i="1"/>
  <c r="Q288" i="1"/>
  <c r="AJ276" i="1"/>
  <c r="U276" i="1"/>
  <c r="M276" i="1"/>
  <c r="Q276" i="1"/>
  <c r="Y276" i="1"/>
  <c r="Y264" i="1"/>
  <c r="U264" i="1"/>
  <c r="M264" i="1"/>
  <c r="AJ264" i="1"/>
  <c r="Q264" i="1"/>
  <c r="AJ252" i="1"/>
  <c r="M252" i="1"/>
  <c r="U252" i="1"/>
  <c r="Q252" i="1"/>
  <c r="Y252" i="1"/>
  <c r="Q240" i="1"/>
  <c r="U240" i="1"/>
  <c r="AJ240" i="1"/>
  <c r="Y240" i="1"/>
  <c r="M240" i="1"/>
  <c r="U228" i="1"/>
  <c r="Q228" i="1"/>
  <c r="AJ228" i="1"/>
  <c r="Y228" i="1"/>
  <c r="M228" i="1"/>
  <c r="Q216" i="1"/>
  <c r="Y216" i="1"/>
  <c r="M216" i="1"/>
  <c r="AJ216" i="1"/>
  <c r="U216" i="1"/>
  <c r="M204" i="1"/>
  <c r="Q204" i="1"/>
  <c r="Y204" i="1"/>
  <c r="AJ204" i="1"/>
  <c r="U204" i="1"/>
  <c r="AJ192" i="1"/>
  <c r="Q192" i="1"/>
  <c r="S191" i="16" s="1"/>
  <c r="M192" i="1"/>
  <c r="O191" i="16" s="1"/>
  <c r="Y192" i="1"/>
  <c r="AA191" i="16" s="1"/>
  <c r="U192" i="1"/>
  <c r="W191" i="16" s="1"/>
  <c r="Q180" i="1"/>
  <c r="S179" i="16" s="1"/>
  <c r="AJ180" i="1"/>
  <c r="U180" i="1"/>
  <c r="W179" i="16" s="1"/>
  <c r="M180" i="1"/>
  <c r="O179" i="16" s="1"/>
  <c r="Y180" i="1"/>
  <c r="AA179" i="16" s="1"/>
  <c r="AJ168" i="1"/>
  <c r="Y168" i="1"/>
  <c r="AA167" i="16" s="1"/>
  <c r="U168" i="1"/>
  <c r="W167" i="16" s="1"/>
  <c r="Q168" i="1"/>
  <c r="S167" i="16" s="1"/>
  <c r="M168" i="1"/>
  <c r="O167" i="16" s="1"/>
  <c r="Q156" i="1"/>
  <c r="S155" i="16" s="1"/>
  <c r="AJ156" i="1"/>
  <c r="U156" i="1"/>
  <c r="W155" i="16" s="1"/>
  <c r="M156" i="1"/>
  <c r="O155" i="16" s="1"/>
  <c r="Y156" i="1"/>
  <c r="AA155" i="16" s="1"/>
  <c r="AJ144" i="1"/>
  <c r="Q144" i="1"/>
  <c r="S137" i="16" s="1"/>
  <c r="Y144" i="1"/>
  <c r="AA137" i="16" s="1"/>
  <c r="U144" i="1"/>
  <c r="W137" i="16" s="1"/>
  <c r="M144" i="1"/>
  <c r="O137" i="16" s="1"/>
  <c r="U132" i="1"/>
  <c r="W145" i="16" s="1"/>
  <c r="AJ132" i="1"/>
  <c r="Y132" i="1"/>
  <c r="AA145" i="16" s="1"/>
  <c r="Q132" i="1"/>
  <c r="S145" i="16" s="1"/>
  <c r="M132" i="1"/>
  <c r="O145" i="16" s="1"/>
  <c r="AJ120" i="1"/>
  <c r="Q120" i="1"/>
  <c r="S119" i="16" s="1"/>
  <c r="Y120" i="1"/>
  <c r="AA119" i="16" s="1"/>
  <c r="M120" i="1"/>
  <c r="O119" i="16" s="1"/>
  <c r="U120" i="1"/>
  <c r="W119" i="16" s="1"/>
  <c r="U108" i="1"/>
  <c r="W107" i="16" s="1"/>
  <c r="Y108" i="1"/>
  <c r="AA107" i="16" s="1"/>
  <c r="AJ108" i="1"/>
  <c r="Q108" i="1"/>
  <c r="S107" i="16" s="1"/>
  <c r="M108" i="1"/>
  <c r="O107" i="16" s="1"/>
  <c r="Q96" i="1"/>
  <c r="U96" i="1"/>
  <c r="M96" i="1"/>
  <c r="AJ96" i="1"/>
  <c r="Y96" i="1"/>
  <c r="AJ84" i="1"/>
  <c r="Y84" i="1"/>
  <c r="AA86" i="16" s="1"/>
  <c r="U84" i="1"/>
  <c r="W86" i="16" s="1"/>
  <c r="M84" i="1"/>
  <c r="O86" i="16" s="1"/>
  <c r="Q84" i="1"/>
  <c r="S86" i="16" s="1"/>
  <c r="U72" i="1"/>
  <c r="W57" i="16" s="1"/>
  <c r="Y72" i="1"/>
  <c r="AA57" i="16" s="1"/>
  <c r="AJ72" i="1"/>
  <c r="M72" i="1"/>
  <c r="O57" i="16" s="1"/>
  <c r="Q72" i="1"/>
  <c r="S57" i="16" s="1"/>
  <c r="Q60" i="1"/>
  <c r="S65" i="16" s="1"/>
  <c r="M60" i="1"/>
  <c r="O65" i="16" s="1"/>
  <c r="Y60" i="1"/>
  <c r="AA65" i="16" s="1"/>
  <c r="U60" i="1"/>
  <c r="W65" i="16" s="1"/>
  <c r="AJ60" i="1"/>
  <c r="U37" i="1"/>
  <c r="W36" i="16" s="1"/>
  <c r="Q37" i="1"/>
  <c r="S36" i="16" s="1"/>
  <c r="AJ37" i="1"/>
  <c r="M37" i="1"/>
  <c r="O36" i="16" s="1"/>
  <c r="Y37" i="1"/>
  <c r="AA36" i="16" s="1"/>
  <c r="AJ43" i="1"/>
  <c r="Y43" i="1"/>
  <c r="AA42" i="16" s="1"/>
  <c r="M43" i="1"/>
  <c r="O42" i="16" s="1"/>
  <c r="Q43" i="1"/>
  <c r="S42" i="16" s="1"/>
  <c r="U43" i="1"/>
  <c r="W42" i="16" s="1"/>
  <c r="U24" i="1"/>
  <c r="W23" i="16" s="1"/>
  <c r="AJ24" i="1"/>
  <c r="M24" i="1"/>
  <c r="O23" i="16" s="1"/>
  <c r="Y24" i="1"/>
  <c r="AA23" i="16" s="1"/>
  <c r="Q24" i="1"/>
  <c r="S23" i="16" s="1"/>
  <c r="U21" i="1"/>
  <c r="W20" i="16" s="1"/>
  <c r="M21" i="1"/>
  <c r="O20" i="16" s="1"/>
  <c r="Q21" i="1"/>
  <c r="S20" i="16" s="1"/>
  <c r="AJ21" i="1"/>
  <c r="Y21" i="1"/>
  <c r="AA20" i="16" s="1"/>
  <c r="AJ493" i="1"/>
  <c r="U493" i="1"/>
  <c r="M493" i="1"/>
  <c r="Y493" i="1"/>
  <c r="Q493" i="1"/>
  <c r="M457" i="1"/>
  <c r="Q457" i="1"/>
  <c r="Y457" i="1"/>
  <c r="AJ457" i="1"/>
  <c r="U457" i="1"/>
  <c r="M433" i="1"/>
  <c r="Q433" i="1"/>
  <c r="Y433" i="1"/>
  <c r="AJ433" i="1"/>
  <c r="U433" i="1"/>
  <c r="Q409" i="1"/>
  <c r="AJ409" i="1"/>
  <c r="U409" i="1"/>
  <c r="M409" i="1"/>
  <c r="Y409" i="1"/>
  <c r="AJ385" i="1"/>
  <c r="M385" i="1"/>
  <c r="Q385" i="1"/>
  <c r="Y385" i="1"/>
  <c r="U385" i="1"/>
  <c r="M349" i="1"/>
  <c r="AJ349" i="1"/>
  <c r="Y349" i="1"/>
  <c r="U349" i="1"/>
  <c r="Q349" i="1"/>
  <c r="AJ325" i="1"/>
  <c r="M325" i="1"/>
  <c r="Y325" i="1"/>
  <c r="Q325" i="1"/>
  <c r="U325" i="1"/>
  <c r="Y301" i="1"/>
  <c r="AJ301" i="1"/>
  <c r="U301" i="1"/>
  <c r="M301" i="1"/>
  <c r="Q301" i="1"/>
  <c r="Y265" i="1"/>
  <c r="M265" i="1"/>
  <c r="Q265" i="1"/>
  <c r="AJ265" i="1"/>
  <c r="U265" i="1"/>
  <c r="M229" i="1"/>
  <c r="U229" i="1"/>
  <c r="AJ229" i="1"/>
  <c r="Y229" i="1"/>
  <c r="Q229" i="1"/>
  <c r="Y217" i="1"/>
  <c r="U217" i="1"/>
  <c r="AJ217" i="1"/>
  <c r="Q217" i="1"/>
  <c r="M217" i="1"/>
  <c r="M205" i="1"/>
  <c r="Y205" i="1"/>
  <c r="AJ205" i="1"/>
  <c r="Q205" i="1"/>
  <c r="U205" i="1"/>
  <c r="U169" i="1"/>
  <c r="W168" i="16" s="1"/>
  <c r="AJ169" i="1"/>
  <c r="Y169" i="1"/>
  <c r="AA168" i="16" s="1"/>
  <c r="M169" i="1"/>
  <c r="O168" i="16" s="1"/>
  <c r="Q169" i="1"/>
  <c r="S168" i="16" s="1"/>
  <c r="Q491" i="1"/>
  <c r="M491" i="1"/>
  <c r="U491" i="1"/>
  <c r="AJ491" i="1"/>
  <c r="Y491" i="1"/>
  <c r="Q479" i="1"/>
  <c r="AJ479" i="1"/>
  <c r="Y479" i="1"/>
  <c r="M479" i="1"/>
  <c r="U479" i="1"/>
  <c r="AJ467" i="1"/>
  <c r="Q467" i="1"/>
  <c r="U467" i="1"/>
  <c r="Y467" i="1"/>
  <c r="M467" i="1"/>
  <c r="AJ455" i="1"/>
  <c r="M455" i="1"/>
  <c r="U455" i="1"/>
  <c r="Q455" i="1"/>
  <c r="Y455" i="1"/>
  <c r="Y443" i="1"/>
  <c r="AJ443" i="1"/>
  <c r="M443" i="1"/>
  <c r="U443" i="1"/>
  <c r="Q443" i="1"/>
  <c r="Q431" i="1"/>
  <c r="Y431" i="1"/>
  <c r="AJ431" i="1"/>
  <c r="M431" i="1"/>
  <c r="U431" i="1"/>
  <c r="U419" i="1"/>
  <c r="M419" i="1"/>
  <c r="Y419" i="1"/>
  <c r="AJ419" i="1"/>
  <c r="Q419" i="1"/>
  <c r="AJ407" i="1"/>
  <c r="Q407" i="1"/>
  <c r="U407" i="1"/>
  <c r="M407" i="1"/>
  <c r="Y407" i="1"/>
  <c r="U395" i="1"/>
  <c r="Y395" i="1"/>
  <c r="AJ395" i="1"/>
  <c r="M395" i="1"/>
  <c r="Q395" i="1"/>
  <c r="AJ383" i="1"/>
  <c r="M383" i="1"/>
  <c r="Q383" i="1"/>
  <c r="U383" i="1"/>
  <c r="Y383" i="1"/>
  <c r="AJ371" i="1"/>
  <c r="M371" i="1"/>
  <c r="Y371" i="1"/>
  <c r="U371" i="1"/>
  <c r="Q371" i="1"/>
  <c r="Q359" i="1"/>
  <c r="M359" i="1"/>
  <c r="Y359" i="1"/>
  <c r="AJ359" i="1"/>
  <c r="U359" i="1"/>
  <c r="AJ347" i="1"/>
  <c r="M347" i="1"/>
  <c r="Y347" i="1"/>
  <c r="U347" i="1"/>
  <c r="Q347" i="1"/>
  <c r="M335" i="1"/>
  <c r="Y335" i="1"/>
  <c r="U335" i="1"/>
  <c r="AJ335" i="1"/>
  <c r="Q335" i="1"/>
  <c r="Y323" i="1"/>
  <c r="U323" i="1"/>
  <c r="M323" i="1"/>
  <c r="Q323" i="1"/>
  <c r="AJ323" i="1"/>
  <c r="Q311" i="1"/>
  <c r="AJ311" i="1"/>
  <c r="M311" i="1"/>
  <c r="Y311" i="1"/>
  <c r="U311" i="1"/>
  <c r="Y299" i="1"/>
  <c r="U299" i="1"/>
  <c r="M299" i="1"/>
  <c r="AJ299" i="1"/>
  <c r="Q299" i="1"/>
  <c r="U287" i="1"/>
  <c r="M287" i="1"/>
  <c r="AJ287" i="1"/>
  <c r="Y287" i="1"/>
  <c r="Q287" i="1"/>
  <c r="Y275" i="1"/>
  <c r="Q275" i="1"/>
  <c r="M275" i="1"/>
  <c r="AJ275" i="1"/>
  <c r="U275" i="1"/>
  <c r="AJ263" i="1"/>
  <c r="M263" i="1"/>
  <c r="Y263" i="1"/>
  <c r="Q263" i="1"/>
  <c r="U263" i="1"/>
  <c r="Q251" i="1"/>
  <c r="U251" i="1"/>
  <c r="AJ251" i="1"/>
  <c r="M251" i="1"/>
  <c r="Y251" i="1"/>
  <c r="Q239" i="1"/>
  <c r="Y239" i="1"/>
  <c r="AJ239" i="1"/>
  <c r="M239" i="1"/>
  <c r="U239" i="1"/>
  <c r="U227" i="1"/>
  <c r="Q227" i="1"/>
  <c r="AJ227" i="1"/>
  <c r="Y227" i="1"/>
  <c r="M227" i="1"/>
  <c r="Q215" i="1"/>
  <c r="U215" i="1"/>
  <c r="Y215" i="1"/>
  <c r="AJ215" i="1"/>
  <c r="M215" i="1"/>
  <c r="Y203" i="1"/>
  <c r="M203" i="1"/>
  <c r="AJ203" i="1"/>
  <c r="Q203" i="1"/>
  <c r="U203" i="1"/>
  <c r="M191" i="1"/>
  <c r="O190" i="16" s="1"/>
  <c r="Y191" i="1"/>
  <c r="AA190" i="16" s="1"/>
  <c r="AJ191" i="1"/>
  <c r="U191" i="1"/>
  <c r="W190" i="16" s="1"/>
  <c r="Q191" i="1"/>
  <c r="S190" i="16" s="1"/>
  <c r="Y179" i="1"/>
  <c r="AA178" i="16" s="1"/>
  <c r="Q179" i="1"/>
  <c r="S178" i="16" s="1"/>
  <c r="AJ179" i="1"/>
  <c r="M179" i="1"/>
  <c r="O178" i="16" s="1"/>
  <c r="U179" i="1"/>
  <c r="W178" i="16" s="1"/>
  <c r="Y167" i="1"/>
  <c r="AA166" i="16" s="1"/>
  <c r="AJ167" i="1"/>
  <c r="Q167" i="1"/>
  <c r="S166" i="16" s="1"/>
  <c r="M167" i="1"/>
  <c r="O166" i="16" s="1"/>
  <c r="U167" i="1"/>
  <c r="W166" i="16" s="1"/>
  <c r="M155" i="1"/>
  <c r="O154" i="16" s="1"/>
  <c r="Y155" i="1"/>
  <c r="AA154" i="16" s="1"/>
  <c r="AJ155" i="1"/>
  <c r="Q155" i="1"/>
  <c r="S154" i="16" s="1"/>
  <c r="U155" i="1"/>
  <c r="W154" i="16" s="1"/>
  <c r="M143" i="1"/>
  <c r="O136" i="16" s="1"/>
  <c r="Y143" i="1"/>
  <c r="AA136" i="16" s="1"/>
  <c r="AJ143" i="1"/>
  <c r="Q143" i="1"/>
  <c r="S136" i="16" s="1"/>
  <c r="U143" i="1"/>
  <c r="W136" i="16" s="1"/>
  <c r="AJ131" i="1"/>
  <c r="M131" i="1"/>
  <c r="O129" i="16" s="1"/>
  <c r="Y131" i="1"/>
  <c r="AA129" i="16" s="1"/>
  <c r="U131" i="1"/>
  <c r="W129" i="16" s="1"/>
  <c r="Q131" i="1"/>
  <c r="S129" i="16" s="1"/>
  <c r="AJ119" i="1"/>
  <c r="M119" i="1"/>
  <c r="O118" i="16" s="1"/>
  <c r="Q119" i="1"/>
  <c r="S118" i="16" s="1"/>
  <c r="Y119" i="1"/>
  <c r="AA118" i="16" s="1"/>
  <c r="U119" i="1"/>
  <c r="W118" i="16" s="1"/>
  <c r="Y107" i="1"/>
  <c r="AA106" i="16" s="1"/>
  <c r="AJ107" i="1"/>
  <c r="M107" i="1"/>
  <c r="O106" i="16" s="1"/>
  <c r="Q107" i="1"/>
  <c r="S106" i="16" s="1"/>
  <c r="U107" i="1"/>
  <c r="W106" i="16" s="1"/>
  <c r="Q95" i="1"/>
  <c r="S72" i="16" s="1"/>
  <c r="Y95" i="1"/>
  <c r="AA72" i="16" s="1"/>
  <c r="M95" i="1"/>
  <c r="O72" i="16" s="1"/>
  <c r="AJ95" i="1"/>
  <c r="U95" i="1"/>
  <c r="W72" i="16" s="1"/>
  <c r="AJ83" i="1"/>
  <c r="Y83" i="1"/>
  <c r="AA62" i="16" s="1"/>
  <c r="M83" i="1"/>
  <c r="O62" i="16" s="1"/>
  <c r="U83" i="1"/>
  <c r="W62" i="16" s="1"/>
  <c r="Q83" i="1"/>
  <c r="S62" i="16" s="1"/>
  <c r="Q71" i="1"/>
  <c r="S83" i="16" s="1"/>
  <c r="AJ71" i="1"/>
  <c r="Y71" i="1"/>
  <c r="AA83" i="16" s="1"/>
  <c r="U71" i="1"/>
  <c r="W83" i="16" s="1"/>
  <c r="M71" i="1"/>
  <c r="O83" i="16" s="1"/>
  <c r="M59" i="1"/>
  <c r="O77" i="16" s="1"/>
  <c r="Y59" i="1"/>
  <c r="AA77" i="16" s="1"/>
  <c r="AJ59" i="1"/>
  <c r="U59" i="1"/>
  <c r="W77" i="16" s="1"/>
  <c r="Q59" i="1"/>
  <c r="S77" i="16" s="1"/>
  <c r="U35" i="1"/>
  <c r="W34" i="16" s="1"/>
  <c r="AJ35" i="1"/>
  <c r="M35" i="1"/>
  <c r="O34" i="16" s="1"/>
  <c r="Q35" i="1"/>
  <c r="S34" i="16" s="1"/>
  <c r="Y35" i="1"/>
  <c r="AA34" i="16" s="1"/>
  <c r="Y33" i="1"/>
  <c r="AA32" i="16" s="1"/>
  <c r="AJ33" i="1"/>
  <c r="U33" i="1"/>
  <c r="W32" i="16" s="1"/>
  <c r="M33" i="1"/>
  <c r="O32" i="16" s="1"/>
  <c r="Q33" i="1"/>
  <c r="S32" i="16" s="1"/>
  <c r="Q23" i="1"/>
  <c r="S22" i="16" s="1"/>
  <c r="Y23" i="1"/>
  <c r="AA22" i="16" s="1"/>
  <c r="AJ23" i="1"/>
  <c r="M23" i="1"/>
  <c r="O22" i="16" s="1"/>
  <c r="U23" i="1"/>
  <c r="W22" i="16" s="1"/>
  <c r="Q490" i="1"/>
  <c r="U490" i="1"/>
  <c r="AJ490" i="1"/>
  <c r="M490" i="1"/>
  <c r="Y490" i="1"/>
  <c r="M478" i="1"/>
  <c r="Y478" i="1"/>
  <c r="AJ478" i="1"/>
  <c r="U478" i="1"/>
  <c r="Q478" i="1"/>
  <c r="AJ466" i="1"/>
  <c r="Q466" i="1"/>
  <c r="U466" i="1"/>
  <c r="M466" i="1"/>
  <c r="Y466" i="1"/>
  <c r="AJ454" i="1"/>
  <c r="M454" i="1"/>
  <c r="U454" i="1"/>
  <c r="Q454" i="1"/>
  <c r="Y454" i="1"/>
  <c r="Y442" i="1"/>
  <c r="Q442" i="1"/>
  <c r="M442" i="1"/>
  <c r="AJ442" i="1"/>
  <c r="U442" i="1"/>
  <c r="Y430" i="1"/>
  <c r="AJ430" i="1"/>
  <c r="Q430" i="1"/>
  <c r="U430" i="1"/>
  <c r="M430" i="1"/>
  <c r="M418" i="1"/>
  <c r="Y418" i="1"/>
  <c r="Q418" i="1"/>
  <c r="AJ418" i="1"/>
  <c r="U418" i="1"/>
  <c r="U406" i="1"/>
  <c r="Y406" i="1"/>
  <c r="Q406" i="1"/>
  <c r="M406" i="1"/>
  <c r="AJ406" i="1"/>
  <c r="AJ394" i="1"/>
  <c r="U394" i="1"/>
  <c r="M394" i="1"/>
  <c r="Q394" i="1"/>
  <c r="Y394" i="1"/>
  <c r="Q382" i="1"/>
  <c r="AJ382" i="1"/>
  <c r="Y382" i="1"/>
  <c r="M382" i="1"/>
  <c r="U382" i="1"/>
  <c r="AJ370" i="1"/>
  <c r="Y370" i="1"/>
  <c r="Q370" i="1"/>
  <c r="U370" i="1"/>
  <c r="M370" i="1"/>
  <c r="Y358" i="1"/>
  <c r="Q358" i="1"/>
  <c r="AJ358" i="1"/>
  <c r="U358" i="1"/>
  <c r="M358" i="1"/>
  <c r="U346" i="1"/>
  <c r="AJ346" i="1"/>
  <c r="Q346" i="1"/>
  <c r="Y346" i="1"/>
  <c r="M346" i="1"/>
  <c r="Y334" i="1"/>
  <c r="AJ334" i="1"/>
  <c r="U334" i="1"/>
  <c r="Q334" i="1"/>
  <c r="M334" i="1"/>
  <c r="Y322" i="1"/>
  <c r="U322" i="1"/>
  <c r="M322" i="1"/>
  <c r="AJ322" i="1"/>
  <c r="Q322" i="1"/>
  <c r="U310" i="1"/>
  <c r="AJ310" i="1"/>
  <c r="Q310" i="1"/>
  <c r="Y310" i="1"/>
  <c r="M310" i="1"/>
  <c r="U298" i="1"/>
  <c r="Q298" i="1"/>
  <c r="M298" i="1"/>
  <c r="AJ298" i="1"/>
  <c r="Y298" i="1"/>
  <c r="M286" i="1"/>
  <c r="Q286" i="1"/>
  <c r="AJ286" i="1"/>
  <c r="U286" i="1"/>
  <c r="Y286" i="1"/>
  <c r="U274" i="1"/>
  <c r="AJ274" i="1"/>
  <c r="Q274" i="1"/>
  <c r="M274" i="1"/>
  <c r="Y274" i="1"/>
  <c r="M262" i="1"/>
  <c r="AJ262" i="1"/>
  <c r="U262" i="1"/>
  <c r="Y262" i="1"/>
  <c r="Q262" i="1"/>
  <c r="Q250" i="1"/>
  <c r="Y250" i="1"/>
  <c r="AJ250" i="1"/>
  <c r="U250" i="1"/>
  <c r="M250" i="1"/>
  <c r="AJ238" i="1"/>
  <c r="Q238" i="1"/>
  <c r="M238" i="1"/>
  <c r="Y238" i="1"/>
  <c r="U238" i="1"/>
  <c r="Y226" i="1"/>
  <c r="M226" i="1"/>
  <c r="AJ226" i="1"/>
  <c r="U226" i="1"/>
  <c r="Q226" i="1"/>
  <c r="AJ214" i="1"/>
  <c r="Y214" i="1"/>
  <c r="M214" i="1"/>
  <c r="U214" i="1"/>
  <c r="Q214" i="1"/>
  <c r="Y202" i="1"/>
  <c r="M202" i="1"/>
  <c r="U202" i="1"/>
  <c r="AJ202" i="1"/>
  <c r="Q202" i="1"/>
  <c r="M190" i="1"/>
  <c r="O189" i="16" s="1"/>
  <c r="Q190" i="1"/>
  <c r="S189" i="16" s="1"/>
  <c r="U190" i="1"/>
  <c r="W189" i="16" s="1"/>
  <c r="AJ190" i="1"/>
  <c r="Y190" i="1"/>
  <c r="AA189" i="16" s="1"/>
  <c r="U178" i="1"/>
  <c r="W177" i="16" s="1"/>
  <c r="Q178" i="1"/>
  <c r="S177" i="16" s="1"/>
  <c r="M178" i="1"/>
  <c r="O177" i="16" s="1"/>
  <c r="AJ178" i="1"/>
  <c r="Y178" i="1"/>
  <c r="AA177" i="16" s="1"/>
  <c r="M166" i="1"/>
  <c r="O165" i="16" s="1"/>
  <c r="AJ166" i="1"/>
  <c r="Q166" i="1"/>
  <c r="S165" i="16" s="1"/>
  <c r="Y166" i="1"/>
  <c r="AA165" i="16" s="1"/>
  <c r="U166" i="1"/>
  <c r="W165" i="16" s="1"/>
  <c r="M154" i="1"/>
  <c r="O153" i="16" s="1"/>
  <c r="AJ154" i="1"/>
  <c r="Q154" i="1"/>
  <c r="S153" i="16" s="1"/>
  <c r="U154" i="1"/>
  <c r="W153" i="16" s="1"/>
  <c r="Y154" i="1"/>
  <c r="AA153" i="16" s="1"/>
  <c r="M142" i="1"/>
  <c r="O135" i="16" s="1"/>
  <c r="AJ142" i="1"/>
  <c r="U142" i="1"/>
  <c r="W135" i="16" s="1"/>
  <c r="Q142" i="1"/>
  <c r="S135" i="16" s="1"/>
  <c r="Y142" i="1"/>
  <c r="AA135" i="16" s="1"/>
  <c r="M130" i="1"/>
  <c r="O124" i="16" s="1"/>
  <c r="Y130" i="1"/>
  <c r="AA124" i="16" s="1"/>
  <c r="AJ130" i="1"/>
  <c r="Q130" i="1"/>
  <c r="S124" i="16" s="1"/>
  <c r="U130" i="1"/>
  <c r="W124" i="16" s="1"/>
  <c r="Y118" i="1"/>
  <c r="AA117" i="16" s="1"/>
  <c r="U118" i="1"/>
  <c r="W117" i="16" s="1"/>
  <c r="Q118" i="1"/>
  <c r="S117" i="16" s="1"/>
  <c r="AJ118" i="1"/>
  <c r="M118" i="1"/>
  <c r="O117" i="16" s="1"/>
  <c r="M106" i="1"/>
  <c r="O105" i="16" s="1"/>
  <c r="Y106" i="1"/>
  <c r="AA105" i="16" s="1"/>
  <c r="Q106" i="1"/>
  <c r="S105" i="16" s="1"/>
  <c r="AJ106" i="1"/>
  <c r="U106" i="1"/>
  <c r="W105" i="16" s="1"/>
  <c r="M94" i="1"/>
  <c r="O50" i="16" s="1"/>
  <c r="Q94" i="1"/>
  <c r="S50" i="16" s="1"/>
  <c r="AJ94" i="1"/>
  <c r="U94" i="1"/>
  <c r="W50" i="16" s="1"/>
  <c r="Y94" i="1"/>
  <c r="AA50" i="16" s="1"/>
  <c r="U82" i="1"/>
  <c r="W85" i="16" s="1"/>
  <c r="AJ82" i="1"/>
  <c r="M82" i="1"/>
  <c r="O85" i="16" s="1"/>
  <c r="Q82" i="1"/>
  <c r="S85" i="16" s="1"/>
  <c r="Y82" i="1"/>
  <c r="AA85" i="16" s="1"/>
  <c r="Y70" i="1"/>
  <c r="AA56" i="16" s="1"/>
  <c r="U70" i="1"/>
  <c r="W56" i="16" s="1"/>
  <c r="AJ70" i="1"/>
  <c r="M70" i="1"/>
  <c r="O56" i="16" s="1"/>
  <c r="Q70" i="1"/>
  <c r="S56" i="16" s="1"/>
  <c r="AJ58" i="1"/>
  <c r="Y58" i="1"/>
  <c r="AA75" i="16" s="1"/>
  <c r="M58" i="1"/>
  <c r="O75" i="16" s="1"/>
  <c r="Q58" i="1"/>
  <c r="S75" i="16" s="1"/>
  <c r="U58" i="1"/>
  <c r="W75" i="16" s="1"/>
  <c r="Y39" i="1"/>
  <c r="AA38" i="16" s="1"/>
  <c r="AJ39" i="1"/>
  <c r="M39" i="1"/>
  <c r="O38" i="16" s="1"/>
  <c r="U39" i="1"/>
  <c r="W38" i="16" s="1"/>
  <c r="Q39" i="1"/>
  <c r="S38" i="16" s="1"/>
  <c r="M38" i="1"/>
  <c r="O37" i="16" s="1"/>
  <c r="AJ38" i="1"/>
  <c r="U38" i="1"/>
  <c r="W37" i="16" s="1"/>
  <c r="Y38" i="1"/>
  <c r="AA37" i="16" s="1"/>
  <c r="Q38" i="1"/>
  <c r="S37" i="16" s="1"/>
  <c r="AJ17" i="1"/>
  <c r="Q17" i="1"/>
  <c r="S16" i="16" s="1"/>
  <c r="U17" i="1"/>
  <c r="W16" i="16" s="1"/>
  <c r="Y17" i="1"/>
  <c r="AA16" i="16" s="1"/>
  <c r="M17" i="1"/>
  <c r="O16" i="16" s="1"/>
  <c r="AJ277" i="1"/>
  <c r="Y277" i="1"/>
  <c r="U277" i="1"/>
  <c r="Q277" i="1"/>
  <c r="M277" i="1"/>
  <c r="AJ489" i="1"/>
  <c r="U489" i="1"/>
  <c r="M489" i="1"/>
  <c r="Q489" i="1"/>
  <c r="Y489" i="1"/>
  <c r="Q477" i="1"/>
  <c r="U477" i="1"/>
  <c r="AJ477" i="1"/>
  <c r="M477" i="1"/>
  <c r="Y477" i="1"/>
  <c r="Q465" i="1"/>
  <c r="U465" i="1"/>
  <c r="AJ465" i="1"/>
  <c r="M465" i="1"/>
  <c r="Y465" i="1"/>
  <c r="Y453" i="1"/>
  <c r="M453" i="1"/>
  <c r="U453" i="1"/>
  <c r="AJ453" i="1"/>
  <c r="Q453" i="1"/>
  <c r="AJ441" i="1"/>
  <c r="Q441" i="1"/>
  <c r="U441" i="1"/>
  <c r="M441" i="1"/>
  <c r="Y441" i="1"/>
  <c r="M429" i="1"/>
  <c r="AJ429" i="1"/>
  <c r="U429" i="1"/>
  <c r="Q429" i="1"/>
  <c r="Y429" i="1"/>
  <c r="Q417" i="1"/>
  <c r="Y417" i="1"/>
  <c r="AJ417" i="1"/>
  <c r="M417" i="1"/>
  <c r="U417" i="1"/>
  <c r="AJ405" i="1"/>
  <c r="U405" i="1"/>
  <c r="Y405" i="1"/>
  <c r="Q405" i="1"/>
  <c r="M405" i="1"/>
  <c r="AJ393" i="1"/>
  <c r="M393" i="1"/>
  <c r="Y393" i="1"/>
  <c r="Q393" i="1"/>
  <c r="U393" i="1"/>
  <c r="M381" i="1"/>
  <c r="Q381" i="1"/>
  <c r="Y381" i="1"/>
  <c r="AJ381" i="1"/>
  <c r="U381" i="1"/>
  <c r="U369" i="1"/>
  <c r="M369" i="1"/>
  <c r="AJ369" i="1"/>
  <c r="Q369" i="1"/>
  <c r="Y369" i="1"/>
  <c r="Q357" i="1"/>
  <c r="U357" i="1"/>
  <c r="AJ357" i="1"/>
  <c r="Y357" i="1"/>
  <c r="M357" i="1"/>
  <c r="AJ345" i="1"/>
  <c r="Q345" i="1"/>
  <c r="M345" i="1"/>
  <c r="U345" i="1"/>
  <c r="Y345" i="1"/>
  <c r="Y333" i="1"/>
  <c r="Q333" i="1"/>
  <c r="U333" i="1"/>
  <c r="AJ333" i="1"/>
  <c r="M333" i="1"/>
  <c r="Q321" i="1"/>
  <c r="AJ321" i="1"/>
  <c r="U321" i="1"/>
  <c r="M321" i="1"/>
  <c r="Y321" i="1"/>
  <c r="AJ309" i="1"/>
  <c r="U309" i="1"/>
  <c r="M309" i="1"/>
  <c r="Q309" i="1"/>
  <c r="Y309" i="1"/>
  <c r="AJ297" i="1"/>
  <c r="U297" i="1"/>
  <c r="Q297" i="1"/>
  <c r="Y297" i="1"/>
  <c r="M297" i="1"/>
  <c r="AJ285" i="1"/>
  <c r="U285" i="1"/>
  <c r="M285" i="1"/>
  <c r="Q285" i="1"/>
  <c r="Y285" i="1"/>
  <c r="M273" i="1"/>
  <c r="Q273" i="1"/>
  <c r="AJ273" i="1"/>
  <c r="U273" i="1"/>
  <c r="Y273" i="1"/>
  <c r="M261" i="1"/>
  <c r="AJ261" i="1"/>
  <c r="Y261" i="1"/>
  <c r="U261" i="1"/>
  <c r="Q261" i="1"/>
  <c r="AJ249" i="1"/>
  <c r="M249" i="1"/>
  <c r="Y249" i="1"/>
  <c r="U249" i="1"/>
  <c r="Q249" i="1"/>
  <c r="AJ237" i="1"/>
  <c r="U237" i="1"/>
  <c r="M237" i="1"/>
  <c r="Q237" i="1"/>
  <c r="Y237" i="1"/>
  <c r="AJ225" i="1"/>
  <c r="M225" i="1"/>
  <c r="Y225" i="1"/>
  <c r="U225" i="1"/>
  <c r="Q225" i="1"/>
  <c r="M213" i="1"/>
  <c r="AJ213" i="1"/>
  <c r="U213" i="1"/>
  <c r="Y213" i="1"/>
  <c r="Q213" i="1"/>
  <c r="Y201" i="1"/>
  <c r="Q201" i="1"/>
  <c r="U201" i="1"/>
  <c r="M201" i="1"/>
  <c r="AJ201" i="1"/>
  <c r="M189" i="1"/>
  <c r="O188" i="16" s="1"/>
  <c r="Y189" i="1"/>
  <c r="AA188" i="16" s="1"/>
  <c r="AJ189" i="1"/>
  <c r="Q189" i="1"/>
  <c r="S188" i="16" s="1"/>
  <c r="U189" i="1"/>
  <c r="W188" i="16" s="1"/>
  <c r="M177" i="1"/>
  <c r="O176" i="16" s="1"/>
  <c r="Y177" i="1"/>
  <c r="AA176" i="16" s="1"/>
  <c r="AJ177" i="1"/>
  <c r="U177" i="1"/>
  <c r="W176" i="16" s="1"/>
  <c r="Q177" i="1"/>
  <c r="S176" i="16" s="1"/>
  <c r="Y165" i="1"/>
  <c r="AA164" i="16" s="1"/>
  <c r="M165" i="1"/>
  <c r="O164" i="16" s="1"/>
  <c r="AJ165" i="1"/>
  <c r="Q165" i="1"/>
  <c r="S164" i="16" s="1"/>
  <c r="U165" i="1"/>
  <c r="W164" i="16" s="1"/>
  <c r="Y153" i="1"/>
  <c r="AA125" i="16" s="1"/>
  <c r="M153" i="1"/>
  <c r="O125" i="16" s="1"/>
  <c r="AJ153" i="1"/>
  <c r="Q153" i="1"/>
  <c r="S125" i="16" s="1"/>
  <c r="U153" i="1"/>
  <c r="W125" i="16" s="1"/>
  <c r="Y141" i="1"/>
  <c r="AA134" i="16" s="1"/>
  <c r="AJ141" i="1"/>
  <c r="M141" i="1"/>
  <c r="O134" i="16" s="1"/>
  <c r="Q141" i="1"/>
  <c r="S134" i="16" s="1"/>
  <c r="U141" i="1"/>
  <c r="W134" i="16" s="1"/>
  <c r="Y129" i="1"/>
  <c r="AA128" i="16" s="1"/>
  <c r="M129" i="1"/>
  <c r="O128" i="16" s="1"/>
  <c r="U129" i="1"/>
  <c r="W128" i="16" s="1"/>
  <c r="AJ129" i="1"/>
  <c r="Q129" i="1"/>
  <c r="S128" i="16" s="1"/>
  <c r="Y117" i="1"/>
  <c r="AA116" i="16" s="1"/>
  <c r="M117" i="1"/>
  <c r="O116" i="16" s="1"/>
  <c r="AJ117" i="1"/>
  <c r="Q117" i="1"/>
  <c r="S116" i="16" s="1"/>
  <c r="U117" i="1"/>
  <c r="W116" i="16" s="1"/>
  <c r="Y105" i="1"/>
  <c r="AA104" i="16" s="1"/>
  <c r="U105" i="1"/>
  <c r="W104" i="16" s="1"/>
  <c r="AJ105" i="1"/>
  <c r="M105" i="1"/>
  <c r="O104" i="16" s="1"/>
  <c r="Q105" i="1"/>
  <c r="S104" i="16" s="1"/>
  <c r="Y93" i="1"/>
  <c r="AA91" i="16" s="1"/>
  <c r="M93" i="1"/>
  <c r="O91" i="16" s="1"/>
  <c r="U93" i="1"/>
  <c r="W91" i="16" s="1"/>
  <c r="AJ93" i="1"/>
  <c r="Q93" i="1"/>
  <c r="S91" i="16" s="1"/>
  <c r="M81" i="1"/>
  <c r="O61" i="16" s="1"/>
  <c r="U81" i="1"/>
  <c r="W61" i="16" s="1"/>
  <c r="Q81" i="1"/>
  <c r="S61" i="16" s="1"/>
  <c r="AJ81" i="1"/>
  <c r="Y81" i="1"/>
  <c r="AA61" i="16" s="1"/>
  <c r="AJ69" i="1"/>
  <c r="Q69" i="1"/>
  <c r="S82" i="16" s="1"/>
  <c r="Y69" i="1"/>
  <c r="AA82" i="16" s="1"/>
  <c r="U69" i="1"/>
  <c r="W82" i="16" s="1"/>
  <c r="M69" i="1"/>
  <c r="O82" i="16" s="1"/>
  <c r="M57" i="1"/>
  <c r="O53" i="16" s="1"/>
  <c r="AJ57" i="1"/>
  <c r="Y57" i="1"/>
  <c r="AA53" i="16" s="1"/>
  <c r="Q57" i="1"/>
  <c r="S53" i="16" s="1"/>
  <c r="U57" i="1"/>
  <c r="W53" i="16" s="1"/>
  <c r="AJ49" i="1"/>
  <c r="M49" i="1"/>
  <c r="O48" i="16" s="1"/>
  <c r="U49" i="1"/>
  <c r="W48" i="16" s="1"/>
  <c r="Y49" i="1"/>
  <c r="AA48" i="16" s="1"/>
  <c r="Q49" i="1"/>
  <c r="S48" i="16" s="1"/>
  <c r="M44" i="1"/>
  <c r="O43" i="16" s="1"/>
  <c r="U44" i="1"/>
  <c r="W43" i="16" s="1"/>
  <c r="AJ44" i="1"/>
  <c r="Y44" i="1"/>
  <c r="AA43" i="16" s="1"/>
  <c r="Q44" i="1"/>
  <c r="S43" i="16" s="1"/>
  <c r="AJ22" i="1"/>
  <c r="Y22" i="1"/>
  <c r="AA21" i="16" s="1"/>
  <c r="M22" i="1"/>
  <c r="O21" i="16" s="1"/>
  <c r="U22" i="1"/>
  <c r="W21" i="16" s="1"/>
  <c r="Q22" i="1"/>
  <c r="S21" i="16" s="1"/>
  <c r="AJ373" i="1"/>
  <c r="Y373" i="1"/>
  <c r="U373" i="1"/>
  <c r="M373" i="1"/>
  <c r="Q373" i="1"/>
  <c r="Q500" i="1"/>
  <c r="M500" i="1"/>
  <c r="AJ500" i="1"/>
  <c r="U500" i="1"/>
  <c r="Y500" i="1"/>
  <c r="Y488" i="1"/>
  <c r="U488" i="1"/>
  <c r="AJ488" i="1"/>
  <c r="M488" i="1"/>
  <c r="Q488" i="1"/>
  <c r="Y476" i="1"/>
  <c r="U476" i="1"/>
  <c r="AJ476" i="1"/>
  <c r="Q476" i="1"/>
  <c r="M476" i="1"/>
  <c r="U464" i="1"/>
  <c r="AJ464" i="1"/>
  <c r="Y464" i="1"/>
  <c r="M464" i="1"/>
  <c r="Q464" i="1"/>
  <c r="U452" i="1"/>
  <c r="M452" i="1"/>
  <c r="AJ452" i="1"/>
  <c r="Y452" i="1"/>
  <c r="Q452" i="1"/>
  <c r="U440" i="1"/>
  <c r="M440" i="1"/>
  <c r="AJ440" i="1"/>
  <c r="Q440" i="1"/>
  <c r="Y440" i="1"/>
  <c r="AJ428" i="1"/>
  <c r="U428" i="1"/>
  <c r="Q428" i="1"/>
  <c r="M428" i="1"/>
  <c r="Y428" i="1"/>
  <c r="AJ416" i="1"/>
  <c r="U416" i="1"/>
  <c r="Q416" i="1"/>
  <c r="M416" i="1"/>
  <c r="Y416" i="1"/>
  <c r="M404" i="1"/>
  <c r="U404" i="1"/>
  <c r="Q404" i="1"/>
  <c r="Y404" i="1"/>
  <c r="AJ404" i="1"/>
  <c r="U392" i="1"/>
  <c r="Y392" i="1"/>
  <c r="M392" i="1"/>
  <c r="Q392" i="1"/>
  <c r="AJ392" i="1"/>
  <c r="Q380" i="1"/>
  <c r="AJ380" i="1"/>
  <c r="Y380" i="1"/>
  <c r="M380" i="1"/>
  <c r="U380" i="1"/>
  <c r="M368" i="1"/>
  <c r="Q368" i="1"/>
  <c r="Y368" i="1"/>
  <c r="U368" i="1"/>
  <c r="AJ368" i="1"/>
  <c r="AJ356" i="1"/>
  <c r="M356" i="1"/>
  <c r="Q356" i="1"/>
  <c r="U356" i="1"/>
  <c r="Y356" i="1"/>
  <c r="M344" i="1"/>
  <c r="Q344" i="1"/>
  <c r="AJ344" i="1"/>
  <c r="Y344" i="1"/>
  <c r="U344" i="1"/>
  <c r="AJ332" i="1"/>
  <c r="Y332" i="1"/>
  <c r="Q332" i="1"/>
  <c r="M332" i="1"/>
  <c r="U332" i="1"/>
  <c r="Q320" i="1"/>
  <c r="AJ320" i="1"/>
  <c r="M320" i="1"/>
  <c r="Y320" i="1"/>
  <c r="U320" i="1"/>
  <c r="Y308" i="1"/>
  <c r="AJ308" i="1"/>
  <c r="M308" i="1"/>
  <c r="Q308" i="1"/>
  <c r="U308" i="1"/>
  <c r="AJ296" i="1"/>
  <c r="Y296" i="1"/>
  <c r="M296" i="1"/>
  <c r="U296" i="1"/>
  <c r="Q296" i="1"/>
  <c r="M284" i="1"/>
  <c r="AJ284" i="1"/>
  <c r="Y284" i="1"/>
  <c r="Q284" i="1"/>
  <c r="U284" i="1"/>
  <c r="AJ272" i="1"/>
  <c r="M272" i="1"/>
  <c r="Y272" i="1"/>
  <c r="U272" i="1"/>
  <c r="Q272" i="1"/>
  <c r="Y260" i="1"/>
  <c r="M260" i="1"/>
  <c r="AJ260" i="1"/>
  <c r="Q260" i="1"/>
  <c r="U260" i="1"/>
  <c r="Y248" i="1"/>
  <c r="AJ248" i="1"/>
  <c r="U248" i="1"/>
  <c r="Q248" i="1"/>
  <c r="M248" i="1"/>
  <c r="Y236" i="1"/>
  <c r="AJ236" i="1"/>
  <c r="U236" i="1"/>
  <c r="Q236" i="1"/>
  <c r="M236" i="1"/>
  <c r="Q224" i="1"/>
  <c r="U224" i="1"/>
  <c r="Y224" i="1"/>
  <c r="AJ224" i="1"/>
  <c r="M224" i="1"/>
  <c r="U212" i="1"/>
  <c r="Y212" i="1"/>
  <c r="Q212" i="1"/>
  <c r="AJ212" i="1"/>
  <c r="M212" i="1"/>
  <c r="U200" i="1"/>
  <c r="Q200" i="1"/>
  <c r="AJ200" i="1"/>
  <c r="M200" i="1"/>
  <c r="Y200" i="1"/>
  <c r="U188" i="1"/>
  <c r="W187" i="16" s="1"/>
  <c r="AJ188" i="1"/>
  <c r="M188" i="1"/>
  <c r="O187" i="16" s="1"/>
  <c r="Q188" i="1"/>
  <c r="S187" i="16" s="1"/>
  <c r="Y188" i="1"/>
  <c r="AA187" i="16" s="1"/>
  <c r="M176" i="1"/>
  <c r="O175" i="16" s="1"/>
  <c r="U176" i="1"/>
  <c r="W175" i="16" s="1"/>
  <c r="Y176" i="1"/>
  <c r="AA175" i="16" s="1"/>
  <c r="AJ176" i="1"/>
  <c r="Q176" i="1"/>
  <c r="S175" i="16" s="1"/>
  <c r="Y164" i="1"/>
  <c r="AA163" i="16" s="1"/>
  <c r="U164" i="1"/>
  <c r="W163" i="16" s="1"/>
  <c r="Q164" i="1"/>
  <c r="S163" i="16" s="1"/>
  <c r="AJ164" i="1"/>
  <c r="M164" i="1"/>
  <c r="O163" i="16" s="1"/>
  <c r="U152" i="1"/>
  <c r="W142" i="16" s="1"/>
  <c r="Y152" i="1"/>
  <c r="AA142" i="16" s="1"/>
  <c r="M152" i="1"/>
  <c r="O142" i="16" s="1"/>
  <c r="AJ152" i="1"/>
  <c r="Q152" i="1"/>
  <c r="S142" i="16" s="1"/>
  <c r="Y140" i="1"/>
  <c r="AA133" i="16" s="1"/>
  <c r="M140" i="1"/>
  <c r="O133" i="16" s="1"/>
  <c r="AJ140" i="1"/>
  <c r="U140" i="1"/>
  <c r="W133" i="16" s="1"/>
  <c r="Q140" i="1"/>
  <c r="S133" i="16" s="1"/>
  <c r="U128" i="1"/>
  <c r="W144" i="16" s="1"/>
  <c r="Y128" i="1"/>
  <c r="AA144" i="16" s="1"/>
  <c r="AJ128" i="1"/>
  <c r="M128" i="1"/>
  <c r="O144" i="16" s="1"/>
  <c r="Q128" i="1"/>
  <c r="S144" i="16" s="1"/>
  <c r="U116" i="1"/>
  <c r="W115" i="16" s="1"/>
  <c r="Q116" i="1"/>
  <c r="S115" i="16" s="1"/>
  <c r="M116" i="1"/>
  <c r="O115" i="16" s="1"/>
  <c r="Y116" i="1"/>
  <c r="AA115" i="16" s="1"/>
  <c r="AJ116" i="1"/>
  <c r="M104" i="1"/>
  <c r="O103" i="16" s="1"/>
  <c r="Y104" i="1"/>
  <c r="AA103" i="16" s="1"/>
  <c r="U104" i="1"/>
  <c r="W103" i="16" s="1"/>
  <c r="AJ104" i="1"/>
  <c r="Q104" i="1"/>
  <c r="S103" i="16" s="1"/>
  <c r="M92" i="1"/>
  <c r="O71" i="16" s="1"/>
  <c r="Y92" i="1"/>
  <c r="AA71" i="16" s="1"/>
  <c r="Q92" i="1"/>
  <c r="S71" i="16" s="1"/>
  <c r="AJ92" i="1"/>
  <c r="U92" i="1"/>
  <c r="W71" i="16" s="1"/>
  <c r="M80" i="1"/>
  <c r="O60" i="16" s="1"/>
  <c r="AJ80" i="1"/>
  <c r="U80" i="1"/>
  <c r="W60" i="16" s="1"/>
  <c r="Q80" i="1"/>
  <c r="S60" i="16" s="1"/>
  <c r="Y80" i="1"/>
  <c r="AA60" i="16" s="1"/>
  <c r="AJ68" i="1"/>
  <c r="U68" i="1"/>
  <c r="W67" i="16" s="1"/>
  <c r="Q68" i="1"/>
  <c r="S67" i="16" s="1"/>
  <c r="M68" i="1"/>
  <c r="O67" i="16" s="1"/>
  <c r="Y68" i="1"/>
  <c r="AA67" i="16" s="1"/>
  <c r="AJ56" i="1"/>
  <c r="U56" i="1"/>
  <c r="W76" i="16" s="1"/>
  <c r="Y56" i="1"/>
  <c r="AA76" i="16" s="1"/>
  <c r="M56" i="1"/>
  <c r="O76" i="16" s="1"/>
  <c r="Q56" i="1"/>
  <c r="S76" i="16" s="1"/>
  <c r="M48" i="1"/>
  <c r="O47" i="16" s="1"/>
  <c r="AJ48" i="1"/>
  <c r="Q48" i="1"/>
  <c r="S47" i="16" s="1"/>
  <c r="U48" i="1"/>
  <c r="W47" i="16" s="1"/>
  <c r="Y48" i="1"/>
  <c r="AA47" i="16" s="1"/>
  <c r="Y36" i="1"/>
  <c r="AA35" i="16" s="1"/>
  <c r="U36" i="1"/>
  <c r="W35" i="16" s="1"/>
  <c r="AJ36" i="1"/>
  <c r="Q36" i="1"/>
  <c r="S35" i="16" s="1"/>
  <c r="M36" i="1"/>
  <c r="O35" i="16" s="1"/>
  <c r="U13" i="1"/>
  <c r="W12" i="16" s="1"/>
  <c r="Q13" i="1"/>
  <c r="S12" i="16" s="1"/>
  <c r="M13" i="1"/>
  <c r="O12" i="16" s="1"/>
  <c r="AJ13" i="1"/>
  <c r="Y13" i="1"/>
  <c r="AA12" i="16" s="1"/>
  <c r="AJ253" i="1"/>
  <c r="Q253" i="1"/>
  <c r="U253" i="1"/>
  <c r="Y253" i="1"/>
  <c r="M253" i="1"/>
  <c r="AJ499" i="1"/>
  <c r="Q499" i="1"/>
  <c r="U499" i="1"/>
  <c r="Y499" i="1"/>
  <c r="M499" i="1"/>
  <c r="AJ487" i="1"/>
  <c r="U487" i="1"/>
  <c r="Q487" i="1"/>
  <c r="Y487" i="1"/>
  <c r="M487" i="1"/>
  <c r="AJ475" i="1"/>
  <c r="U475" i="1"/>
  <c r="Y475" i="1"/>
  <c r="Q475" i="1"/>
  <c r="M475" i="1"/>
  <c r="Y463" i="1"/>
  <c r="AJ463" i="1"/>
  <c r="U463" i="1"/>
  <c r="M463" i="1"/>
  <c r="Q463" i="1"/>
  <c r="Q451" i="1"/>
  <c r="Y451" i="1"/>
  <c r="M451" i="1"/>
  <c r="AJ451" i="1"/>
  <c r="U451" i="1"/>
  <c r="AJ439" i="1"/>
  <c r="Q439" i="1"/>
  <c r="M439" i="1"/>
  <c r="Y439" i="1"/>
  <c r="U439" i="1"/>
  <c r="M427" i="1"/>
  <c r="U427" i="1"/>
  <c r="AJ427" i="1"/>
  <c r="Y427" i="1"/>
  <c r="Q427" i="1"/>
  <c r="M415" i="1"/>
  <c r="AJ415" i="1"/>
  <c r="Q415" i="1"/>
  <c r="Y415" i="1"/>
  <c r="U415" i="1"/>
  <c r="M403" i="1"/>
  <c r="Q403" i="1"/>
  <c r="Y403" i="1"/>
  <c r="AJ403" i="1"/>
  <c r="U403" i="1"/>
  <c r="Y391" i="1"/>
  <c r="AJ391" i="1"/>
  <c r="U391" i="1"/>
  <c r="M391" i="1"/>
  <c r="Q391" i="1"/>
  <c r="Y379" i="1"/>
  <c r="AJ379" i="1"/>
  <c r="M379" i="1"/>
  <c r="Q379" i="1"/>
  <c r="U379" i="1"/>
  <c r="Q367" i="1"/>
  <c r="M367" i="1"/>
  <c r="U367" i="1"/>
  <c r="AJ367" i="1"/>
  <c r="Y367" i="1"/>
  <c r="Q355" i="1"/>
  <c r="AJ355" i="1"/>
  <c r="Y355" i="1"/>
  <c r="U355" i="1"/>
  <c r="M355" i="1"/>
  <c r="AJ343" i="1"/>
  <c r="M343" i="1"/>
  <c r="U343" i="1"/>
  <c r="Q343" i="1"/>
  <c r="Y343" i="1"/>
  <c r="AJ331" i="1"/>
  <c r="U331" i="1"/>
  <c r="M331" i="1"/>
  <c r="Q331" i="1"/>
  <c r="Y331" i="1"/>
  <c r="AJ319" i="1"/>
  <c r="Q319" i="1"/>
  <c r="M319" i="1"/>
  <c r="Y319" i="1"/>
  <c r="U319" i="1"/>
  <c r="Y307" i="1"/>
  <c r="AJ307" i="1"/>
  <c r="M307" i="1"/>
  <c r="Q307" i="1"/>
  <c r="U307" i="1"/>
  <c r="Q295" i="1"/>
  <c r="AJ295" i="1"/>
  <c r="Y295" i="1"/>
  <c r="M295" i="1"/>
  <c r="U295" i="1"/>
  <c r="AJ283" i="1"/>
  <c r="U283" i="1"/>
  <c r="M283" i="1"/>
  <c r="Q283" i="1"/>
  <c r="Y283" i="1"/>
  <c r="AJ271" i="1"/>
  <c r="Q271" i="1"/>
  <c r="Y271" i="1"/>
  <c r="U271" i="1"/>
  <c r="M271" i="1"/>
  <c r="AJ259" i="1"/>
  <c r="Q259" i="1"/>
  <c r="U259" i="1"/>
  <c r="M259" i="1"/>
  <c r="Y259" i="1"/>
  <c r="Q247" i="1"/>
  <c r="Y247" i="1"/>
  <c r="AJ247" i="1"/>
  <c r="M247" i="1"/>
  <c r="U247" i="1"/>
  <c r="AJ235" i="1"/>
  <c r="M235" i="1"/>
  <c r="Y235" i="1"/>
  <c r="Q235" i="1"/>
  <c r="U235" i="1"/>
  <c r="U223" i="1"/>
  <c r="Y223" i="1"/>
  <c r="M223" i="1"/>
  <c r="AJ223" i="1"/>
  <c r="Q223" i="1"/>
  <c r="U211" i="1"/>
  <c r="M211" i="1"/>
  <c r="Y211" i="1"/>
  <c r="AJ211" i="1"/>
  <c r="Q211" i="1"/>
  <c r="AJ199" i="1"/>
  <c r="M199" i="1"/>
  <c r="Q199" i="1"/>
  <c r="Y199" i="1"/>
  <c r="U199" i="1"/>
  <c r="AJ187" i="1"/>
  <c r="U187" i="1"/>
  <c r="W186" i="16" s="1"/>
  <c r="Q187" i="1"/>
  <c r="S186" i="16" s="1"/>
  <c r="Y187" i="1"/>
  <c r="AA186" i="16" s="1"/>
  <c r="M187" i="1"/>
  <c r="O186" i="16" s="1"/>
  <c r="AJ175" i="1"/>
  <c r="Q175" i="1"/>
  <c r="S174" i="16" s="1"/>
  <c r="U175" i="1"/>
  <c r="W174" i="16" s="1"/>
  <c r="Y175" i="1"/>
  <c r="AA174" i="16" s="1"/>
  <c r="M175" i="1"/>
  <c r="O174" i="16" s="1"/>
  <c r="AJ163" i="1"/>
  <c r="Q163" i="1"/>
  <c r="S162" i="16" s="1"/>
  <c r="U163" i="1"/>
  <c r="W162" i="16" s="1"/>
  <c r="M163" i="1"/>
  <c r="O162" i="16" s="1"/>
  <c r="Y163" i="1"/>
  <c r="AA162" i="16" s="1"/>
  <c r="AJ151" i="1"/>
  <c r="Q151" i="1"/>
  <c r="S152" i="16" s="1"/>
  <c r="U151" i="1"/>
  <c r="W152" i="16" s="1"/>
  <c r="Y151" i="1"/>
  <c r="AA152" i="16" s="1"/>
  <c r="M151" i="1"/>
  <c r="O152" i="16" s="1"/>
  <c r="AJ139" i="1"/>
  <c r="Q139" i="1"/>
  <c r="S132" i="16" s="1"/>
  <c r="M139" i="1"/>
  <c r="O132" i="16" s="1"/>
  <c r="U139" i="1"/>
  <c r="W132" i="16" s="1"/>
  <c r="Y139" i="1"/>
  <c r="AA132" i="16" s="1"/>
  <c r="AJ127" i="1"/>
  <c r="Q127" i="1"/>
  <c r="S127" i="16" s="1"/>
  <c r="M127" i="1"/>
  <c r="O127" i="16" s="1"/>
  <c r="U127" i="1"/>
  <c r="W127" i="16" s="1"/>
  <c r="Y127" i="1"/>
  <c r="AA127" i="16" s="1"/>
  <c r="AJ115" i="1"/>
  <c r="Q115" i="1"/>
  <c r="S114" i="16" s="1"/>
  <c r="U115" i="1"/>
  <c r="W114" i="16" s="1"/>
  <c r="Y115" i="1"/>
  <c r="AA114" i="16" s="1"/>
  <c r="M115" i="1"/>
  <c r="O114" i="16" s="1"/>
  <c r="Q103" i="1"/>
  <c r="S102" i="16" s="1"/>
  <c r="AJ103" i="1"/>
  <c r="Y103" i="1"/>
  <c r="AA102" i="16" s="1"/>
  <c r="M103" i="1"/>
  <c r="O102" i="16" s="1"/>
  <c r="U103" i="1"/>
  <c r="W102" i="16" s="1"/>
  <c r="Q91" i="1"/>
  <c r="S88" i="16" s="1"/>
  <c r="AJ91" i="1"/>
  <c r="U91" i="1"/>
  <c r="W88" i="16" s="1"/>
  <c r="Y91" i="1"/>
  <c r="AA88" i="16" s="1"/>
  <c r="M91" i="1"/>
  <c r="O88" i="16" s="1"/>
  <c r="Y79" i="1"/>
  <c r="AA94" i="16" s="1"/>
  <c r="Q79" i="1"/>
  <c r="S94" i="16" s="1"/>
  <c r="M79" i="1"/>
  <c r="O94" i="16" s="1"/>
  <c r="AJ79" i="1"/>
  <c r="U79" i="1"/>
  <c r="W94" i="16" s="1"/>
  <c r="Y67" i="1"/>
  <c r="AA81" i="16" s="1"/>
  <c r="Q67" i="1"/>
  <c r="S81" i="16" s="1"/>
  <c r="AJ67" i="1"/>
  <c r="U67" i="1"/>
  <c r="W81" i="16" s="1"/>
  <c r="M67" i="1"/>
  <c r="O81" i="16" s="1"/>
  <c r="Y55" i="1"/>
  <c r="AA74" i="16" s="1"/>
  <c r="U55" i="1"/>
  <c r="W74" i="16" s="1"/>
  <c r="AJ55" i="1"/>
  <c r="Q55" i="1"/>
  <c r="S74" i="16" s="1"/>
  <c r="M55" i="1"/>
  <c r="O74" i="16" s="1"/>
  <c r="AJ32" i="1"/>
  <c r="Y32" i="1"/>
  <c r="AA31" i="16" s="1"/>
  <c r="M32" i="1"/>
  <c r="O31" i="16" s="1"/>
  <c r="Q32" i="1"/>
  <c r="S31" i="16" s="1"/>
  <c r="U32" i="1"/>
  <c r="W31" i="16" s="1"/>
  <c r="AJ34" i="1"/>
  <c r="Q34" i="1"/>
  <c r="S33" i="16" s="1"/>
  <c r="M34" i="1"/>
  <c r="O33" i="16" s="1"/>
  <c r="U34" i="1"/>
  <c r="W33" i="16" s="1"/>
  <c r="Y34" i="1"/>
  <c r="AA33" i="16" s="1"/>
  <c r="M12" i="1"/>
  <c r="O11" i="16" s="1"/>
  <c r="U12" i="1"/>
  <c r="W11" i="16" s="1"/>
  <c r="AJ12" i="1"/>
  <c r="Y12" i="1"/>
  <c r="AA11" i="16" s="1"/>
  <c r="Q12" i="1"/>
  <c r="S11" i="16" s="1"/>
  <c r="AJ498" i="1"/>
  <c r="U498" i="1"/>
  <c r="Y498" i="1"/>
  <c r="Q498" i="1"/>
  <c r="M498" i="1"/>
  <c r="M486" i="1"/>
  <c r="AJ486" i="1"/>
  <c r="Q486" i="1"/>
  <c r="U486" i="1"/>
  <c r="Y486" i="1"/>
  <c r="AJ474" i="1"/>
  <c r="Q474" i="1"/>
  <c r="Y474" i="1"/>
  <c r="M474" i="1"/>
  <c r="U474" i="1"/>
  <c r="Q462" i="1"/>
  <c r="AJ462" i="1"/>
  <c r="Y462" i="1"/>
  <c r="M462" i="1"/>
  <c r="U462" i="1"/>
  <c r="Q450" i="1"/>
  <c r="AJ450" i="1"/>
  <c r="Y450" i="1"/>
  <c r="M450" i="1"/>
  <c r="U450" i="1"/>
  <c r="AJ438" i="1"/>
  <c r="U438" i="1"/>
  <c r="Q438" i="1"/>
  <c r="Y438" i="1"/>
  <c r="M438" i="1"/>
  <c r="Y426" i="1"/>
  <c r="AJ426" i="1"/>
  <c r="Q426" i="1"/>
  <c r="U426" i="1"/>
  <c r="M426" i="1"/>
  <c r="M414" i="1"/>
  <c r="AJ414" i="1"/>
  <c r="Q414" i="1"/>
  <c r="Y414" i="1"/>
  <c r="U414" i="1"/>
  <c r="M402" i="1"/>
  <c r="Y402" i="1"/>
  <c r="U402" i="1"/>
  <c r="AJ402" i="1"/>
  <c r="Q402" i="1"/>
  <c r="Y390" i="1"/>
  <c r="Q390" i="1"/>
  <c r="M390" i="1"/>
  <c r="U390" i="1"/>
  <c r="AJ390" i="1"/>
  <c r="Q378" i="1"/>
  <c r="U378" i="1"/>
  <c r="Y378" i="1"/>
  <c r="AJ378" i="1"/>
  <c r="M378" i="1"/>
  <c r="AJ366" i="1"/>
  <c r="U366" i="1"/>
  <c r="Y366" i="1"/>
  <c r="M366" i="1"/>
  <c r="Q366" i="1"/>
  <c r="M354" i="1"/>
  <c r="Y354" i="1"/>
  <c r="U354" i="1"/>
  <c r="AJ354" i="1"/>
  <c r="Q354" i="1"/>
  <c r="AJ342" i="1"/>
  <c r="M342" i="1"/>
  <c r="Y342" i="1"/>
  <c r="Q342" i="1"/>
  <c r="U342" i="1"/>
  <c r="AJ330" i="1"/>
  <c r="Q330" i="1"/>
  <c r="M330" i="1"/>
  <c r="Y330" i="1"/>
  <c r="U330" i="1"/>
  <c r="Q318" i="1"/>
  <c r="Y318" i="1"/>
  <c r="M318" i="1"/>
  <c r="AJ318" i="1"/>
  <c r="U318" i="1"/>
  <c r="Y306" i="1"/>
  <c r="Q306" i="1"/>
  <c r="M306" i="1"/>
  <c r="AJ306" i="1"/>
  <c r="U306" i="1"/>
  <c r="M294" i="1"/>
  <c r="AJ294" i="1"/>
  <c r="U294" i="1"/>
  <c r="Y294" i="1"/>
  <c r="Q294" i="1"/>
  <c r="AJ282" i="1"/>
  <c r="M282" i="1"/>
  <c r="Q282" i="1"/>
  <c r="Y282" i="1"/>
  <c r="U282" i="1"/>
  <c r="Y270" i="1"/>
  <c r="U270" i="1"/>
  <c r="AJ270" i="1"/>
  <c r="Q270" i="1"/>
  <c r="M270" i="1"/>
  <c r="U258" i="1"/>
  <c r="M258" i="1"/>
  <c r="Y258" i="1"/>
  <c r="Q258" i="1"/>
  <c r="AJ258" i="1"/>
  <c r="M246" i="1"/>
  <c r="Q246" i="1"/>
  <c r="U246" i="1"/>
  <c r="AJ246" i="1"/>
  <c r="Y246" i="1"/>
  <c r="AJ234" i="1"/>
  <c r="M234" i="1"/>
  <c r="U234" i="1"/>
  <c r="Y234" i="1"/>
  <c r="Q234" i="1"/>
  <c r="M222" i="1"/>
  <c r="U222" i="1"/>
  <c r="AJ222" i="1"/>
  <c r="Q222" i="1"/>
  <c r="Y222" i="1"/>
  <c r="AJ210" i="1"/>
  <c r="U210" i="1"/>
  <c r="Y210" i="1"/>
  <c r="Q210" i="1"/>
  <c r="M210" i="1"/>
  <c r="U198" i="1"/>
  <c r="AJ198" i="1"/>
  <c r="Y198" i="1"/>
  <c r="Q198" i="1"/>
  <c r="M198" i="1"/>
  <c r="M186" i="1"/>
  <c r="O185" i="16" s="1"/>
  <c r="Y186" i="1"/>
  <c r="AA185" i="16" s="1"/>
  <c r="AJ186" i="1"/>
  <c r="U186" i="1"/>
  <c r="W185" i="16" s="1"/>
  <c r="Q186" i="1"/>
  <c r="S185" i="16" s="1"/>
  <c r="Q174" i="1"/>
  <c r="S173" i="16" s="1"/>
  <c r="Y174" i="1"/>
  <c r="AA173" i="16" s="1"/>
  <c r="M174" i="1"/>
  <c r="O173" i="16" s="1"/>
  <c r="U174" i="1"/>
  <c r="W173" i="16" s="1"/>
  <c r="AJ174" i="1"/>
  <c r="M162" i="1"/>
  <c r="O161" i="16" s="1"/>
  <c r="Y162" i="1"/>
  <c r="AA161" i="16" s="1"/>
  <c r="AJ162" i="1"/>
  <c r="U162" i="1"/>
  <c r="W161" i="16" s="1"/>
  <c r="Q162" i="1"/>
  <c r="S161" i="16" s="1"/>
  <c r="Q150" i="1"/>
  <c r="S141" i="16" s="1"/>
  <c r="Y150" i="1"/>
  <c r="AA141" i="16" s="1"/>
  <c r="U150" i="1"/>
  <c r="W141" i="16" s="1"/>
  <c r="M150" i="1"/>
  <c r="O141" i="16" s="1"/>
  <c r="AJ150" i="1"/>
  <c r="M138" i="1"/>
  <c r="O149" i="16" s="1"/>
  <c r="U138" i="1"/>
  <c r="W149" i="16" s="1"/>
  <c r="AJ138" i="1"/>
  <c r="Q138" i="1"/>
  <c r="S149" i="16" s="1"/>
  <c r="Y138" i="1"/>
  <c r="AA149" i="16" s="1"/>
  <c r="M126" i="1"/>
  <c r="O143" i="16" s="1"/>
  <c r="AJ126" i="1"/>
  <c r="U126" i="1"/>
  <c r="W143" i="16" s="1"/>
  <c r="Q126" i="1"/>
  <c r="S143" i="16" s="1"/>
  <c r="Y126" i="1"/>
  <c r="AA143" i="16" s="1"/>
  <c r="AJ114" i="1"/>
  <c r="U114" i="1"/>
  <c r="W113" i="16" s="1"/>
  <c r="Y114" i="1"/>
  <c r="AA113" i="16" s="1"/>
  <c r="M114" i="1"/>
  <c r="O113" i="16" s="1"/>
  <c r="Q114" i="1"/>
  <c r="S113" i="16" s="1"/>
  <c r="M102" i="1"/>
  <c r="O101" i="16" s="1"/>
  <c r="AJ102" i="1"/>
  <c r="U102" i="1"/>
  <c r="W101" i="16" s="1"/>
  <c r="Q102" i="1"/>
  <c r="S101" i="16" s="1"/>
  <c r="Y102" i="1"/>
  <c r="AA101" i="16" s="1"/>
  <c r="Q90" i="1"/>
  <c r="S70" i="16" s="1"/>
  <c r="U90" i="1"/>
  <c r="W70" i="16" s="1"/>
  <c r="Y90" i="1"/>
  <c r="AA70" i="16" s="1"/>
  <c r="AJ90" i="1"/>
  <c r="M90" i="1"/>
  <c r="O70" i="16" s="1"/>
  <c r="AJ78" i="1"/>
  <c r="Y78" i="1"/>
  <c r="AA59" i="16" s="1"/>
  <c r="M78" i="1"/>
  <c r="O59" i="16" s="1"/>
  <c r="Q78" i="1"/>
  <c r="S59" i="16" s="1"/>
  <c r="U78" i="1"/>
  <c r="W59" i="16" s="1"/>
  <c r="U66" i="1"/>
  <c r="W66" i="16" s="1"/>
  <c r="M66" i="1"/>
  <c r="O66" i="16" s="1"/>
  <c r="Q66" i="1"/>
  <c r="S66" i="16" s="1"/>
  <c r="AJ66" i="1"/>
  <c r="Y66" i="1"/>
  <c r="AA66" i="16" s="1"/>
  <c r="M54" i="1"/>
  <c r="O52" i="16" s="1"/>
  <c r="AJ54" i="1"/>
  <c r="Y54" i="1"/>
  <c r="AA52" i="16" s="1"/>
  <c r="U54" i="1"/>
  <c r="W52" i="16" s="1"/>
  <c r="Q54" i="1"/>
  <c r="S52" i="16" s="1"/>
  <c r="Q47" i="1"/>
  <c r="S46" i="16" s="1"/>
  <c r="AJ47" i="1"/>
  <c r="M47" i="1"/>
  <c r="O46" i="16" s="1"/>
  <c r="U47" i="1"/>
  <c r="W46" i="16" s="1"/>
  <c r="Y47" i="1"/>
  <c r="AA46" i="16" s="1"/>
  <c r="M30" i="1"/>
  <c r="O29" i="16" s="1"/>
  <c r="U30" i="1"/>
  <c r="W29" i="16" s="1"/>
  <c r="AJ30" i="1"/>
  <c r="Y30" i="1"/>
  <c r="AA29" i="16" s="1"/>
  <c r="Q30" i="1"/>
  <c r="S29" i="16" s="1"/>
  <c r="Q20" i="1"/>
  <c r="S19" i="16" s="1"/>
  <c r="AJ20" i="1"/>
  <c r="Y20" i="1"/>
  <c r="AA19" i="16" s="1"/>
  <c r="M20" i="1"/>
  <c r="O19" i="16" s="1"/>
  <c r="U20" i="1"/>
  <c r="W19" i="16" s="1"/>
  <c r="Y497" i="1"/>
  <c r="AJ497" i="1"/>
  <c r="M497" i="1"/>
  <c r="U497" i="1"/>
  <c r="Q497" i="1"/>
  <c r="U485" i="1"/>
  <c r="M485" i="1"/>
  <c r="AJ485" i="1"/>
  <c r="Q485" i="1"/>
  <c r="Y485" i="1"/>
  <c r="U473" i="1"/>
  <c r="Y473" i="1"/>
  <c r="AJ473" i="1"/>
  <c r="Q473" i="1"/>
  <c r="M473" i="1"/>
  <c r="Y461" i="1"/>
  <c r="U461" i="1"/>
  <c r="AJ461" i="1"/>
  <c r="M461" i="1"/>
  <c r="Q461" i="1"/>
  <c r="U449" i="1"/>
  <c r="AJ449" i="1"/>
  <c r="Y449" i="1"/>
  <c r="Q449" i="1"/>
  <c r="M449" i="1"/>
  <c r="AJ437" i="1"/>
  <c r="Y437" i="1"/>
  <c r="U437" i="1"/>
  <c r="Q437" i="1"/>
  <c r="M437" i="1"/>
  <c r="AJ425" i="1"/>
  <c r="Q425" i="1"/>
  <c r="M425" i="1"/>
  <c r="U425" i="1"/>
  <c r="Y425" i="1"/>
  <c r="AJ413" i="1"/>
  <c r="Q413" i="1"/>
  <c r="Y413" i="1"/>
  <c r="M413" i="1"/>
  <c r="U413" i="1"/>
  <c r="AJ401" i="1"/>
  <c r="Q401" i="1"/>
  <c r="M401" i="1"/>
  <c r="U401" i="1"/>
  <c r="Y401" i="1"/>
  <c r="AJ389" i="1"/>
  <c r="Q389" i="1"/>
  <c r="U389" i="1"/>
  <c r="M389" i="1"/>
  <c r="Y389" i="1"/>
  <c r="AJ377" i="1"/>
  <c r="U377" i="1"/>
  <c r="M377" i="1"/>
  <c r="Q377" i="1"/>
  <c r="Y377" i="1"/>
  <c r="M365" i="1"/>
  <c r="U365" i="1"/>
  <c r="Y365" i="1"/>
  <c r="AJ365" i="1"/>
  <c r="Q365" i="1"/>
  <c r="U353" i="1"/>
  <c r="M353" i="1"/>
  <c r="AJ353" i="1"/>
  <c r="Q353" i="1"/>
  <c r="Y353" i="1"/>
  <c r="Y341" i="1"/>
  <c r="U341" i="1"/>
  <c r="AJ341" i="1"/>
  <c r="M341" i="1"/>
  <c r="Q341" i="1"/>
  <c r="U329" i="1"/>
  <c r="Y329" i="1"/>
  <c r="M329" i="1"/>
  <c r="AJ329" i="1"/>
  <c r="Q329" i="1"/>
  <c r="M317" i="1"/>
  <c r="Y317" i="1"/>
  <c r="AJ317" i="1"/>
  <c r="Q317" i="1"/>
  <c r="U317" i="1"/>
  <c r="M305" i="1"/>
  <c r="Y305" i="1"/>
  <c r="AJ305" i="1"/>
  <c r="Q305" i="1"/>
  <c r="U305" i="1"/>
  <c r="Q293" i="1"/>
  <c r="AJ293" i="1"/>
  <c r="M293" i="1"/>
  <c r="Y293" i="1"/>
  <c r="U293" i="1"/>
  <c r="Y281" i="1"/>
  <c r="M281" i="1"/>
  <c r="AJ281" i="1"/>
  <c r="Q281" i="1"/>
  <c r="U281" i="1"/>
  <c r="Q269" i="1"/>
  <c r="U269" i="1"/>
  <c r="AJ269" i="1"/>
  <c r="M269" i="1"/>
  <c r="Y269" i="1"/>
  <c r="M257" i="1"/>
  <c r="U257" i="1"/>
  <c r="Y257" i="1"/>
  <c r="AJ257" i="1"/>
  <c r="Q257" i="1"/>
  <c r="Y245" i="1"/>
  <c r="AJ245" i="1"/>
  <c r="Q245" i="1"/>
  <c r="U245" i="1"/>
  <c r="M245" i="1"/>
  <c r="Y233" i="1"/>
  <c r="Q233" i="1"/>
  <c r="M233" i="1"/>
  <c r="AJ233" i="1"/>
  <c r="U233" i="1"/>
  <c r="AJ221" i="1"/>
  <c r="Q221" i="1"/>
  <c r="M221" i="1"/>
  <c r="U221" i="1"/>
  <c r="Y221" i="1"/>
  <c r="M209" i="1"/>
  <c r="Q209" i="1"/>
  <c r="AJ209" i="1"/>
  <c r="Y209" i="1"/>
  <c r="U209" i="1"/>
  <c r="Y197" i="1"/>
  <c r="AJ197" i="1"/>
  <c r="Q197" i="1"/>
  <c r="M197" i="1"/>
  <c r="U197" i="1"/>
  <c r="AJ185" i="1"/>
  <c r="Q185" i="1"/>
  <c r="S184" i="16" s="1"/>
  <c r="Y185" i="1"/>
  <c r="AA184" i="16" s="1"/>
  <c r="M185" i="1"/>
  <c r="O184" i="16" s="1"/>
  <c r="U185" i="1"/>
  <c r="W184" i="16" s="1"/>
  <c r="AJ173" i="1"/>
  <c r="Q173" i="1"/>
  <c r="S172" i="16" s="1"/>
  <c r="M173" i="1"/>
  <c r="O172" i="16" s="1"/>
  <c r="Y173" i="1"/>
  <c r="AA172" i="16" s="1"/>
  <c r="U173" i="1"/>
  <c r="W172" i="16" s="1"/>
  <c r="Q161" i="1"/>
  <c r="S160" i="16" s="1"/>
  <c r="AJ161" i="1"/>
  <c r="Y161" i="1"/>
  <c r="AA160" i="16" s="1"/>
  <c r="U161" i="1"/>
  <c r="W160" i="16" s="1"/>
  <c r="M161" i="1"/>
  <c r="O160" i="16" s="1"/>
  <c r="Q149" i="1"/>
  <c r="S151" i="16" s="1"/>
  <c r="AJ149" i="1"/>
  <c r="Y149" i="1"/>
  <c r="AA151" i="16" s="1"/>
  <c r="U149" i="1"/>
  <c r="W151" i="16" s="1"/>
  <c r="M149" i="1"/>
  <c r="O151" i="16" s="1"/>
  <c r="Q137" i="1"/>
  <c r="S148" i="16" s="1"/>
  <c r="AJ137" i="1"/>
  <c r="M137" i="1"/>
  <c r="O148" i="16" s="1"/>
  <c r="U137" i="1"/>
  <c r="W148" i="16" s="1"/>
  <c r="Y137" i="1"/>
  <c r="AA148" i="16" s="1"/>
  <c r="AJ125" i="1"/>
  <c r="Q125" i="1"/>
  <c r="S126" i="16" s="1"/>
  <c r="U125" i="1"/>
  <c r="W126" i="16" s="1"/>
  <c r="M125" i="1"/>
  <c r="O126" i="16" s="1"/>
  <c r="Y125" i="1"/>
  <c r="AA126" i="16" s="1"/>
  <c r="AJ113" i="1"/>
  <c r="Q113" i="1"/>
  <c r="S112" i="16" s="1"/>
  <c r="U113" i="1"/>
  <c r="W112" i="16" s="1"/>
  <c r="M113" i="1"/>
  <c r="O112" i="16" s="1"/>
  <c r="Y113" i="1"/>
  <c r="AA112" i="16" s="1"/>
  <c r="Q101" i="1"/>
  <c r="S100" i="16" s="1"/>
  <c r="AJ101" i="1"/>
  <c r="U101" i="1"/>
  <c r="W100" i="16" s="1"/>
  <c r="Y101" i="1"/>
  <c r="AA100" i="16" s="1"/>
  <c r="M101" i="1"/>
  <c r="O100" i="16" s="1"/>
  <c r="Q89" i="1"/>
  <c r="S64" i="16" s="1"/>
  <c r="AJ89" i="1"/>
  <c r="M89" i="1"/>
  <c r="O64" i="16" s="1"/>
  <c r="Y89" i="1"/>
  <c r="AA64" i="16" s="1"/>
  <c r="U89" i="1"/>
  <c r="W64" i="16" s="1"/>
  <c r="AJ77" i="1"/>
  <c r="M77" i="1"/>
  <c r="O89" i="16" s="1"/>
  <c r="Y77" i="1"/>
  <c r="AA89" i="16" s="1"/>
  <c r="Q77" i="1"/>
  <c r="S89" i="16" s="1"/>
  <c r="U77" i="1"/>
  <c r="W89" i="16" s="1"/>
  <c r="M65" i="1"/>
  <c r="O80" i="16" s="1"/>
  <c r="U65" i="1"/>
  <c r="W80" i="16" s="1"/>
  <c r="AJ65" i="1"/>
  <c r="Q65" i="1"/>
  <c r="S80" i="16" s="1"/>
  <c r="Y65" i="1"/>
  <c r="AA80" i="16" s="1"/>
  <c r="U53" i="1"/>
  <c r="W96" i="16" s="1"/>
  <c r="AJ53" i="1"/>
  <c r="Y53" i="1"/>
  <c r="AA96" i="16" s="1"/>
  <c r="M53" i="1"/>
  <c r="O96" i="16" s="1"/>
  <c r="Q53" i="1"/>
  <c r="S96" i="16" s="1"/>
  <c r="AJ42" i="1"/>
  <c r="Q42" i="1"/>
  <c r="S41" i="16" s="1"/>
  <c r="M42" i="1"/>
  <c r="O41" i="16" s="1"/>
  <c r="Y42" i="1"/>
  <c r="AA41" i="16" s="1"/>
  <c r="U42" i="1"/>
  <c r="W41" i="16" s="1"/>
  <c r="Q28" i="1"/>
  <c r="S27" i="16" s="1"/>
  <c r="AJ28" i="1"/>
  <c r="U28" i="1"/>
  <c r="W27" i="16" s="1"/>
  <c r="M28" i="1"/>
  <c r="O27" i="16" s="1"/>
  <c r="Y28" i="1"/>
  <c r="AA27" i="16" s="1"/>
  <c r="AJ16" i="1"/>
  <c r="Y16" i="1"/>
  <c r="AA15" i="16" s="1"/>
  <c r="Q16" i="1"/>
  <c r="S15" i="16" s="1"/>
  <c r="M16" i="1"/>
  <c r="O15" i="16" s="1"/>
  <c r="U16" i="1"/>
  <c r="W15" i="16" s="1"/>
  <c r="Q496" i="1"/>
  <c r="M496" i="1"/>
  <c r="AJ496" i="1"/>
  <c r="Y496" i="1"/>
  <c r="U496" i="1"/>
  <c r="M484" i="1"/>
  <c r="Y484" i="1"/>
  <c r="U484" i="1"/>
  <c r="AJ484" i="1"/>
  <c r="Q484" i="1"/>
  <c r="M472" i="1"/>
  <c r="AJ472" i="1"/>
  <c r="Y472" i="1"/>
  <c r="Q472" i="1"/>
  <c r="U472" i="1"/>
  <c r="Q460" i="1"/>
  <c r="M460" i="1"/>
  <c r="Y460" i="1"/>
  <c r="U460" i="1"/>
  <c r="AJ460" i="1"/>
  <c r="AJ448" i="1"/>
  <c r="M448" i="1"/>
  <c r="Y448" i="1"/>
  <c r="Q448" i="1"/>
  <c r="U448" i="1"/>
  <c r="Y436" i="1"/>
  <c r="Q436" i="1"/>
  <c r="M436" i="1"/>
  <c r="U436" i="1"/>
  <c r="AJ436" i="1"/>
  <c r="AJ424" i="1"/>
  <c r="Q424" i="1"/>
  <c r="M424" i="1"/>
  <c r="U424" i="1"/>
  <c r="Y424" i="1"/>
  <c r="Q412" i="1"/>
  <c r="Y412" i="1"/>
  <c r="AJ412" i="1"/>
  <c r="U412" i="1"/>
  <c r="M412" i="1"/>
  <c r="Q400" i="1"/>
  <c r="U400" i="1"/>
  <c r="Y400" i="1"/>
  <c r="AJ400" i="1"/>
  <c r="M400" i="1"/>
  <c r="Q388" i="1"/>
  <c r="U388" i="1"/>
  <c r="Y388" i="1"/>
  <c r="AJ388" i="1"/>
  <c r="M388" i="1"/>
  <c r="U376" i="1"/>
  <c r="Q376" i="1"/>
  <c r="AJ376" i="1"/>
  <c r="M376" i="1"/>
  <c r="Y376" i="1"/>
  <c r="AJ364" i="1"/>
  <c r="U364" i="1"/>
  <c r="Q364" i="1"/>
  <c r="Y364" i="1"/>
  <c r="M364" i="1"/>
  <c r="Q352" i="1"/>
  <c r="U352" i="1"/>
  <c r="AJ352" i="1"/>
  <c r="M352" i="1"/>
  <c r="Y352" i="1"/>
  <c r="U340" i="1"/>
  <c r="AJ340" i="1"/>
  <c r="Q340" i="1"/>
  <c r="Y340" i="1"/>
  <c r="M340" i="1"/>
  <c r="U328" i="1"/>
  <c r="AJ328" i="1"/>
  <c r="Q328" i="1"/>
  <c r="Y328" i="1"/>
  <c r="M328" i="1"/>
  <c r="Q316" i="1"/>
  <c r="AJ316" i="1"/>
  <c r="Y316" i="1"/>
  <c r="M316" i="1"/>
  <c r="U316" i="1"/>
  <c r="AJ304" i="1"/>
  <c r="Q304" i="1"/>
  <c r="U304" i="1"/>
  <c r="M304" i="1"/>
  <c r="Y304" i="1"/>
  <c r="AJ292" i="1"/>
  <c r="M292" i="1"/>
  <c r="Y292" i="1"/>
  <c r="U292" i="1"/>
  <c r="Q292" i="1"/>
  <c r="U280" i="1"/>
  <c r="AJ280" i="1"/>
  <c r="Y280" i="1"/>
  <c r="Q280" i="1"/>
  <c r="M280" i="1"/>
  <c r="Q268" i="1"/>
  <c r="U268" i="1"/>
  <c r="AJ268" i="1"/>
  <c r="Y268" i="1"/>
  <c r="M268" i="1"/>
  <c r="Q256" i="1"/>
  <c r="U256" i="1"/>
  <c r="AJ256" i="1"/>
  <c r="M256" i="1"/>
  <c r="Y256" i="1"/>
  <c r="Y244" i="1"/>
  <c r="M244" i="1"/>
  <c r="AJ244" i="1"/>
  <c r="Q244" i="1"/>
  <c r="U244" i="1"/>
  <c r="Y232" i="1"/>
  <c r="AJ232" i="1"/>
  <c r="Q232" i="1"/>
  <c r="U232" i="1"/>
  <c r="M232" i="1"/>
  <c r="AJ220" i="1"/>
  <c r="Q220" i="1"/>
  <c r="Y220" i="1"/>
  <c r="M220" i="1"/>
  <c r="U220" i="1"/>
  <c r="M208" i="1"/>
  <c r="AJ208" i="1"/>
  <c r="U208" i="1"/>
  <c r="Q208" i="1"/>
  <c r="Y208" i="1"/>
  <c r="AJ196" i="1"/>
  <c r="Q196" i="1"/>
  <c r="Y196" i="1"/>
  <c r="M196" i="1"/>
  <c r="U196" i="1"/>
  <c r="Y184" i="1"/>
  <c r="AA183" i="16" s="1"/>
  <c r="M184" i="1"/>
  <c r="O183" i="16" s="1"/>
  <c r="U184" i="1"/>
  <c r="W183" i="16" s="1"/>
  <c r="AJ184" i="1"/>
  <c r="Q184" i="1"/>
  <c r="S183" i="16" s="1"/>
  <c r="Y172" i="1"/>
  <c r="AA171" i="16" s="1"/>
  <c r="AJ172" i="1"/>
  <c r="M172" i="1"/>
  <c r="O171" i="16" s="1"/>
  <c r="U172" i="1"/>
  <c r="W171" i="16" s="1"/>
  <c r="Q172" i="1"/>
  <c r="S171" i="16" s="1"/>
  <c r="Y160" i="1"/>
  <c r="AA159" i="16" s="1"/>
  <c r="AJ160" i="1"/>
  <c r="M160" i="1"/>
  <c r="O159" i="16" s="1"/>
  <c r="Q160" i="1"/>
  <c r="S159" i="16" s="1"/>
  <c r="U160" i="1"/>
  <c r="W159" i="16" s="1"/>
  <c r="Y148" i="1"/>
  <c r="M148" i="1"/>
  <c r="U148" i="1"/>
  <c r="Q148" i="1"/>
  <c r="AJ148" i="1"/>
  <c r="U136" i="1"/>
  <c r="W131" i="16" s="1"/>
  <c r="M136" i="1"/>
  <c r="O131" i="16" s="1"/>
  <c r="Q136" i="1"/>
  <c r="S131" i="16" s="1"/>
  <c r="AJ136" i="1"/>
  <c r="Y136" i="1"/>
  <c r="AA131" i="16" s="1"/>
  <c r="Y124" i="1"/>
  <c r="AA123" i="16" s="1"/>
  <c r="Q124" i="1"/>
  <c r="S123" i="16" s="1"/>
  <c r="M124" i="1"/>
  <c r="O123" i="16" s="1"/>
  <c r="AJ124" i="1"/>
  <c r="U124" i="1"/>
  <c r="W123" i="16" s="1"/>
  <c r="Q112" i="1"/>
  <c r="S111" i="16" s="1"/>
  <c r="M112" i="1"/>
  <c r="O111" i="16" s="1"/>
  <c r="Y112" i="1"/>
  <c r="AA111" i="16" s="1"/>
  <c r="AJ112" i="1"/>
  <c r="U112" i="1"/>
  <c r="W111" i="16" s="1"/>
  <c r="Q100" i="1"/>
  <c r="S99" i="16" s="1"/>
  <c r="M100" i="1"/>
  <c r="O99" i="16" s="1"/>
  <c r="Y100" i="1"/>
  <c r="AA99" i="16" s="1"/>
  <c r="AJ100" i="1"/>
  <c r="U100" i="1"/>
  <c r="W99" i="16" s="1"/>
  <c r="AJ88" i="1"/>
  <c r="Y88" i="1"/>
  <c r="AA87" i="16" s="1"/>
  <c r="Q88" i="1"/>
  <c r="S87" i="16" s="1"/>
  <c r="U88" i="1"/>
  <c r="W87" i="16" s="1"/>
  <c r="M88" i="1"/>
  <c r="O87" i="16" s="1"/>
  <c r="Q76" i="1"/>
  <c r="S68" i="16" s="1"/>
  <c r="AJ76" i="1"/>
  <c r="M76" i="1"/>
  <c r="O68" i="16" s="1"/>
  <c r="Y76" i="1"/>
  <c r="AA68" i="16" s="1"/>
  <c r="U76" i="1"/>
  <c r="W68" i="16" s="1"/>
  <c r="Q64" i="1"/>
  <c r="S55" i="16" s="1"/>
  <c r="M64" i="1"/>
  <c r="O55" i="16" s="1"/>
  <c r="AJ64" i="1"/>
  <c r="Y64" i="1"/>
  <c r="AA55" i="16" s="1"/>
  <c r="U64" i="1"/>
  <c r="W55" i="16" s="1"/>
  <c r="Q52" i="1"/>
  <c r="S73" i="16" s="1"/>
  <c r="M52" i="1"/>
  <c r="O73" i="16" s="1"/>
  <c r="Y52" i="1"/>
  <c r="AA73" i="16" s="1"/>
  <c r="AJ52" i="1"/>
  <c r="U52" i="1"/>
  <c r="W73" i="16" s="1"/>
  <c r="AJ46" i="1"/>
  <c r="Y46" i="1"/>
  <c r="AA45" i="16" s="1"/>
  <c r="M46" i="1"/>
  <c r="O45" i="16" s="1"/>
  <c r="Q46" i="1"/>
  <c r="S45" i="16" s="1"/>
  <c r="U46" i="1"/>
  <c r="W45" i="16" s="1"/>
  <c r="AJ29" i="1"/>
  <c r="U29" i="1"/>
  <c r="W28" i="16" s="1"/>
  <c r="Y29" i="1"/>
  <c r="AA28" i="16" s="1"/>
  <c r="M29" i="1"/>
  <c r="O28" i="16" s="1"/>
  <c r="Q29" i="1"/>
  <c r="S28" i="16" s="1"/>
  <c r="AJ11" i="1"/>
  <c r="M11" i="1"/>
  <c r="O10" i="16" s="1"/>
  <c r="Y11" i="1"/>
  <c r="AA10" i="16" s="1"/>
  <c r="U11" i="1"/>
  <c r="W10" i="16" s="1"/>
  <c r="Q11" i="1"/>
  <c r="S10" i="16" s="1"/>
  <c r="U495" i="1"/>
  <c r="M495" i="1"/>
  <c r="Y495" i="1"/>
  <c r="Q495" i="1"/>
  <c r="AJ495" i="1"/>
  <c r="M483" i="1"/>
  <c r="AJ483" i="1"/>
  <c r="Y483" i="1"/>
  <c r="U483" i="1"/>
  <c r="Q483" i="1"/>
  <c r="M471" i="1"/>
  <c r="Y471" i="1"/>
  <c r="Q471" i="1"/>
  <c r="AJ471" i="1"/>
  <c r="U471" i="1"/>
  <c r="Y459" i="1"/>
  <c r="M459" i="1"/>
  <c r="AJ459" i="1"/>
  <c r="U459" i="1"/>
  <c r="Q459" i="1"/>
  <c r="M447" i="1"/>
  <c r="Y447" i="1"/>
  <c r="AJ447" i="1"/>
  <c r="U447" i="1"/>
  <c r="Q447" i="1"/>
  <c r="M435" i="1"/>
  <c r="Q435" i="1"/>
  <c r="Y435" i="1"/>
  <c r="AJ435" i="1"/>
  <c r="U435" i="1"/>
  <c r="M423" i="1"/>
  <c r="AJ423" i="1"/>
  <c r="Q423" i="1"/>
  <c r="U423" i="1"/>
  <c r="Y423" i="1"/>
  <c r="Q411" i="1"/>
  <c r="M411" i="1"/>
  <c r="Y411" i="1"/>
  <c r="AJ411" i="1"/>
  <c r="U411" i="1"/>
  <c r="AJ399" i="1"/>
  <c r="M399" i="1"/>
  <c r="Q399" i="1"/>
  <c r="U399" i="1"/>
  <c r="Y399" i="1"/>
  <c r="Q387" i="1"/>
  <c r="AJ387" i="1"/>
  <c r="M387" i="1"/>
  <c r="Y387" i="1"/>
  <c r="U387" i="1"/>
  <c r="AJ375" i="1"/>
  <c r="Q375" i="1"/>
  <c r="M375" i="1"/>
  <c r="U375" i="1"/>
  <c r="Y375" i="1"/>
  <c r="U363" i="1"/>
  <c r="AJ363" i="1"/>
  <c r="Y363" i="1"/>
  <c r="Q363" i="1"/>
  <c r="M363" i="1"/>
  <c r="Y351" i="1"/>
  <c r="U351" i="1"/>
  <c r="Q351" i="1"/>
  <c r="M351" i="1"/>
  <c r="AJ351" i="1"/>
  <c r="AJ339" i="1"/>
  <c r="U339" i="1"/>
  <c r="Q339" i="1"/>
  <c r="Y339" i="1"/>
  <c r="M339" i="1"/>
  <c r="Q327" i="1"/>
  <c r="M327" i="1"/>
  <c r="AJ327" i="1"/>
  <c r="U327" i="1"/>
  <c r="Y327" i="1"/>
  <c r="Y315" i="1"/>
  <c r="AJ315" i="1"/>
  <c r="U315" i="1"/>
  <c r="Q315" i="1"/>
  <c r="M315" i="1"/>
  <c r="M303" i="1"/>
  <c r="U303" i="1"/>
  <c r="AJ303" i="1"/>
  <c r="Y303" i="1"/>
  <c r="Q303" i="1"/>
  <c r="U291" i="1"/>
  <c r="Y291" i="1"/>
  <c r="Q291" i="1"/>
  <c r="AJ291" i="1"/>
  <c r="M291" i="1"/>
  <c r="Q279" i="1"/>
  <c r="AJ279" i="1"/>
  <c r="Y279" i="1"/>
  <c r="U279" i="1"/>
  <c r="M279" i="1"/>
  <c r="U267" i="1"/>
  <c r="M267" i="1"/>
  <c r="Y267" i="1"/>
  <c r="AJ267" i="1"/>
  <c r="Q267" i="1"/>
  <c r="Y255" i="1"/>
  <c r="AJ255" i="1"/>
  <c r="U255" i="1"/>
  <c r="Q255" i="1"/>
  <c r="M255" i="1"/>
  <c r="Q243" i="1"/>
  <c r="M243" i="1"/>
  <c r="AJ243" i="1"/>
  <c r="Y243" i="1"/>
  <c r="U243" i="1"/>
  <c r="AJ231" i="1"/>
  <c r="Y231" i="1"/>
  <c r="M231" i="1"/>
  <c r="Q231" i="1"/>
  <c r="U231" i="1"/>
  <c r="U219" i="1"/>
  <c r="Q219" i="1"/>
  <c r="M219" i="1"/>
  <c r="AJ219" i="1"/>
  <c r="Y219" i="1"/>
  <c r="M207" i="1"/>
  <c r="Y207" i="1"/>
  <c r="AJ207" i="1"/>
  <c r="Q207" i="1"/>
  <c r="U207" i="1"/>
  <c r="AJ195" i="1"/>
  <c r="Y195" i="1"/>
  <c r="Q195" i="1"/>
  <c r="M195" i="1"/>
  <c r="U195" i="1"/>
  <c r="M183" i="1"/>
  <c r="O182" i="16" s="1"/>
  <c r="Y183" i="1"/>
  <c r="AA182" i="16" s="1"/>
  <c r="U183" i="1"/>
  <c r="W182" i="16" s="1"/>
  <c r="AJ183" i="1"/>
  <c r="Q183" i="1"/>
  <c r="S182" i="16" s="1"/>
  <c r="U171" i="1"/>
  <c r="W170" i="16" s="1"/>
  <c r="AJ171" i="1"/>
  <c r="Y171" i="1"/>
  <c r="AA170" i="16" s="1"/>
  <c r="M171" i="1"/>
  <c r="O170" i="16" s="1"/>
  <c r="Q171" i="1"/>
  <c r="S170" i="16" s="1"/>
  <c r="M159" i="1"/>
  <c r="O158" i="16" s="1"/>
  <c r="U159" i="1"/>
  <c r="W158" i="16" s="1"/>
  <c r="AJ159" i="1"/>
  <c r="Y159" i="1"/>
  <c r="AA158" i="16" s="1"/>
  <c r="Q159" i="1"/>
  <c r="S158" i="16" s="1"/>
  <c r="Y147" i="1"/>
  <c r="AA140" i="16" s="1"/>
  <c r="U147" i="1"/>
  <c r="W140" i="16" s="1"/>
  <c r="AJ147" i="1"/>
  <c r="M147" i="1"/>
  <c r="O140" i="16" s="1"/>
  <c r="Q147" i="1"/>
  <c r="S140" i="16" s="1"/>
  <c r="U135" i="1"/>
  <c r="W147" i="16" s="1"/>
  <c r="AJ135" i="1"/>
  <c r="M135" i="1"/>
  <c r="O147" i="16" s="1"/>
  <c r="Q135" i="1"/>
  <c r="S147" i="16" s="1"/>
  <c r="Y135" i="1"/>
  <c r="AA147" i="16" s="1"/>
  <c r="M123" i="1"/>
  <c r="O122" i="16" s="1"/>
  <c r="U123" i="1"/>
  <c r="W122" i="16" s="1"/>
  <c r="AJ123" i="1"/>
  <c r="Y123" i="1"/>
  <c r="AA122" i="16" s="1"/>
  <c r="Q123" i="1"/>
  <c r="S122" i="16" s="1"/>
  <c r="M111" i="1"/>
  <c r="O110" i="16" s="1"/>
  <c r="AJ111" i="1"/>
  <c r="Y111" i="1"/>
  <c r="AA110" i="16" s="1"/>
  <c r="U111" i="1"/>
  <c r="W110" i="16" s="1"/>
  <c r="Q111" i="1"/>
  <c r="S110" i="16" s="1"/>
  <c r="U99" i="1"/>
  <c r="W98" i="16" s="1"/>
  <c r="Y99" i="1"/>
  <c r="AA98" i="16" s="1"/>
  <c r="M99" i="1"/>
  <c r="O98" i="16" s="1"/>
  <c r="AJ99" i="1"/>
  <c r="Q99" i="1"/>
  <c r="S98" i="16" s="1"/>
  <c r="U87" i="1"/>
  <c r="W63" i="16" s="1"/>
  <c r="Y87" i="1"/>
  <c r="AA63" i="16" s="1"/>
  <c r="M87" i="1"/>
  <c r="O63" i="16" s="1"/>
  <c r="AJ87" i="1"/>
  <c r="Q87" i="1"/>
  <c r="S63" i="16" s="1"/>
  <c r="U75" i="1"/>
  <c r="W84" i="16" s="1"/>
  <c r="AJ75" i="1"/>
  <c r="Y75" i="1"/>
  <c r="AA84" i="16" s="1"/>
  <c r="Q75" i="1"/>
  <c r="S84" i="16" s="1"/>
  <c r="M75" i="1"/>
  <c r="O84" i="16" s="1"/>
  <c r="U63" i="1"/>
  <c r="W79" i="16" s="1"/>
  <c r="M63" i="1"/>
  <c r="O79" i="16" s="1"/>
  <c r="AJ63" i="1"/>
  <c r="Q63" i="1"/>
  <c r="S79" i="16" s="1"/>
  <c r="Y63" i="1"/>
  <c r="AA79" i="16" s="1"/>
  <c r="U51" i="1"/>
  <c r="W51" i="16" s="1"/>
  <c r="Q51" i="1"/>
  <c r="S51" i="16" s="1"/>
  <c r="AJ51" i="1"/>
  <c r="M51" i="1"/>
  <c r="O51" i="16" s="1"/>
  <c r="Y51" i="1"/>
  <c r="AA51" i="16" s="1"/>
  <c r="Q45" i="1"/>
  <c r="S44" i="16" s="1"/>
  <c r="M45" i="1"/>
  <c r="O44" i="16" s="1"/>
  <c r="AJ45" i="1"/>
  <c r="U45" i="1"/>
  <c r="W44" i="16" s="1"/>
  <c r="Y45" i="1"/>
  <c r="AA44" i="16" s="1"/>
  <c r="Q27" i="1"/>
  <c r="S26" i="16" s="1"/>
  <c r="M27" i="1"/>
  <c r="O26" i="16" s="1"/>
  <c r="AJ27" i="1"/>
  <c r="Y27" i="1"/>
  <c r="AA26" i="16" s="1"/>
  <c r="U27" i="1"/>
  <c r="W26" i="16" s="1"/>
  <c r="Q18" i="1"/>
  <c r="S17" i="16" s="1"/>
  <c r="M18" i="1"/>
  <c r="O17" i="16" s="1"/>
  <c r="AJ18" i="1"/>
  <c r="Y18" i="1"/>
  <c r="AA17" i="16" s="1"/>
  <c r="U18" i="1"/>
  <c r="W17" i="16" s="1"/>
  <c r="W14" i="1"/>
  <c r="G9" i="13"/>
  <c r="G16" i="13"/>
  <c r="Q14" i="1"/>
  <c r="S13" i="16" s="1"/>
  <c r="U14" i="1"/>
  <c r="W13" i="16" s="1"/>
  <c r="M14" i="1"/>
  <c r="O13" i="16" s="1"/>
  <c r="U10" i="1"/>
  <c r="W9" i="16" s="1"/>
  <c r="M10" i="1"/>
  <c r="O9" i="16" s="1"/>
  <c r="Q10" i="1"/>
  <c r="S9" i="16" s="1"/>
  <c r="U8" i="1"/>
  <c r="W7" i="16" s="1"/>
  <c r="M8" i="1"/>
  <c r="O7" i="16" s="1"/>
  <c r="Q8" i="1"/>
  <c r="S7" i="16" s="1"/>
  <c r="U7" i="1"/>
  <c r="M7" i="1"/>
  <c r="Q7" i="1"/>
  <c r="U9" i="1"/>
  <c r="W8" i="16" s="1"/>
  <c r="M9" i="1"/>
  <c r="O8" i="16" s="1"/>
  <c r="Q9" i="1"/>
  <c r="S8" i="16" s="1"/>
  <c r="U6" i="1"/>
  <c r="W5" i="16" s="1"/>
  <c r="M6" i="1"/>
  <c r="O5" i="16" s="1"/>
  <c r="Q6" i="1"/>
  <c r="S5" i="16" s="1"/>
  <c r="U5" i="1"/>
  <c r="W4" i="16" s="1"/>
  <c r="Q5" i="1"/>
  <c r="S4" i="16" s="1"/>
  <c r="M5" i="1"/>
  <c r="O4" i="16" s="1"/>
  <c r="U4" i="1"/>
  <c r="W3" i="16" s="1"/>
  <c r="Q4" i="1"/>
  <c r="S3" i="16" s="1"/>
  <c r="M4" i="1"/>
  <c r="O3" i="16" s="1"/>
  <c r="U2" i="1"/>
  <c r="M2" i="1"/>
  <c r="Q2" i="1"/>
  <c r="F9" i="13"/>
  <c r="H9" i="13" s="1"/>
  <c r="F23" i="13"/>
  <c r="H22" i="13" s="1"/>
  <c r="G19" i="13"/>
  <c r="G23" i="13" s="1"/>
  <c r="A15" i="11"/>
  <c r="A16" i="11"/>
  <c r="M7" i="5"/>
  <c r="K5" i="5"/>
  <c r="F7" i="5"/>
  <c r="C13" i="5"/>
  <c r="I5" i="5"/>
  <c r="E7" i="5"/>
  <c r="I12" i="5"/>
  <c r="D7" i="5"/>
  <c r="M11" i="5"/>
  <c r="C4" i="5"/>
  <c r="G5" i="5"/>
  <c r="C8" i="5"/>
  <c r="M12" i="5"/>
  <c r="F16" i="13"/>
  <c r="H15" i="13" s="1"/>
  <c r="M4" i="5"/>
  <c r="C6" i="5"/>
  <c r="E8" i="5"/>
  <c r="K4" i="5"/>
  <c r="I4" i="5"/>
  <c r="G6" i="5"/>
  <c r="G8" i="5"/>
  <c r="D9" i="5"/>
  <c r="E6" i="5"/>
  <c r="K12" i="5"/>
  <c r="F4" i="5"/>
  <c r="L10" i="5"/>
  <c r="K13" i="5"/>
  <c r="L7" i="5"/>
  <c r="L11" i="5"/>
  <c r="J12" i="5"/>
  <c r="F5" i="5"/>
  <c r="L6" i="5"/>
  <c r="K7" i="5"/>
  <c r="F8" i="5"/>
  <c r="L12" i="5"/>
  <c r="D4" i="5"/>
  <c r="E5" i="5"/>
  <c r="J7" i="5"/>
  <c r="D10" i="5"/>
  <c r="L13" i="5"/>
  <c r="J13" i="5"/>
  <c r="E4" i="5"/>
  <c r="J6" i="5"/>
  <c r="I7" i="5"/>
  <c r="G9" i="5"/>
  <c r="I6" i="5"/>
  <c r="H7" i="5"/>
  <c r="D12" i="5"/>
  <c r="L9" i="5"/>
  <c r="L4" i="5"/>
  <c r="L5" i="5"/>
  <c r="J4" i="5"/>
  <c r="M3" i="1"/>
  <c r="O2" i="16" s="1"/>
  <c r="X9" i="1"/>
  <c r="Y9" i="1" s="1"/>
  <c r="AA8" i="16" s="1"/>
  <c r="F8" i="8"/>
  <c r="X10" i="1"/>
  <c r="Y10" i="1" s="1"/>
  <c r="AA9" i="16" s="1"/>
  <c r="AJ4" i="1"/>
  <c r="AJ6" i="1"/>
  <c r="X5" i="1"/>
  <c r="Y5" i="1" s="1"/>
  <c r="AA4" i="16" s="1"/>
  <c r="AJ9" i="1"/>
  <c r="AJ14" i="1"/>
  <c r="AJ10" i="1"/>
  <c r="Y14" i="1"/>
  <c r="AA13" i="16" s="1"/>
  <c r="AJ5" i="1"/>
  <c r="AJ7" i="1"/>
  <c r="AJ8" i="1"/>
  <c r="X7" i="1"/>
  <c r="Y7" i="1" s="1"/>
  <c r="X8" i="1"/>
  <c r="Y8" i="1" s="1"/>
  <c r="AA7" i="16" s="1"/>
  <c r="X6" i="1"/>
  <c r="Y6" i="1" s="1"/>
  <c r="AA5" i="16" s="1"/>
  <c r="U3" i="1"/>
  <c r="W2" i="16" s="1"/>
  <c r="Y3" i="1"/>
  <c r="AA2" i="16" s="1"/>
  <c r="AJ3" i="1"/>
  <c r="Q3" i="1"/>
  <c r="S2" i="16" s="1"/>
  <c r="Y2" i="1"/>
  <c r="AJ2" i="1"/>
  <c r="W2" i="1"/>
  <c r="X4" i="1"/>
  <c r="Y4" i="1" s="1"/>
  <c r="AA3" i="16" s="1"/>
  <c r="W3" i="1"/>
  <c r="H19" i="11" l="1"/>
  <c r="H22" i="11" s="1"/>
  <c r="H20" i="8"/>
  <c r="H2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Stowers, Luther</author>
  </authors>
  <commentList>
    <comment ref="A12" authorId="0" shapeId="0" xr:uid="{89A1DB09-FF42-4426-BF73-8515507B09CE}">
      <text>
        <r>
          <rPr>
            <b/>
            <sz val="9"/>
            <color indexed="81"/>
            <rFont val="Tahoma"/>
            <family val="2"/>
          </rPr>
          <t>Stowers, Luther:</t>
        </r>
        <r>
          <rPr>
            <sz val="9"/>
            <color indexed="81"/>
            <rFont val="Tahoma"/>
            <family val="2"/>
          </rPr>
          <t xml:space="preserve">
not using in 2025 due to cost</t>
        </r>
      </text>
    </comment>
  </commentList>
</comments>
</file>

<file path=xl/sharedStrings.xml><?xml version="1.0" encoding="utf-8"?>
<sst xmlns="http://schemas.openxmlformats.org/spreadsheetml/2006/main" count="1701" uniqueCount="687">
  <si>
    <t>Year:</t>
  </si>
  <si>
    <t>Applic. Method</t>
  </si>
  <si>
    <t>Applic. Equip.</t>
  </si>
  <si>
    <t>Applicator</t>
  </si>
  <si>
    <t>Wind Dir.</t>
  </si>
  <si>
    <t>Wind Speed</t>
  </si>
  <si>
    <t>Temp.</t>
  </si>
  <si>
    <t>Rel. Hum.</t>
  </si>
  <si>
    <t>Addit. 1 $/Unit  of  Product</t>
  </si>
  <si>
    <t>Addit. 1 Cost</t>
  </si>
  <si>
    <t>Addit. 1 Cost/Acre</t>
  </si>
  <si>
    <t>Total Chemical Cost</t>
  </si>
  <si>
    <t>Total Chemical Cost/Acre</t>
  </si>
  <si>
    <t>Total Applic. Cost</t>
  </si>
  <si>
    <t>Total Applic. Cost/Acre</t>
  </si>
  <si>
    <t>Total Cost</t>
  </si>
  <si>
    <t>Total Cost/Acre</t>
  </si>
  <si>
    <t>Name</t>
  </si>
  <si>
    <t>EPA Number</t>
  </si>
  <si>
    <t>Common Name</t>
  </si>
  <si>
    <t>MOA</t>
  </si>
  <si>
    <t>Active Ingredients</t>
  </si>
  <si>
    <t>Snapshot</t>
  </si>
  <si>
    <t>Snapshot 2.5 TG</t>
  </si>
  <si>
    <t>62719-175</t>
  </si>
  <si>
    <t>ISOXABEN,
TRIFLURALIN</t>
  </si>
  <si>
    <t>Group 29 Herbicide, Group 3 Herbicide</t>
  </si>
  <si>
    <t>Trifluralin
Isoxaben</t>
  </si>
  <si>
    <t>100 - 200 Lb / Tr Ac</t>
  </si>
  <si>
    <t>Snapshot DG</t>
  </si>
  <si>
    <t>Trifluralin, Isoxaben</t>
  </si>
  <si>
    <t>MSM Turf</t>
  </si>
  <si>
    <t>Manor Selective Herbicide</t>
  </si>
  <si>
    <t>228-373</t>
  </si>
  <si>
    <t>METSULFURON METHYL</t>
  </si>
  <si>
    <t>Group 2 Herbicide</t>
  </si>
  <si>
    <t>Rate summary:
0.25 - 1 Oz / Tr Ac
Diluent summary:
10 - 80 Gal / Ac</t>
  </si>
  <si>
    <t>Mansion Turf Herbicide</t>
  </si>
  <si>
    <t>Triplet SF (3-Way)</t>
  </si>
  <si>
    <t>228-312</t>
  </si>
  <si>
    <t>2,4-D + MCPP-P + DICAMBA</t>
  </si>
  <si>
    <t>Group 4 Herbicide</t>
  </si>
  <si>
    <t>2,4-D, dimethylamine salt; Dicamba, dimethylamine salt;Mecoprop-p (MCPP-p), dimethylamine salt</t>
  </si>
  <si>
    <t>Rate summary: 
0.67 - 1.5 Oz / 1000 Sq Ft
2 - 4 Pt / Tr Ac
Diluent summary:
0.02 - 5 Gal / 1000 Sq Ft by Ground
1 - 220 Gal / Ac by Ground</t>
  </si>
  <si>
    <t>Specticle Flo Herbicide</t>
  </si>
  <si>
    <t>432-1608</t>
  </si>
  <si>
    <t>INDAZIFLAM</t>
  </si>
  <si>
    <t>Group 29 Herbicide</t>
  </si>
  <si>
    <t>Indaziflam</t>
  </si>
  <si>
    <t xml:space="preserve">Specticle Flo  </t>
  </si>
  <si>
    <t>432-1518</t>
  </si>
  <si>
    <t>Rate summary:
3 - 10 Oz / Tr Ac
Diluent summary:
10 - 99999 Gal / Ac by Ground</t>
  </si>
  <si>
    <t>Resolute 4Fl</t>
  </si>
  <si>
    <t>100-1139</t>
  </si>
  <si>
    <t>PRODIAMINE</t>
  </si>
  <si>
    <t>Group 3 Herbicide</t>
  </si>
  <si>
    <t>Prodiamine</t>
  </si>
  <si>
    <t>Rate summary:
0.5 - 1.1 Oz / 1000 Sq Ft
21 - 48 Oz / Tr Ac
Diluent summary:
0.45 - 9999 Gal / 1000 Sq Ft by Ground
20 - 9999 Gal / Ac by Ground</t>
  </si>
  <si>
    <t>100-526</t>
  </si>
  <si>
    <t>SIMAZINE</t>
  </si>
  <si>
    <t>Group 5 Herbicide</t>
  </si>
  <si>
    <t>Simazine</t>
  </si>
  <si>
    <t>Rate summary:
2 - 8 Pt / Tr Ac
Diluent summary:
15 - 99999 Gal / Ac by Ground</t>
  </si>
  <si>
    <t>Outrider</t>
  </si>
  <si>
    <t>59639-223</t>
  </si>
  <si>
    <t>SULFOSULFURON</t>
  </si>
  <si>
    <t>Sulfosulfuron</t>
  </si>
  <si>
    <t>Rate summary:
1 - 1 Oz / 100 Gal
0.75 - 2 Oz / Tr Ac
Diluent summary:
10 - 999 Gal / Ac by Ground</t>
  </si>
  <si>
    <t>MSMA 6.6</t>
  </si>
  <si>
    <t>19713-41</t>
  </si>
  <si>
    <t>MSMA</t>
  </si>
  <si>
    <t>Group 0 Herbicide</t>
  </si>
  <si>
    <t>Rate summary:
0.9 - 1.8 Oz / 1000 Sq Ft
2.45 - 4.9 Pt / Tr Ac
Diluent summary:
1 - 2.5 Gal / 1000 Sq Ft by Ground
43.56 - 108.9 Gal / Ac by Ground</t>
  </si>
  <si>
    <t>Customer Name</t>
  </si>
  <si>
    <t>Sq Ft</t>
  </si>
  <si>
    <t>Street Address</t>
  </si>
  <si>
    <t>City</t>
  </si>
  <si>
    <t>State</t>
  </si>
  <si>
    <t>Zip</t>
  </si>
  <si>
    <t>County</t>
  </si>
  <si>
    <t>Turf Type</t>
  </si>
  <si>
    <t>Application Date</t>
  </si>
  <si>
    <t>Application Start Time</t>
  </si>
  <si>
    <t>Application End Time</t>
  </si>
  <si>
    <t>ID number</t>
  </si>
  <si>
    <t>Matthew Stowers</t>
  </si>
  <si>
    <t>Luther Stowers</t>
  </si>
  <si>
    <t>Treatment Type</t>
  </si>
  <si>
    <t>Description/Notes 
Special Instructions</t>
  </si>
  <si>
    <t>John Stowers</t>
  </si>
  <si>
    <t>205 East Toulon Dr.</t>
  </si>
  <si>
    <t>Brandon</t>
  </si>
  <si>
    <t>MS</t>
  </si>
  <si>
    <t>Rankin</t>
  </si>
  <si>
    <t>325 North Brandon Blvd.</t>
  </si>
  <si>
    <t>Matt Stowers</t>
  </si>
  <si>
    <t>519 Oak Park Circle</t>
  </si>
  <si>
    <t>Pearl</t>
  </si>
  <si>
    <t>Fertilize</t>
  </si>
  <si>
    <t>Spot Treat</t>
  </si>
  <si>
    <t>Other</t>
  </si>
  <si>
    <t>Weeds</t>
  </si>
  <si>
    <t xml:space="preserve">Princep </t>
  </si>
  <si>
    <t>Rate/Acre</t>
  </si>
  <si>
    <t>48 oz</t>
  </si>
  <si>
    <t>3-Way (Triplet)</t>
  </si>
  <si>
    <t>24 oz</t>
  </si>
  <si>
    <t>Resolute</t>
  </si>
  <si>
    <t>MSM</t>
  </si>
  <si>
    <t>0.33 oz</t>
  </si>
  <si>
    <t>Surfactant</t>
  </si>
  <si>
    <t>Harrell's 34-0-5</t>
  </si>
  <si>
    <t>2.94 lbs</t>
  </si>
  <si>
    <t>1.33 oz</t>
  </si>
  <si>
    <t>TBD</t>
  </si>
  <si>
    <t>Product 1</t>
  </si>
  <si>
    <t>Product 2</t>
  </si>
  <si>
    <t>Product 3</t>
  </si>
  <si>
    <t>Product 4</t>
  </si>
  <si>
    <t>Product 5</t>
  </si>
  <si>
    <t>Size of Area Treated</t>
  </si>
  <si>
    <t>Brand Name 1</t>
  </si>
  <si>
    <t>Brand Name 2</t>
  </si>
  <si>
    <t>Brand Name 3</t>
  </si>
  <si>
    <t>Brand Name 4</t>
  </si>
  <si>
    <t>Brand Name 5</t>
  </si>
  <si>
    <t>Brand Name 6</t>
  </si>
  <si>
    <t>Additive</t>
  </si>
  <si>
    <t>Herbicide $/Unit  of  Product</t>
  </si>
  <si>
    <t>Herbicide Cost</t>
  </si>
  <si>
    <t>Herbicide Cost/Acre</t>
  </si>
  <si>
    <t>Total Herbicide Cost</t>
  </si>
  <si>
    <t>Total Herbicide Cost/Acre</t>
  </si>
  <si>
    <t>Fluid ounces of herbicide needed for desired solution</t>
  </si>
  <si>
    <t>Mix amount</t>
  </si>
  <si>
    <t>1 gallon</t>
  </si>
  <si>
    <t>2 gallons</t>
  </si>
  <si>
    <t>3 gallons</t>
  </si>
  <si>
    <t>4 gallons</t>
  </si>
  <si>
    <t>5 gallons</t>
  </si>
  <si>
    <t>10 gallons</t>
  </si>
  <si>
    <t>15 gallons</t>
  </si>
  <si>
    <t>30 gallons</t>
  </si>
  <si>
    <t>100 gallons</t>
  </si>
  <si>
    <t>200 gallons</t>
  </si>
  <si>
    <t>300 gallons</t>
  </si>
  <si>
    <t>128 (1 gal)</t>
  </si>
  <si>
    <t>256 (2 gal)</t>
  </si>
  <si>
    <t>384 (3 gal)</t>
  </si>
  <si>
    <t>640 (5 gal)</t>
  </si>
  <si>
    <t>1280 (10 gal)</t>
  </si>
  <si>
    <t>1920 (15 gal)</t>
  </si>
  <si>
    <t>2560 20 gal)</t>
  </si>
  <si>
    <t>64 (2 qt)</t>
  </si>
  <si>
    <t>192 (1.5 gal)</t>
  </si>
  <si>
    <t>96 (3 qt)</t>
  </si>
  <si>
    <t>288 (1.75 gal)</t>
  </si>
  <si>
    <t>576 (4.5 gal)</t>
  </si>
  <si>
    <t>768 (6 gal)</t>
  </si>
  <si>
    <t>512 (4 gal)</t>
  </si>
  <si>
    <t>1152 (9 gal)</t>
  </si>
  <si>
    <t>64 (0.5 gal)</t>
  </si>
  <si>
    <t>96 (0.75 gal)</t>
  </si>
  <si>
    <t>1 gallon = 128 ounces</t>
  </si>
  <si>
    <t>1 quart = 32 ounces</t>
  </si>
  <si>
    <t>1 pint = 16 ounces</t>
  </si>
  <si>
    <t>1 cup = 8 ounces</t>
  </si>
  <si>
    <t>1 pint = 2 cups</t>
  </si>
  <si>
    <t>1 gallon = 4 quarts = 8 pints = 16 cups</t>
  </si>
  <si>
    <t>1 quart = 2 pints = 4 cups</t>
  </si>
  <si>
    <t>Surfactant (0.25%)</t>
  </si>
  <si>
    <t>(0.77 gal)</t>
  </si>
  <si>
    <t>(0.52 gal)</t>
  </si>
  <si>
    <t>(0.26 gal)</t>
  </si>
  <si>
    <t>Conversion reference chart</t>
  </si>
  <si>
    <t>Active Ingredient</t>
  </si>
  <si>
    <t>Treatments</t>
  </si>
  <si>
    <t>Product/Active Ingredient/Rate</t>
  </si>
  <si>
    <t>Premerge</t>
  </si>
  <si>
    <t>Nitrogen</t>
  </si>
  <si>
    <t>Mfgr. Rates</t>
  </si>
  <si>
    <t>Princep Liquid</t>
  </si>
  <si>
    <t>Total Amount Applied (Oz)</t>
  </si>
  <si>
    <t>Rate per Acre</t>
  </si>
  <si>
    <t>lbs</t>
  </si>
  <si>
    <t>Zoysia</t>
  </si>
  <si>
    <t>Operator:</t>
  </si>
  <si>
    <t>Time Out Lawncare LLC</t>
  </si>
  <si>
    <t>Customer Number</t>
  </si>
  <si>
    <t>Email address</t>
  </si>
  <si>
    <t>Phone Number</t>
  </si>
  <si>
    <t>Payment Method</t>
  </si>
  <si>
    <t>INVOICE</t>
  </si>
  <si>
    <t>INVOICE #</t>
  </si>
  <si>
    <t>DATE</t>
  </si>
  <si>
    <t>BILL TO</t>
  </si>
  <si>
    <t>CUSTOMER ID</t>
  </si>
  <si>
    <t>TERMS</t>
  </si>
  <si>
    <t>Due Upon Receipt</t>
  </si>
  <si>
    <t>DESCRIPTION</t>
  </si>
  <si>
    <t>QTY</t>
  </si>
  <si>
    <t>AMOUNT</t>
  </si>
  <si>
    <t>Thank you for your business!</t>
  </si>
  <si>
    <t>SUBTOTAL</t>
  </si>
  <si>
    <t>TOTAL</t>
  </si>
  <si>
    <t>If you have any questions about this invoice, please contact</t>
  </si>
  <si>
    <t>Pearl, MS 39208</t>
  </si>
  <si>
    <t>Phone: (601)941-3586</t>
  </si>
  <si>
    <t>601-720-2152</t>
  </si>
  <si>
    <t>601-941-3586</t>
  </si>
  <si>
    <t>bermuda</t>
  </si>
  <si>
    <t>luther.stowers@gmail.com</t>
  </si>
  <si>
    <t>jastowers08@gmail.com</t>
  </si>
  <si>
    <t>mattjfc8@gmail.com</t>
  </si>
  <si>
    <t>Payment Methods</t>
  </si>
  <si>
    <t>mail</t>
  </si>
  <si>
    <t>email</t>
  </si>
  <si>
    <t>Venmo</t>
  </si>
  <si>
    <t>cash/check</t>
  </si>
  <si>
    <t>[Matt Stowers, (601)941-3586, timeoutlawncare@gmail.com]</t>
  </si>
  <si>
    <t>online</t>
  </si>
  <si>
    <t>PRICE</t>
  </si>
  <si>
    <t>Date</t>
  </si>
  <si>
    <t>Quote</t>
  </si>
  <si>
    <t>Jackson</t>
  </si>
  <si>
    <t>Hinds</t>
  </si>
  <si>
    <t>Amount billed</t>
  </si>
  <si>
    <t>Date billed</t>
  </si>
  <si>
    <t>Invoice Paid?</t>
  </si>
  <si>
    <t>QUOTE</t>
  </si>
  <si>
    <t>QUOTE FOR</t>
  </si>
  <si>
    <t>Valid for 30 days</t>
  </si>
  <si>
    <t>Notes/Special Instructions:</t>
  </si>
  <si>
    <t>If you have any questions about this quote, please contact</t>
  </si>
  <si>
    <t>Additional Services</t>
  </si>
  <si>
    <t>Crepe Myrtle Bark Scale</t>
  </si>
  <si>
    <t>Fire Ant Treatment (full)</t>
  </si>
  <si>
    <t>Fire Ant Treatment (spot)</t>
  </si>
  <si>
    <t>Mosquito Treatment</t>
  </si>
  <si>
    <t>Landscape Bed Weed Control</t>
  </si>
  <si>
    <t>Pine Straw Installation</t>
  </si>
  <si>
    <t>Lawn Insect Treatment</t>
  </si>
  <si>
    <t>Landscape Bed Shrub Fertilize</t>
  </si>
  <si>
    <t>Pre-Emergent (Spring)</t>
  </si>
  <si>
    <t>Pre-Emergent (Fall)</t>
  </si>
  <si>
    <t>Fertilizer</t>
  </si>
  <si>
    <t>Specialty</t>
  </si>
  <si>
    <t>Bed Weed Control</t>
  </si>
  <si>
    <t>Fireants</t>
  </si>
  <si>
    <t>Armyworms</t>
  </si>
  <si>
    <t>Mosquitoes</t>
  </si>
  <si>
    <t>80 gallons per acre sprayed </t>
  </si>
  <si>
    <t>Princep</t>
  </si>
  <si>
    <t>Torpedo Grass</t>
  </si>
  <si>
    <t>Pre-emerge</t>
  </si>
  <si>
    <t>2 weeks later</t>
  </si>
  <si>
    <t>Pre/Post-emerge</t>
  </si>
  <si>
    <t>Pre/Post-emerge + spot</t>
  </si>
  <si>
    <t>summer</t>
  </si>
  <si>
    <t>Aphids</t>
  </si>
  <si>
    <t>Summer Spot Treatment</t>
  </si>
  <si>
    <t>Nutsedge</t>
  </si>
  <si>
    <t>Johnson Grass</t>
  </si>
  <si>
    <t>Virginia Buttonweed</t>
  </si>
  <si>
    <t>Poa Annua</t>
  </si>
  <si>
    <t>Spurge</t>
  </si>
  <si>
    <t>Zoysia/Bermuda - 2 applications</t>
  </si>
  <si>
    <t>St. Augustine/Centipede - 1 application</t>
  </si>
  <si>
    <t>Fall Fungus (Large Patch/Rhizoctonia solani)</t>
  </si>
  <si>
    <t>spring/fall</t>
  </si>
  <si>
    <t>Bifenthrin PL Granular (Talstar PL) </t>
  </si>
  <si>
    <t>5 lbs/1000 sq ft</t>
  </si>
  <si>
    <t>LESCO Bandit 2F</t>
  </si>
  <si>
    <t>Bandit 2F</t>
  </si>
  <si>
    <t>Imidacloprid</t>
  </si>
  <si>
    <t>432-1312</t>
  </si>
  <si>
    <t>Group 4A Insecticide</t>
  </si>
  <si>
    <t>Elevest</t>
  </si>
  <si>
    <t>279-9652</t>
  </si>
  <si>
    <t>Bifenthrin, chlorantraniliprole</t>
  </si>
  <si>
    <t>BIFENTHRIN + CHLORANTRANILIPROLE</t>
  </si>
  <si>
    <t>Group 28 Insecticide, Group 3A Insecticide</t>
  </si>
  <si>
    <t>34-0-6</t>
  </si>
  <si>
    <t>1 lb N per 1000 sq ft</t>
  </si>
  <si>
    <t>2.94 lb/1000 sq ft</t>
  </si>
  <si>
    <t>David's annual plan/schedule</t>
  </si>
  <si>
    <t>Fall</t>
  </si>
  <si>
    <t>MSM Turf (Mansion)/3-Way/MSM</t>
  </si>
  <si>
    <t>Malathion 5EC</t>
  </si>
  <si>
    <t>19713-217</t>
  </si>
  <si>
    <t>Group 1B Insecticide</t>
  </si>
  <si>
    <t>Malathion</t>
  </si>
  <si>
    <t>Specticle Flo</t>
  </si>
  <si>
    <t>8 oz per acre</t>
  </si>
  <si>
    <t>3-Way</t>
  </si>
  <si>
    <t>16 oz per acre</t>
  </si>
  <si>
    <t>1 oz per acre</t>
  </si>
  <si>
    <t>Pre-Emergent (January)</t>
  </si>
  <si>
    <t>Pre-emerge (January)</t>
  </si>
  <si>
    <t>MSM Turf (Manor)</t>
  </si>
  <si>
    <t>3-way (Triplet)</t>
  </si>
  <si>
    <t>Specticle Flo</t>
  </si>
  <si>
    <t>6 oz per acre</t>
  </si>
  <si>
    <t>24 oz per acre</t>
  </si>
  <si>
    <t>Quin-Way</t>
  </si>
  <si>
    <t>1.5 lbs plus 36 oz of seed oil for 30 gal tank. Spray every 6 weeks </t>
  </si>
  <si>
    <t>**no surfactant**</t>
  </si>
  <si>
    <t>**water in within 2 weeks**</t>
  </si>
  <si>
    <t>3 summer weed treatments for Centipede/St. Augustine</t>
  </si>
  <si>
    <t>4 summer weed treatments for Zoysia/Bermuda</t>
  </si>
  <si>
    <t>Post-Emergent (summer)</t>
  </si>
  <si>
    <t>0.33 oz per acre</t>
  </si>
  <si>
    <t>1.33 oz per acre</t>
  </si>
  <si>
    <t>Summer Spot Treatments</t>
  </si>
  <si>
    <t>Quinclorac</t>
  </si>
  <si>
    <t>42750-224-10404</t>
  </si>
  <si>
    <t>Chamberbitter (little mimosa)</t>
  </si>
  <si>
    <t>40 oz per acre</t>
  </si>
  <si>
    <t>Monument 75WG</t>
  </si>
  <si>
    <t>100-1134</t>
  </si>
  <si>
    <t>TRIFLOXYSULFURON-SODIUM</t>
  </si>
  <si>
    <t>Trifloxysulfuron-Sodium</t>
  </si>
  <si>
    <t>Envoke</t>
  </si>
  <si>
    <t>100-1132</t>
  </si>
  <si>
    <t>Princep, Monument/Envoke</t>
  </si>
  <si>
    <t>.35-.53 oz/ac
** must be 80 degrees +</t>
  </si>
  <si>
    <t>**works in cooler weather</t>
  </si>
  <si>
    <t>64 oz</t>
  </si>
  <si>
    <t>1.5 qts per 100 gal of spray solution</t>
  </si>
  <si>
    <t>128 lb/acre</t>
  </si>
  <si>
    <t>32 oz</t>
  </si>
  <si>
    <t>.18 oz per 1000 sf</t>
  </si>
  <si>
    <t>.14 oz per 1000 sf</t>
  </si>
  <si>
    <t>.55 oz per 1000 sf</t>
  </si>
  <si>
    <t>0.02 oz per 1000 sf</t>
  </si>
  <si>
    <t>1.84 gal/1000 sf</t>
  </si>
  <si>
    <t>.92 oz per 1000 sf</t>
  </si>
  <si>
    <t>.37 oz per 1000 sf</t>
  </si>
  <si>
    <t>.008 oz per 1000 sf</t>
  </si>
  <si>
    <t>.03 oz per 1000 sf</t>
  </si>
  <si>
    <t>0.66 oz</t>
  </si>
  <si>
    <t>2.66 oz</t>
  </si>
  <si>
    <t>1 Gal sprayer</t>
  </si>
  <si>
    <t>0.016 oz</t>
  </si>
  <si>
    <t>0.004 oz</t>
  </si>
  <si>
    <t>Bifinthren or Bifinthren XTS</t>
  </si>
  <si>
    <t>20 oz/acre or 8 oz/acre</t>
  </si>
  <si>
    <t>Summer Spot Treatment - Outrider/MSM Turf</t>
  </si>
  <si>
    <t>2.5 gal</t>
  </si>
  <si>
    <t>Resolute 4FL</t>
  </si>
  <si>
    <t>.25 gal (1 quart)</t>
  </si>
  <si>
    <t>MSM Turf (Mansion)</t>
  </si>
  <si>
    <t>8 oz</t>
  </si>
  <si>
    <t>.0625 gal (8 oz)</t>
  </si>
  <si>
    <t>1 gal</t>
  </si>
  <si>
    <t>Surfactant (methylated seed oil)</t>
  </si>
  <si>
    <t>Outrider (CertaintyTurf)</t>
  </si>
  <si>
    <t>1.25 oz</t>
  </si>
  <si>
    <t>50 lbs</t>
  </si>
  <si>
    <t>Quin-Way 1.5 FL</t>
  </si>
  <si>
    <t>Bifenthrin or Bifenthrin XTS</t>
  </si>
  <si>
    <t>Bifenthrin XTS</t>
  </si>
  <si>
    <t>1 qt</t>
  </si>
  <si>
    <t>25 gm</t>
  </si>
  <si>
    <t>Surfactant (generic/Surf-Ac 820)</t>
  </si>
  <si>
    <t>1 case ((4) 2.5 gal)</t>
  </si>
  <si>
    <t>200 gal. tank amount</t>
  </si>
  <si>
    <t>3 quarts</t>
  </si>
  <si>
    <t>15 oz</t>
  </si>
  <si>
    <t>60 oz</t>
  </si>
  <si>
    <t>2.5 oz</t>
  </si>
  <si>
    <t>20 oz</t>
  </si>
  <si>
    <t>100 oz</t>
  </si>
  <si>
    <t>40 oz</t>
  </si>
  <si>
    <t>cost/ounce</t>
  </si>
  <si>
    <t>per lb</t>
  </si>
  <si>
    <t>Cost per tank</t>
  </si>
  <si>
    <t>per 1000 sq ft</t>
  </si>
  <si>
    <t>Fall (pre/post emerge)</t>
  </si>
  <si>
    <t>Luther Holmes</t>
  </si>
  <si>
    <t>5481 Kaywood Drive</t>
  </si>
  <si>
    <t>luther.holmes@itron.com</t>
  </si>
  <si>
    <t>Dot Stuart</t>
  </si>
  <si>
    <t>414 Providence Drive</t>
  </si>
  <si>
    <t>601-942-0363</t>
  </si>
  <si>
    <t>601-594-6977</t>
  </si>
  <si>
    <t>Site 1</t>
  </si>
  <si>
    <t>Amazon</t>
  </si>
  <si>
    <t>32 oz (1 quart)</t>
  </si>
  <si>
    <t>Talstar PL</t>
  </si>
  <si>
    <t>25 lb</t>
  </si>
  <si>
    <t>18 oz</t>
  </si>
  <si>
    <t>$399.99
Agri Supply</t>
  </si>
  <si>
    <t>$22.22/oz</t>
  </si>
  <si>
    <t>Max Miller</t>
  </si>
  <si>
    <t>1021 Cumberland Dr.</t>
  </si>
  <si>
    <t>601-260-9442</t>
  </si>
  <si>
    <t>601209-0231</t>
  </si>
  <si>
    <t>Outrider/MSM Turf</t>
  </si>
  <si>
    <t>azoxystrobin</t>
  </si>
  <si>
    <t>Heritage G</t>
  </si>
  <si>
    <t>100-1323</t>
  </si>
  <si>
    <t>AZOXYSTROBIN</t>
  </si>
  <si>
    <t>Group 11 Fungicide</t>
  </si>
  <si>
    <t>2-4 lbs/1000 sq ft</t>
  </si>
  <si>
    <t>covers ~2.5 acres</t>
  </si>
  <si>
    <t>1 lb N per 1000 sf</t>
  </si>
  <si>
    <t>MSM Turf /3-Way/MSM</t>
  </si>
  <si>
    <t>Princep, Monument</t>
  </si>
  <si>
    <t>20 oz/ac or 8 oz/ac</t>
  </si>
  <si>
    <t>Advion</t>
  </si>
  <si>
    <t>indoxacarb</t>
  </si>
  <si>
    <t xml:space="preserve">bifenthrin  </t>
  </si>
  <si>
    <t>53883-189</t>
  </si>
  <si>
    <t xml:space="preserve">Bifenthrin </t>
  </si>
  <si>
    <t>0.07-0.30 fl. ozs. per 1000 square feet</t>
  </si>
  <si>
    <t>1 lb</t>
  </si>
  <si>
    <t>Irrigation?</t>
  </si>
  <si>
    <t>treat sod only</t>
  </si>
  <si>
    <t>Bobby Fatheree</t>
  </si>
  <si>
    <t>283 Rockbridge Drive</t>
  </si>
  <si>
    <t>Madison</t>
  </si>
  <si>
    <t>To generate an invoice:</t>
  </si>
  <si>
    <t>Make sure that the customer data is sorted by name assending</t>
  </si>
  <si>
    <t>Select the customer name from the dropdown on row 8</t>
  </si>
  <si>
    <t>Once complete, print area is already set</t>
  </si>
  <si>
    <t>To email, print as PDF and attach</t>
  </si>
  <si>
    <t>To generate a quote:</t>
  </si>
  <si>
    <t>Cryder</t>
  </si>
  <si>
    <t>91234-119</t>
  </si>
  <si>
    <t>same as Outrider</t>
  </si>
  <si>
    <t>Specticle</t>
  </si>
  <si>
    <t>Long-sleeved shirt and long pants</t>
  </si>
  <si>
    <t>Chemical-resistant gloves made of barrier laminate, butyl rubber ≥ 14 mils, nitrile rubber ≥ 14 mils, neoprene rubber ≥ 14 mils, polyvinyl chloride (PVC) ≥14 mils, or Viton™ ≥14 mils</t>
  </si>
  <si>
    <t>shoes plus socks</t>
  </si>
  <si>
    <t>protective eyewear</t>
  </si>
  <si>
    <t>1.0 gal</t>
  </si>
  <si>
    <t>cost per 100 gal</t>
  </si>
  <si>
    <t>Treatment:</t>
  </si>
  <si>
    <t>Additional services:</t>
  </si>
  <si>
    <t>**New customer discount</t>
  </si>
  <si>
    <t>Matt Runner</t>
  </si>
  <si>
    <t>$120 minus $10 new customer discount</t>
  </si>
  <si>
    <t>$60 minuse $10 new customer discount</t>
  </si>
  <si>
    <t>528 Acadian Ct.</t>
  </si>
  <si>
    <t>601-503-6548</t>
  </si>
  <si>
    <t xml:space="preserve">New customer discount </t>
  </si>
  <si>
    <t>Text address</t>
  </si>
  <si>
    <t>6019420363@cspire1.com</t>
  </si>
  <si>
    <t>6017202152@cspire1.com</t>
  </si>
  <si>
    <t>6015036548@cspire1.com</t>
  </si>
  <si>
    <t>Provider</t>
  </si>
  <si>
    <t>Email-to-SMS Address Format</t>
  </si>
  <si>
    <t>AT&amp;T</t>
  </si>
  <si>
    <t>number@txt.att.net (SMS)</t>
  </si>
  <si>
    <t>number@mms.att.net (MMS)</t>
  </si>
  <si>
    <t>Boost Mobile</t>
  </si>
  <si>
    <t>number@smsmyboostmobile.com (SMS)</t>
  </si>
  <si>
    <t>number@myboostmobile.com (MMS)</t>
  </si>
  <si>
    <t>Cricket</t>
  </si>
  <si>
    <t>number@sms.cricketwireless.net (SMS)</t>
  </si>
  <si>
    <t>number@mms.cricketwireless.net (MMS)</t>
  </si>
  <si>
    <t>Sprint</t>
  </si>
  <si>
    <t>number@messaging.sprintpcs.com (SMS)</t>
  </si>
  <si>
    <t>number@pm.sprint.com (MMS)</t>
  </si>
  <si>
    <t>T-Mobile</t>
  </si>
  <si>
    <t>number@tmomail.net (SMS and MMS)</t>
  </si>
  <si>
    <t>U.S. Cellular</t>
  </si>
  <si>
    <t>number@email.uscc.net (SMS)</t>
  </si>
  <si>
    <t>number@mms.uscc.net( MMS)</t>
  </si>
  <si>
    <t>Verizon</t>
  </si>
  <si>
    <t>number@vtext.com (SMS)</t>
  </si>
  <si>
    <t>number@vzwpix.com (MMS)</t>
  </si>
  <si>
    <t>Cspire</t>
  </si>
  <si>
    <t>number@cspire1.com</t>
  </si>
  <si>
    <t>6015946977@mms.att.net</t>
  </si>
  <si>
    <t>6012090231@mms.att.net</t>
  </si>
  <si>
    <t>6019413586@vzwpix.com</t>
  </si>
  <si>
    <t>6012609442@mms.att.net</t>
  </si>
  <si>
    <t>treat front yard only - $60 minuse $10 new cust. discount</t>
  </si>
  <si>
    <t>Asa Barnes</t>
  </si>
  <si>
    <t>314 Buttonwood Lane</t>
  </si>
  <si>
    <t>Canton</t>
  </si>
  <si>
    <t>David Fatheree</t>
  </si>
  <si>
    <t>706 Ivywood Court</t>
  </si>
  <si>
    <t>Lawn Weed Treatment</t>
  </si>
  <si>
    <t>Landscape Bed Weed Treatment</t>
  </si>
  <si>
    <t>Lawn Fertilizer Treatment</t>
  </si>
  <si>
    <t>Winter Pre-emergent</t>
  </si>
  <si>
    <t>Summer Post-emergent</t>
  </si>
  <si>
    <t>Fall Post-emergent/pre-emergent</t>
  </si>
  <si>
    <t>Monthly - January to November</t>
  </si>
  <si>
    <t>May &amp; July</t>
  </si>
  <si>
    <t>October</t>
  </si>
  <si>
    <t>September - 1st of 2 Treatments for St. Augustine Lawns</t>
  </si>
  <si>
    <t>Parking Lot Weed Control</t>
  </si>
  <si>
    <t>Specialty Services</t>
  </si>
  <si>
    <t>March - 2nd of 2 Treatments for St. Augustine Lawns, single treatment for Centipede</t>
  </si>
  <si>
    <t>June/July</t>
  </si>
  <si>
    <t>Prices</t>
  </si>
  <si>
    <t>Lawn weed treatments</t>
  </si>
  <si>
    <t>quote</t>
  </si>
  <si>
    <t>Landscape bed weed treatment</t>
  </si>
  <si>
    <t>Lawn fertilizer</t>
  </si>
  <si>
    <t>fireants</t>
  </si>
  <si>
    <t>Bifen L/P Granules 25LBS</t>
  </si>
  <si>
    <t>$4.60/1000 sf for pesticide</t>
  </si>
  <si>
    <t>Fall Fungus (Rhizoctonia solani)</t>
  </si>
  <si>
    <t>per 1000 sf</t>
  </si>
  <si>
    <t>$0.27/1000 sf for pesticide</t>
  </si>
  <si>
    <t>0.1 to 0.2 fl oz (3 to 6 mL) per inch of trunk diameter (D.B.H.)</t>
  </si>
  <si>
    <t>3 seconds of drench per inch of diameter of tree trunk (D.B.H.)</t>
  </si>
  <si>
    <t>April</t>
  </si>
  <si>
    <t>Malathion 50 Plus</t>
  </si>
  <si>
    <t>1 pint</t>
  </si>
  <si>
    <t>30 lbs</t>
  </si>
  <si>
    <t>per gallon</t>
  </si>
  <si>
    <t>$9.68/1000 sf for fungicide</t>
  </si>
  <si>
    <t>Credit 41 Extra</t>
  </si>
  <si>
    <t>71368-20</t>
  </si>
  <si>
    <t>GLYPHOSATE</t>
  </si>
  <si>
    <t>Group 9 Herbicide</t>
  </si>
  <si>
    <t>Glyphosate, isopropylamine salt</t>
  </si>
  <si>
    <t>16 - 160 Oz / Tr Ac</t>
  </si>
  <si>
    <t>Credit 41 Extra (glyphosate)</t>
  </si>
  <si>
    <t>Pesticide</t>
  </si>
  <si>
    <t>$2.82  per 1000 sf</t>
  </si>
  <si>
    <t>$2.82 per 1000 sf for fertilizer</t>
  </si>
  <si>
    <t>Parking Lot/Driveway Weed Control</t>
  </si>
  <si>
    <t>$0.66 per ounce</t>
  </si>
  <si>
    <t>$0.50/1000 sf for herbicide</t>
  </si>
  <si>
    <t>last week of January - first week of February</t>
  </si>
  <si>
    <t>start after Winter Pre-emerg</t>
  </si>
  <si>
    <t>Spring Pre-emergent
(zoysia/Bermuda only)</t>
  </si>
  <si>
    <t>(only by request)</t>
  </si>
  <si>
    <t>Summer Spot Treatment (included with fertilization)</t>
  </si>
  <si>
    <t>~$10 per 1000 sf, $60 minimum</t>
  </si>
  <si>
    <t>Glyphosate</t>
  </si>
  <si>
    <t>26 oz per acre</t>
  </si>
  <si>
    <t>.6 oz per 1000 sf</t>
  </si>
  <si>
    <t>Matt Stowers, (601)941-3586, timeoutlawncare@gmail.com</t>
  </si>
  <si>
    <t>Treat front yard only</t>
  </si>
  <si>
    <t>16 oz</t>
  </si>
  <si>
    <t>43,560 sq. ft. per acre</t>
  </si>
  <si>
    <t>Bo Whatley</t>
  </si>
  <si>
    <t>126 Cypress Ridge Drive</t>
  </si>
  <si>
    <t>Riley Bennett</t>
  </si>
  <si>
    <t>417 Edgewood Crossing</t>
  </si>
  <si>
    <t>Brandon Bergold</t>
  </si>
  <si>
    <t>3 Glensview Court</t>
  </si>
  <si>
    <t>Max Brian</t>
  </si>
  <si>
    <t>121 Meadow Creek Drive</t>
  </si>
  <si>
    <t>RRSI</t>
  </si>
  <si>
    <t>NA</t>
  </si>
  <si>
    <t>Non-Ionic Surfactant</t>
  </si>
  <si>
    <t>PMCC</t>
  </si>
  <si>
    <t>Glycols, free fatty acids</t>
  </si>
  <si>
    <t>1/2 - 2 pints per 100 gal</t>
  </si>
  <si>
    <t>12.8 oz per acre</t>
  </si>
  <si>
    <t>.29 oz per 1000 sf</t>
  </si>
  <si>
    <t>0.7 oz</t>
  </si>
  <si>
    <t>Rometsol 60</t>
  </si>
  <si>
    <t>83100-2-83979</t>
  </si>
  <si>
    <t>0.125 - 1 Oz / Tr Ac</t>
  </si>
  <si>
    <t>MSM (Rometsol)</t>
  </si>
  <si>
    <t>0.28 oz per acre</t>
  </si>
  <si>
    <t>.006 oz per 1000 sf</t>
  </si>
  <si>
    <t>.7 oz</t>
  </si>
  <si>
    <t>4 oz</t>
  </si>
  <si>
    <t>Centipede</t>
  </si>
  <si>
    <t>Nick Tucker</t>
  </si>
  <si>
    <t>309 Leland Drive</t>
  </si>
  <si>
    <t>Riley Cooper</t>
  </si>
  <si>
    <t>227 Westfield Road</t>
  </si>
  <si>
    <t>Ridgeland</t>
  </si>
  <si>
    <t>St. Augustine</t>
  </si>
  <si>
    <t>Thomas Wilson</t>
  </si>
  <si>
    <t>213 Westfield Road</t>
  </si>
  <si>
    <t>Elliot Smith</t>
  </si>
  <si>
    <t>103 Glenartney St.</t>
  </si>
  <si>
    <t>weeds</t>
  </si>
  <si>
    <t>Spring Preemerge (Jan)</t>
  </si>
  <si>
    <t>Spring Preemerge (Apr)</t>
  </si>
  <si>
    <t>Application Rates Oz. per Acre (Fall)</t>
  </si>
  <si>
    <t>Application Rates Oz. per Acre (Spring - Jan)</t>
  </si>
  <si>
    <t>Application Rates Oz. per Acre (Spring - Apr)</t>
  </si>
  <si>
    <t>Danny Cooper</t>
  </si>
  <si>
    <t>129 Sawbridge Drive</t>
  </si>
  <si>
    <t>Troy Stokes</t>
  </si>
  <si>
    <t>100 Spring Valley Drive</t>
  </si>
  <si>
    <t>front yard only</t>
  </si>
  <si>
    <t>Steve Edwards</t>
  </si>
  <si>
    <t>71 Saint Andrews Drive</t>
  </si>
  <si>
    <t>Seth Simmons</t>
  </si>
  <si>
    <t>202 Highland Garrison</t>
  </si>
  <si>
    <t>Gay Grantham</t>
  </si>
  <si>
    <t>204 West Brandon Court</t>
  </si>
  <si>
    <t>Browning Bergold</t>
  </si>
  <si>
    <t>121 Hidden Hills Drive</t>
  </si>
  <si>
    <t>Pre-Emergent (April)</t>
  </si>
  <si>
    <t>16 oz per 100 gal of spray solution</t>
  </si>
  <si>
    <t>Mallet 2F T&amp;O</t>
  </si>
  <si>
    <t>Zoxy 2F II</t>
  </si>
  <si>
    <t>LESCO Bandit 2F or Mallet 2F T&amp;O</t>
  </si>
  <si>
    <t>Spring/Fall Fungus (Large Patch/Rhizoctonia solani)</t>
  </si>
  <si>
    <t>Centipede &amp; St. Augustine ONLY</t>
  </si>
  <si>
    <t>89442-21</t>
  </si>
  <si>
    <t>0.38-0.77 oz/1000 sq ft</t>
  </si>
  <si>
    <t>228-695</t>
  </si>
  <si>
    <t>0.46 - 0.6 Oz / 1000 Sq Ft</t>
  </si>
  <si>
    <t>Certainty Turf</t>
  </si>
  <si>
    <t>59639-226</t>
  </si>
  <si>
    <t>0.75 - 2 Oz / Tr Ac</t>
  </si>
  <si>
    <t>1.25 oz per acre</t>
  </si>
  <si>
    <t>0.03 oz per 1000 sf</t>
  </si>
  <si>
    <t>3.125 oz</t>
  </si>
  <si>
    <t>Jordan Bane</t>
  </si>
  <si>
    <t>307 Austin Circle</t>
  </si>
  <si>
    <t>Gene Henderson</t>
  </si>
  <si>
    <t>104 East Sunset Drive</t>
  </si>
  <si>
    <t>Roe Grubbs</t>
  </si>
  <si>
    <t>104 Glenartney Street</t>
  </si>
  <si>
    <t>Dallas grass</t>
  </si>
  <si>
    <t>MSMA/Derigo</t>
  </si>
  <si>
    <t>Derigo</t>
  </si>
  <si>
    <t>432-1533</t>
  </si>
  <si>
    <t>FORAMSULFURON + IODOSULFURON + THIENCARBAZONE</t>
  </si>
  <si>
    <t>Foramsulfuron, Iodosulfuron-methyl-sodium, Thiencarbazone-methyl</t>
  </si>
  <si>
    <t>0.5 - 6 Oz / Tr Ac</t>
  </si>
  <si>
    <t>200 lbs/acre</t>
  </si>
  <si>
    <t>David:</t>
  </si>
  <si>
    <t>228-445</t>
  </si>
  <si>
    <t>MCPA + FLUROXYPYR + DICAMBA</t>
  </si>
  <si>
    <t>Dicamba, fluroxypyr, 1-methylheptyl ester, MCPA, dimethylamine salt</t>
  </si>
  <si>
    <t>0.46 - 1.1 Oz / 1000 Sq Ft</t>
  </si>
  <si>
    <t>Change Up
**David using this instead of 3-Way for summer post-emerge</t>
  </si>
  <si>
    <t>Harrell's ProtectMAX Southside
**David using this instead of Outrider for summer post-emerge</t>
  </si>
  <si>
    <t>228-754-52287</t>
  </si>
  <si>
    <t>Sulfosulfuron
Metsulfuron</t>
  </si>
  <si>
    <t>1.5 oz /Acre</t>
  </si>
  <si>
    <t>Sandra Rainer</t>
  </si>
  <si>
    <t>Allen Barnes</t>
  </si>
  <si>
    <t>631 Tucker Crossing</t>
  </si>
  <si>
    <t>Gary Jordan</t>
  </si>
  <si>
    <t>Carl Easley</t>
  </si>
  <si>
    <t>631 Big Valley Loop</t>
  </si>
  <si>
    <t>Flowood</t>
  </si>
  <si>
    <t>1.0 oz per acre</t>
  </si>
  <si>
    <t>1.33 summer</t>
  </si>
  <si>
    <t>Kyle Hansen</t>
  </si>
  <si>
    <t>Judy Rogers</t>
  </si>
  <si>
    <t>315 Mary Ann Drive</t>
  </si>
  <si>
    <t>Marty Bryant</t>
  </si>
  <si>
    <t>145 Virginia Valley Drive</t>
  </si>
  <si>
    <t>David Morrow</t>
  </si>
  <si>
    <t>1403 Cassandra Place</t>
  </si>
  <si>
    <t>Yes</t>
  </si>
  <si>
    <t>Adam Noland</t>
  </si>
  <si>
    <t>144 Seville Way</t>
  </si>
  <si>
    <t>mixture</t>
  </si>
  <si>
    <t>Luther Holmes (mother-in-law)</t>
  </si>
  <si>
    <t>1525 Kristen Drive</t>
  </si>
  <si>
    <t>front yard only, **1 treatment</t>
  </si>
  <si>
    <t>Headwaters, Inc.</t>
  </si>
  <si>
    <t>167 Orchard Lane</t>
  </si>
  <si>
    <t>Sam Goff</t>
  </si>
  <si>
    <t>129 Meadowcreek Drive</t>
  </si>
  <si>
    <t xml:space="preserve">MS </t>
  </si>
  <si>
    <t>Bermuda</t>
  </si>
  <si>
    <t>Reagan Wallace</t>
  </si>
  <si>
    <t>Andy Harrist</t>
  </si>
  <si>
    <t>939 South College Street</t>
  </si>
  <si>
    <t>Mixed</t>
  </si>
  <si>
    <t>No</t>
  </si>
  <si>
    <t>David Morrow Jr</t>
  </si>
  <si>
    <t>125 Wynn Drive</t>
  </si>
  <si>
    <t>Jones Mcphereson</t>
  </si>
  <si>
    <t>147 Saint Andrews Drive</t>
  </si>
  <si>
    <t>Brand Name 1
&amp; EPA Number</t>
  </si>
  <si>
    <t>Customer Street</t>
  </si>
  <si>
    <t>Customer City</t>
  </si>
  <si>
    <t>Customer State</t>
  </si>
  <si>
    <t>Customer Zip</t>
  </si>
  <si>
    <t>3342-MS 18</t>
  </si>
  <si>
    <t>109 Meadow Creek Drive</t>
  </si>
  <si>
    <t>300 Brent Wood Street</t>
  </si>
  <si>
    <t>302 Remington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</si>
</sst>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%"/>
  </numFmts>
  <fonts count="48"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11"/>
      <name val="Calibri"/>
      <family val="2"/>
    </font>
    <font>
      <b/>
      <sz val="8"/>
      <color rgb="FF8A8A8A"/>
      <name val="Inherit"/>
    </font>
    <font>
      <b/>
      <sz val="12"/>
      <name val="Georgia"/>
      <family val="1"/>
    </font>
    <font>
      <sz val="10"/>
      <color rgb="FF000000"/>
      <name val="Arial"/>
      <family val="2"/>
    </font>
    <font>
      <b/>
      <sz val="11"/>
      <color theme="0"/>
      <name val="Aptos Narrow"/>
      <family val="2"/>
      <scheme val="minor"/>
    </font>
    <font>
      <u/>
      <sz val="10"/>
      <color theme="10"/>
      <name val="Arial"/>
      <family val="2"/>
    </font>
    <font>
      <sz val="11"/>
      <name val="Arial"/>
      <family val="2"/>
    </font>
    <font>
      <sz val="16"/>
      <name val="Aptos Display"/>
      <family val="2"/>
      <scheme val="major"/>
    </font>
    <font>
      <sz val="11"/>
      <name val="Aptos Display"/>
      <family val="2"/>
      <scheme val="major"/>
    </font>
    <font>
      <b/>
      <sz val="36"/>
      <color theme="4" tint="-0.249977111117893"/>
      <name val="Aptos Display"/>
      <family val="2"/>
      <scheme val="maj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u/>
      <sz val="10"/>
      <color indexed="12"/>
      <name val="Arial"/>
      <family val="2"/>
    </font>
    <font>
      <b/>
      <sz val="9"/>
      <color theme="1" tint="0.34998626667073579"/>
      <name val="Aptos Narrow"/>
      <family val="2"/>
      <scheme val="minor"/>
    </font>
    <font>
      <sz val="10"/>
      <color theme="1" tint="0.34998626667073579"/>
      <name val="Aptos Narrow"/>
      <family val="2"/>
      <scheme val="minor"/>
    </font>
    <font>
      <b/>
      <i/>
      <sz val="12"/>
      <color theme="4" tint="-0.249977111117893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theme="4" tint="-0.49998474074526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b/>
      <sz val="20"/>
      <color theme="9" tint="-0.249977111117893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u/>
      <sz val="8"/>
      <color theme="10"/>
      <name val="Arial"/>
      <family val="2"/>
    </font>
    <font>
      <sz val="10"/>
      <color rgb="FF007B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0"/>
      <name val="Aptos Display"/>
      <family val="2"/>
      <scheme val="major"/>
    </font>
    <font>
      <b/>
      <sz val="8"/>
      <color rgb="FF666666"/>
      <name val="Arial"/>
      <family val="2"/>
    </font>
    <font>
      <sz val="8"/>
      <color rgb="FF666666"/>
      <name val="Arial"/>
      <family val="2"/>
    </font>
    <font>
      <sz val="10.5"/>
      <name val="Verdana"/>
      <family val="2"/>
    </font>
    <font>
      <b/>
      <sz val="12"/>
      <name val="Aptos Display"/>
      <family val="2"/>
      <scheme val="major"/>
    </font>
    <font>
      <strike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name val="Aptos Display"/>
      <family val="2"/>
    </font>
    <font>
      <strike/>
      <sz val="10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0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0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theme="4" tint="-0.2499465926084170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20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3" fillId="0" borderId="0" xfId="0" applyFont="1"/>
    <xf numFmtId="44" fontId="0" fillId="0" borderId="0" xfId="2" applyFont="1"/>
    <xf numFmtId="0" fontId="4" fillId="0" borderId="1" xfId="0" applyFont="1" applyBorder="1" applyProtection="1">
      <protection locked="0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44" fontId="1" fillId="2" borderId="2" xfId="2" applyFont="1" applyFill="1" applyBorder="1" applyAlignment="1">
      <alignment horizontal="center" wrapText="1"/>
    </xf>
    <xf numFmtId="0" fontId="4" fillId="0" borderId="1" xfId="0" applyFont="1" applyBorder="1"/>
    <xf numFmtId="14" fontId="4" fillId="0" borderId="1" xfId="0" applyNumberFormat="1" applyFont="1" applyBorder="1" applyProtection="1">
      <protection locked="0"/>
    </xf>
    <xf numFmtId="18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3" xfId="0" applyFont="1" applyBorder="1"/>
    <xf numFmtId="0" fontId="4" fillId="0" borderId="1" xfId="0" applyFont="1" applyBorder="1" applyAlignment="1">
      <alignment horizontal="center"/>
    </xf>
    <xf numFmtId="43" fontId="4" fillId="0" borderId="1" xfId="1" applyFont="1" applyBorder="1" applyAlignment="1" applyProtection="1">
      <alignment horizontal="center"/>
      <protection locked="0"/>
    </xf>
    <xf numFmtId="165" fontId="4" fillId="0" borderId="1" xfId="1" applyNumberFormat="1" applyFont="1" applyBorder="1" applyProtection="1"/>
    <xf numFmtId="44" fontId="4" fillId="0" borderId="1" xfId="2" applyFont="1" applyBorder="1" applyProtection="1"/>
    <xf numFmtId="16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7" fontId="4" fillId="0" borderId="1" xfId="2" applyNumberFormat="1" applyFont="1" applyBorder="1" applyAlignment="1" applyProtection="1">
      <alignment horizontal="center"/>
    </xf>
    <xf numFmtId="7" fontId="4" fillId="0" borderId="1" xfId="2" applyNumberFormat="1" applyFont="1" applyBorder="1" applyProtection="1"/>
    <xf numFmtId="164" fontId="4" fillId="0" borderId="1" xfId="0" applyNumberFormat="1" applyFont="1" applyBorder="1" applyAlignment="1">
      <alignment horizontal="center"/>
    </xf>
    <xf numFmtId="18" fontId="4" fillId="0" borderId="3" xfId="0" applyNumberFormat="1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4" fillId="0" borderId="3" xfId="0" applyFont="1" applyBorder="1" applyAlignment="1" applyProtection="1">
      <alignment horizontal="center" wrapText="1"/>
      <protection locked="0"/>
    </xf>
    <xf numFmtId="0" fontId="4" fillId="0" borderId="4" xfId="0" applyFont="1" applyBorder="1" applyProtection="1">
      <protection locked="0"/>
    </xf>
    <xf numFmtId="0" fontId="4" fillId="0" borderId="6" xfId="0" applyFont="1" applyBorder="1" applyProtection="1">
      <protection locked="0"/>
    </xf>
    <xf numFmtId="49" fontId="4" fillId="0" borderId="0" xfId="0" applyNumberFormat="1" applyFont="1" applyProtection="1">
      <protection locked="0"/>
    </xf>
    <xf numFmtId="49" fontId="4" fillId="0" borderId="3" xfId="0" applyNumberFormat="1" applyFont="1" applyBorder="1" applyProtection="1">
      <protection locked="0"/>
    </xf>
    <xf numFmtId="49" fontId="4" fillId="0" borderId="7" xfId="0" applyNumberFormat="1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4" fillId="0" borderId="7" xfId="0" applyFont="1" applyBorder="1"/>
    <xf numFmtId="0" fontId="4" fillId="0" borderId="7" xfId="0" applyFont="1" applyBorder="1" applyAlignment="1" applyProtection="1">
      <alignment horizontal="center" wrapText="1"/>
      <protection locked="0"/>
    </xf>
    <xf numFmtId="0" fontId="4" fillId="0" borderId="8" xfId="0" applyFont="1" applyBorder="1" applyProtection="1">
      <protection locked="0"/>
    </xf>
    <xf numFmtId="0" fontId="0" fillId="0" borderId="0" xfId="0" applyAlignment="1">
      <alignment horizontal="center" wrapText="1"/>
    </xf>
    <xf numFmtId="0" fontId="1" fillId="2" borderId="5" xfId="0" applyFont="1" applyFill="1" applyBorder="1" applyAlignment="1">
      <alignment wrapText="1"/>
    </xf>
    <xf numFmtId="0" fontId="9" fillId="0" borderId="0" xfId="0" applyFont="1"/>
    <xf numFmtId="10" fontId="3" fillId="0" borderId="0" xfId="0" applyNumberFormat="1" applyFont="1"/>
    <xf numFmtId="9" fontId="3" fillId="0" borderId="0" xfId="0" applyNumberFormat="1" applyFont="1"/>
    <xf numFmtId="0" fontId="9" fillId="0" borderId="9" xfId="0" applyFont="1" applyBorder="1"/>
    <xf numFmtId="0" fontId="9" fillId="0" borderId="10" xfId="0" applyFont="1" applyBorder="1"/>
    <xf numFmtId="0" fontId="0" fillId="0" borderId="11" xfId="0" applyBorder="1"/>
    <xf numFmtId="0" fontId="0" fillId="0" borderId="12" xfId="0" quotePrefix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9" fillId="0" borderId="15" xfId="0" applyFont="1" applyBorder="1"/>
    <xf numFmtId="0" fontId="0" fillId="0" borderId="16" xfId="0" applyBorder="1"/>
    <xf numFmtId="0" fontId="0" fillId="0" borderId="17" xfId="0" applyBorder="1"/>
    <xf numFmtId="0" fontId="4" fillId="0" borderId="3" xfId="0" quotePrefix="1" applyFont="1" applyBorder="1"/>
    <xf numFmtId="0" fontId="4" fillId="0" borderId="3" xfId="0" quotePrefix="1" applyFont="1" applyBorder="1" applyAlignment="1">
      <alignment wrapText="1"/>
    </xf>
    <xf numFmtId="0" fontId="14" fillId="0" borderId="0" xfId="4" applyFont="1" applyAlignment="1" applyProtection="1">
      <alignment vertical="center"/>
      <protection locked="0"/>
    </xf>
    <xf numFmtId="0" fontId="15" fillId="0" borderId="0" xfId="4" applyFont="1"/>
    <xf numFmtId="0" fontId="17" fillId="0" borderId="0" xfId="4" applyFont="1"/>
    <xf numFmtId="0" fontId="18" fillId="0" borderId="0" xfId="4" applyFont="1" applyAlignment="1" applyProtection="1">
      <alignment vertical="center"/>
      <protection locked="0"/>
    </xf>
    <xf numFmtId="0" fontId="19" fillId="0" borderId="0" xfId="4" applyFont="1" applyAlignment="1" applyProtection="1">
      <alignment vertical="top"/>
      <protection locked="0"/>
    </xf>
    <xf numFmtId="0" fontId="19" fillId="0" borderId="0" xfId="4" applyFont="1" applyAlignment="1">
      <alignment vertical="center"/>
    </xf>
    <xf numFmtId="0" fontId="19" fillId="0" borderId="0" xfId="4" applyFont="1" applyAlignment="1" applyProtection="1">
      <alignment vertical="center"/>
      <protection locked="0"/>
    </xf>
    <xf numFmtId="0" fontId="21" fillId="0" borderId="0" xfId="5" applyFont="1" applyAlignment="1" applyProtection="1">
      <alignment horizontal="left"/>
    </xf>
    <xf numFmtId="0" fontId="22" fillId="0" borderId="0" xfId="4" applyFont="1" applyAlignment="1">
      <alignment vertical="top"/>
    </xf>
    <xf numFmtId="0" fontId="11" fillId="3" borderId="0" xfId="4" applyFont="1" applyFill="1" applyAlignment="1">
      <alignment horizontal="center" vertical="center"/>
    </xf>
    <xf numFmtId="14" fontId="18" fillId="0" borderId="0" xfId="4" applyNumberFormat="1" applyFont="1" applyAlignment="1">
      <alignment horizontal="center" vertical="center"/>
    </xf>
    <xf numFmtId="0" fontId="19" fillId="0" borderId="0" xfId="4" applyFont="1"/>
    <xf numFmtId="0" fontId="11" fillId="3" borderId="0" xfId="4" applyFont="1" applyFill="1" applyAlignment="1">
      <alignment horizontal="left" vertical="center" indent="1"/>
    </xf>
    <xf numFmtId="0" fontId="18" fillId="0" borderId="0" xfId="4" applyFont="1" applyAlignment="1">
      <alignment horizontal="center" vertical="center"/>
    </xf>
    <xf numFmtId="0" fontId="11" fillId="3" borderId="0" xfId="4" applyFont="1" applyFill="1" applyAlignment="1">
      <alignment vertical="center"/>
    </xf>
    <xf numFmtId="0" fontId="19" fillId="4" borderId="18" xfId="4" applyFont="1" applyFill="1" applyBorder="1" applyAlignment="1" applyProtection="1">
      <alignment vertical="center"/>
      <protection locked="0"/>
    </xf>
    <xf numFmtId="0" fontId="19" fillId="4" borderId="19" xfId="4" applyFont="1" applyFill="1" applyBorder="1" applyAlignment="1" applyProtection="1">
      <alignment vertical="center"/>
      <protection locked="0"/>
    </xf>
    <xf numFmtId="0" fontId="19" fillId="4" borderId="20" xfId="4" applyFont="1" applyFill="1" applyBorder="1" applyAlignment="1" applyProtection="1">
      <alignment horizontal="center" vertical="center"/>
      <protection locked="0"/>
    </xf>
    <xf numFmtId="43" fontId="19" fillId="4" borderId="20" xfId="4" applyNumberFormat="1" applyFont="1" applyFill="1" applyBorder="1" applyAlignment="1" applyProtection="1">
      <alignment vertical="center"/>
      <protection locked="0"/>
    </xf>
    <xf numFmtId="43" fontId="19" fillId="4" borderId="21" xfId="4" applyNumberFormat="1" applyFont="1" applyFill="1" applyBorder="1" applyAlignment="1">
      <alignment vertical="center"/>
    </xf>
    <xf numFmtId="0" fontId="19" fillId="0" borderId="22" xfId="4" applyFont="1" applyBorder="1" applyAlignment="1" applyProtection="1">
      <alignment vertical="center"/>
      <protection locked="0"/>
    </xf>
    <xf numFmtId="0" fontId="19" fillId="0" borderId="23" xfId="4" applyFont="1" applyBorder="1" applyAlignment="1" applyProtection="1">
      <alignment vertical="center"/>
      <protection locked="0"/>
    </xf>
    <xf numFmtId="0" fontId="19" fillId="0" borderId="24" xfId="4" applyFont="1" applyBorder="1" applyAlignment="1" applyProtection="1">
      <alignment horizontal="center" vertical="center"/>
      <protection locked="0"/>
    </xf>
    <xf numFmtId="43" fontId="19" fillId="0" borderId="24" xfId="4" applyNumberFormat="1" applyFont="1" applyBorder="1" applyAlignment="1" applyProtection="1">
      <alignment vertical="center"/>
      <protection locked="0"/>
    </xf>
    <xf numFmtId="43" fontId="19" fillId="0" borderId="25" xfId="4" applyNumberFormat="1" applyFont="1" applyBorder="1" applyAlignment="1">
      <alignment vertical="center"/>
    </xf>
    <xf numFmtId="0" fontId="19" fillId="0" borderId="26" xfId="4" applyFont="1" applyBorder="1" applyAlignment="1" applyProtection="1">
      <alignment vertical="center"/>
      <protection locked="0"/>
    </xf>
    <xf numFmtId="0" fontId="19" fillId="0" borderId="27" xfId="4" applyFont="1" applyBorder="1" applyAlignment="1" applyProtection="1">
      <alignment vertical="center"/>
      <protection locked="0"/>
    </xf>
    <xf numFmtId="0" fontId="19" fillId="0" borderId="28" xfId="4" applyFont="1" applyBorder="1" applyAlignment="1" applyProtection="1">
      <alignment horizontal="center" vertical="center"/>
      <protection locked="0"/>
    </xf>
    <xf numFmtId="43" fontId="19" fillId="0" borderId="28" xfId="4" applyNumberFormat="1" applyFont="1" applyBorder="1" applyAlignment="1" applyProtection="1">
      <alignment vertical="center"/>
      <protection locked="0"/>
    </xf>
    <xf numFmtId="43" fontId="19" fillId="0" borderId="29" xfId="4" applyNumberFormat="1" applyFont="1" applyBorder="1" applyAlignment="1">
      <alignment vertical="center"/>
    </xf>
    <xf numFmtId="0" fontId="24" fillId="6" borderId="0" xfId="4" applyFont="1" applyFill="1" applyAlignment="1">
      <alignment horizontal="left" vertical="center" indent="1"/>
    </xf>
    <xf numFmtId="43" fontId="24" fillId="7" borderId="0" xfId="4" applyNumberFormat="1" applyFont="1" applyFill="1" applyAlignment="1">
      <alignment vertical="center"/>
    </xf>
    <xf numFmtId="0" fontId="17" fillId="0" borderId="0" xfId="4" applyFont="1" applyAlignment="1">
      <alignment vertical="center"/>
    </xf>
    <xf numFmtId="0" fontId="24" fillId="0" borderId="0" xfId="4" applyFont="1" applyAlignment="1">
      <alignment horizontal="left" vertical="center" indent="1"/>
    </xf>
    <xf numFmtId="0" fontId="24" fillId="0" borderId="0" xfId="4" applyFont="1"/>
    <xf numFmtId="0" fontId="25" fillId="6" borderId="0" xfId="4" applyFont="1" applyFill="1" applyAlignment="1">
      <alignment horizontal="left" vertical="center" indent="1"/>
    </xf>
    <xf numFmtId="44" fontId="26" fillId="7" borderId="0" xfId="4" applyNumberFormat="1" applyFont="1" applyFill="1" applyAlignment="1">
      <alignment vertical="center"/>
    </xf>
    <xf numFmtId="44" fontId="27" fillId="0" borderId="0" xfId="4" applyNumberFormat="1" applyFont="1" applyAlignment="1">
      <alignment horizontal="right" vertical="center"/>
    </xf>
    <xf numFmtId="0" fontId="9" fillId="0" borderId="15" xfId="0" applyFont="1" applyBorder="1" applyAlignment="1">
      <alignment wrapText="1"/>
    </xf>
    <xf numFmtId="166" fontId="24" fillId="7" borderId="0" xfId="4" applyNumberFormat="1" applyFont="1" applyFill="1" applyAlignment="1">
      <alignment vertical="center"/>
    </xf>
    <xf numFmtId="9" fontId="19" fillId="0" borderId="24" xfId="4" applyNumberFormat="1" applyFont="1" applyBorder="1" applyAlignment="1" applyProtection="1">
      <alignment vertical="center"/>
      <protection locked="0"/>
    </xf>
    <xf numFmtId="44" fontId="4" fillId="0" borderId="4" xfId="2" applyFont="1" applyBorder="1" applyProtection="1">
      <protection locked="0"/>
    </xf>
    <xf numFmtId="44" fontId="4" fillId="0" borderId="6" xfId="2" applyFont="1" applyBorder="1" applyProtection="1">
      <protection locked="0"/>
    </xf>
    <xf numFmtId="0" fontId="29" fillId="0" borderId="0" xfId="4" applyFont="1" applyAlignment="1" applyProtection="1">
      <alignment vertical="center"/>
      <protection locked="0"/>
    </xf>
    <xf numFmtId="0" fontId="1" fillId="2" borderId="5" xfId="0" applyFont="1" applyFill="1" applyBorder="1" applyAlignment="1">
      <alignment horizontal="center" vertical="center" wrapText="1"/>
    </xf>
    <xf numFmtId="0" fontId="19" fillId="0" borderId="30" xfId="4" applyFont="1" applyBorder="1" applyAlignment="1" applyProtection="1">
      <alignment vertical="center"/>
      <protection locked="0"/>
    </xf>
    <xf numFmtId="0" fontId="19" fillId="0" borderId="31" xfId="4" applyFont="1" applyBorder="1" applyAlignment="1" applyProtection="1">
      <alignment vertical="center"/>
      <protection locked="0"/>
    </xf>
    <xf numFmtId="14" fontId="19" fillId="0" borderId="24" xfId="4" applyNumberFormat="1" applyFont="1" applyBorder="1" applyAlignment="1" applyProtection="1">
      <alignment horizontal="center" vertical="center"/>
      <protection locked="0"/>
    </xf>
    <xf numFmtId="0" fontId="17" fillId="0" borderId="9" xfId="4" applyFont="1" applyBorder="1"/>
    <xf numFmtId="0" fontId="19" fillId="0" borderId="32" xfId="4" applyFont="1" applyBorder="1" applyAlignment="1" applyProtection="1">
      <alignment vertical="center"/>
      <protection locked="0"/>
    </xf>
    <xf numFmtId="0" fontId="19" fillId="0" borderId="32" xfId="4" applyFont="1" applyBorder="1"/>
    <xf numFmtId="0" fontId="19" fillId="0" borderId="32" xfId="4" applyFont="1" applyBorder="1" applyAlignment="1">
      <alignment vertical="center"/>
    </xf>
    <xf numFmtId="0" fontId="19" fillId="0" borderId="10" xfId="4" applyFont="1" applyBorder="1" applyAlignment="1">
      <alignment vertical="center"/>
    </xf>
    <xf numFmtId="0" fontId="19" fillId="0" borderId="11" xfId="4" applyFont="1" applyBorder="1" applyAlignment="1" applyProtection="1">
      <alignment vertical="center"/>
      <protection locked="0"/>
    </xf>
    <xf numFmtId="0" fontId="19" fillId="0" borderId="12" xfId="4" applyFont="1" applyBorder="1" applyAlignment="1">
      <alignment vertical="center"/>
    </xf>
    <xf numFmtId="0" fontId="19" fillId="0" borderId="13" xfId="4" applyFont="1" applyBorder="1" applyAlignment="1">
      <alignment vertical="center"/>
    </xf>
    <xf numFmtId="0" fontId="19" fillId="0" borderId="33" xfId="4" applyFont="1" applyBorder="1" applyAlignment="1">
      <alignment vertical="center"/>
    </xf>
    <xf numFmtId="0" fontId="19" fillId="0" borderId="14" xfId="4" applyFont="1" applyBorder="1" applyAlignment="1">
      <alignment vertical="center"/>
    </xf>
    <xf numFmtId="14" fontId="19" fillId="0" borderId="34" xfId="4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center"/>
    </xf>
    <xf numFmtId="0" fontId="31" fillId="0" borderId="0" xfId="0" applyFont="1"/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44" fontId="3" fillId="0" borderId="0" xfId="0" applyNumberFormat="1" applyFont="1"/>
    <xf numFmtId="0" fontId="28" fillId="0" borderId="0" xfId="4" applyFont="1" applyAlignment="1" applyProtection="1">
      <alignment vertical="center"/>
      <protection locked="0"/>
    </xf>
    <xf numFmtId="40" fontId="19" fillId="4" borderId="21" xfId="4" applyNumberFormat="1" applyFont="1" applyFill="1" applyBorder="1" applyAlignment="1">
      <alignment vertical="center"/>
    </xf>
    <xf numFmtId="44" fontId="0" fillId="0" borderId="0" xfId="0" applyNumberFormat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/>
    <xf numFmtId="44" fontId="4" fillId="0" borderId="4" xfId="2" applyFont="1" applyBorder="1" applyProtection="1"/>
    <xf numFmtId="0" fontId="4" fillId="0" borderId="4" xfId="0" applyFont="1" applyBorder="1"/>
    <xf numFmtId="0" fontId="4" fillId="0" borderId="0" xfId="0" applyFont="1" applyAlignment="1">
      <alignment horizontal="center" wrapText="1"/>
    </xf>
    <xf numFmtId="0" fontId="3" fillId="0" borderId="9" xfId="0" applyFont="1" applyBorder="1"/>
    <xf numFmtId="0" fontId="0" fillId="0" borderId="32" xfId="0" applyBorder="1"/>
    <xf numFmtId="0" fontId="0" fillId="0" borderId="10" xfId="0" applyBorder="1"/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0" fillId="0" borderId="33" xfId="0" applyBorder="1"/>
    <xf numFmtId="0" fontId="7" fillId="0" borderId="13" xfId="0" applyFont="1" applyBorder="1" applyAlignment="1">
      <alignment horizontal="left" vertical="center"/>
    </xf>
    <xf numFmtId="0" fontId="3" fillId="0" borderId="15" xfId="0" applyFont="1" applyBorder="1"/>
    <xf numFmtId="0" fontId="7" fillId="0" borderId="0" xfId="0" applyFont="1" applyAlignment="1">
      <alignment wrapText="1"/>
    </xf>
    <xf numFmtId="0" fontId="7" fillId="0" borderId="12" xfId="0" applyFont="1" applyBorder="1" applyAlignment="1">
      <alignment wrapText="1"/>
    </xf>
    <xf numFmtId="0" fontId="7" fillId="0" borderId="14" xfId="0" applyFont="1" applyBorder="1" applyAlignment="1">
      <alignment horizontal="left" vertical="center" wrapText="1"/>
    </xf>
    <xf numFmtId="44" fontId="4" fillId="0" borderId="4" xfId="2" applyFont="1" applyBorder="1" applyAlignment="1" applyProtection="1">
      <alignment horizontal="center"/>
    </xf>
    <xf numFmtId="44" fontId="4" fillId="0" borderId="4" xfId="2" applyFont="1" applyBorder="1" applyAlignment="1" applyProtection="1">
      <alignment horizontal="center"/>
      <protection locked="0"/>
    </xf>
    <xf numFmtId="44" fontId="4" fillId="0" borderId="6" xfId="2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44" fontId="4" fillId="0" borderId="6" xfId="2" applyFont="1" applyBorder="1" applyProtection="1"/>
    <xf numFmtId="0" fontId="18" fillId="0" borderId="0" xfId="4" applyFont="1"/>
    <xf numFmtId="0" fontId="32" fillId="0" borderId="0" xfId="3" applyFont="1" applyProtection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34" fillId="5" borderId="0" xfId="0" applyFont="1" applyFill="1" applyAlignment="1">
      <alignment vertical="top" wrapText="1"/>
    </xf>
    <xf numFmtId="0" fontId="35" fillId="5" borderId="0" xfId="0" applyFont="1" applyFill="1" applyAlignment="1">
      <alignment vertical="top" wrapText="1"/>
    </xf>
    <xf numFmtId="0" fontId="36" fillId="5" borderId="35" xfId="0" applyFont="1" applyFill="1" applyBorder="1" applyAlignment="1">
      <alignment vertical="center" wrapText="1"/>
    </xf>
    <xf numFmtId="0" fontId="37" fillId="5" borderId="37" xfId="0" applyFont="1" applyFill="1" applyBorder="1" applyAlignment="1">
      <alignment vertical="top" wrapText="1"/>
    </xf>
    <xf numFmtId="0" fontId="36" fillId="5" borderId="36" xfId="0" applyFont="1" applyFill="1" applyBorder="1" applyAlignment="1">
      <alignment vertical="center" wrapText="1"/>
    </xf>
    <xf numFmtId="0" fontId="36" fillId="5" borderId="2" xfId="0" applyFont="1" applyFill="1" applyBorder="1" applyAlignment="1">
      <alignment vertical="top" wrapText="1"/>
    </xf>
    <xf numFmtId="0" fontId="36" fillId="5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3" fillId="0" borderId="4" xfId="0" applyFont="1" applyBorder="1" applyAlignment="1">
      <alignment horizontal="left"/>
    </xf>
    <xf numFmtId="44" fontId="4" fillId="0" borderId="0" xfId="2" applyFont="1" applyBorder="1" applyAlignment="1" applyProtection="1">
      <alignment horizontal="left"/>
      <protection locked="0"/>
    </xf>
    <xf numFmtId="49" fontId="4" fillId="8" borderId="0" xfId="0" applyNumberFormat="1" applyFont="1" applyFill="1" applyProtection="1">
      <protection locked="0"/>
    </xf>
    <xf numFmtId="0" fontId="4" fillId="8" borderId="0" xfId="0" applyFont="1" applyFill="1"/>
    <xf numFmtId="0" fontId="4" fillId="8" borderId="0" xfId="0" applyFont="1" applyFill="1" applyProtection="1">
      <protection locked="0"/>
    </xf>
    <xf numFmtId="0" fontId="4" fillId="8" borderId="3" xfId="0" applyFont="1" applyFill="1" applyBorder="1"/>
    <xf numFmtId="0" fontId="4" fillId="8" borderId="0" xfId="0" applyFont="1" applyFill="1" applyAlignment="1" applyProtection="1">
      <alignment horizontal="center" wrapText="1"/>
      <protection locked="0"/>
    </xf>
    <xf numFmtId="0" fontId="4" fillId="8" borderId="3" xfId="0" applyFont="1" applyFill="1" applyBorder="1" applyProtection="1">
      <protection locked="0"/>
    </xf>
    <xf numFmtId="0" fontId="4" fillId="8" borderId="6" xfId="0" applyFont="1" applyFill="1" applyBorder="1" applyProtection="1">
      <protection locked="0"/>
    </xf>
    <xf numFmtId="44" fontId="4" fillId="8" borderId="4" xfId="2" applyFont="1" applyFill="1" applyBorder="1" applyProtection="1">
      <protection locked="0"/>
    </xf>
    <xf numFmtId="44" fontId="4" fillId="8" borderId="4" xfId="2" applyFont="1" applyFill="1" applyBorder="1" applyAlignment="1" applyProtection="1">
      <alignment horizontal="center"/>
      <protection locked="0"/>
    </xf>
    <xf numFmtId="0" fontId="33" fillId="8" borderId="0" xfId="0" applyFont="1" applyFill="1" applyAlignment="1">
      <alignment horizontal="left"/>
    </xf>
    <xf numFmtId="0" fontId="4" fillId="8" borderId="4" xfId="0" applyFont="1" applyFill="1" applyBorder="1" applyProtection="1">
      <protection locked="0"/>
    </xf>
    <xf numFmtId="0" fontId="0" fillId="8" borderId="0" xfId="0" applyFill="1"/>
    <xf numFmtId="0" fontId="38" fillId="0" borderId="0" xfId="0" applyFont="1" applyAlignment="1">
      <alignment horizontal="center"/>
    </xf>
    <xf numFmtId="6" fontId="0" fillId="0" borderId="0" xfId="0" applyNumberFormat="1"/>
    <xf numFmtId="0" fontId="39" fillId="0" borderId="0" xfId="0" applyFont="1" applyAlignment="1">
      <alignment horizontal="left" vertical="center" wrapText="1" indent="1"/>
    </xf>
    <xf numFmtId="0" fontId="40" fillId="0" borderId="0" xfId="0" applyFont="1" applyAlignment="1">
      <alignment horizontal="left" vertical="center" wrapText="1" indent="1"/>
    </xf>
    <xf numFmtId="0" fontId="0" fillId="0" borderId="0" xfId="0" applyAlignment="1">
      <alignment horizontal="right"/>
    </xf>
    <xf numFmtId="8" fontId="0" fillId="0" borderId="0" xfId="0" applyNumberFormat="1"/>
    <xf numFmtId="0" fontId="0" fillId="0" borderId="0" xfId="0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19" fillId="0" borderId="0" xfId="4" applyFont="1" applyAlignment="1">
      <alignment horizontal="center"/>
    </xf>
    <xf numFmtId="0" fontId="3" fillId="0" borderId="12" xfId="0" applyFont="1" applyBorder="1"/>
    <xf numFmtId="0" fontId="28" fillId="0" borderId="30" xfId="4" applyFont="1" applyBorder="1" applyAlignment="1" applyProtection="1">
      <alignment vertical="center"/>
      <protection locked="0"/>
    </xf>
    <xf numFmtId="0" fontId="3" fillId="0" borderId="0" xfId="0" applyFont="1" applyAlignment="1">
      <alignment horizontal="center" vertical="center" wrapText="1"/>
    </xf>
    <xf numFmtId="44" fontId="4" fillId="0" borderId="6" xfId="2" applyFont="1" applyBorder="1" applyAlignment="1" applyProtection="1">
      <alignment horizontal="center"/>
    </xf>
    <xf numFmtId="0" fontId="43" fillId="0" borderId="0" xfId="0" applyFont="1"/>
    <xf numFmtId="0" fontId="43" fillId="0" borderId="11" xfId="0" applyFont="1" applyBorder="1"/>
    <xf numFmtId="0" fontId="43" fillId="0" borderId="12" xfId="0" applyFont="1" applyBorder="1"/>
    <xf numFmtId="0" fontId="0" fillId="0" borderId="11" xfId="0" applyBorder="1" applyAlignment="1">
      <alignment wrapText="1"/>
    </xf>
    <xf numFmtId="0" fontId="46" fillId="0" borderId="11" xfId="0" applyFont="1" applyBorder="1" applyAlignment="1">
      <alignment horizontal="left" vertical="center" wrapText="1"/>
    </xf>
    <xf numFmtId="0" fontId="47" fillId="0" borderId="0" xfId="0" applyFont="1"/>
    <xf numFmtId="0" fontId="47" fillId="0" borderId="12" xfId="0" applyFont="1" applyBorder="1"/>
    <xf numFmtId="44" fontId="4" fillId="0" borderId="36" xfId="2" applyFont="1" applyBorder="1" applyAlignment="1" applyProtection="1">
      <alignment horizontal="center"/>
    </xf>
    <xf numFmtId="44" fontId="4" fillId="0" borderId="35" xfId="2" applyFont="1" applyBorder="1" applyAlignment="1" applyProtection="1">
      <alignment horizontal="center"/>
    </xf>
    <xf numFmtId="0" fontId="4" fillId="0" borderId="2" xfId="0" applyFont="1" applyBorder="1" applyProtection="1">
      <protection locked="0"/>
    </xf>
    <xf numFmtId="0" fontId="3" fillId="2" borderId="2" xfId="0" applyFont="1" applyFill="1" applyBorder="1" applyAlignment="1">
      <alignment horizontal="center" wrapText="1"/>
    </xf>
    <xf numFmtId="14" fontId="0" fillId="0" borderId="0" xfId="0" applyNumberFormat="1"/>
    <xf numFmtId="0" fontId="30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35" fillId="5" borderId="0" xfId="0" applyFont="1" applyFill="1" applyAlignment="1">
      <alignment vertical="top" wrapText="1"/>
    </xf>
    <xf numFmtId="0" fontId="9" fillId="0" borderId="0" xfId="0" applyFont="1" applyAlignment="1">
      <alignment horizontal="center"/>
    </xf>
    <xf numFmtId="0" fontId="19" fillId="0" borderId="0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4" applyFont="1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4" applyFont="1" applyAlignment="1">
      <alignment horizontal="center" vertical="center"/>
    </xf>
    <xf numFmtId="0" fontId="16" fillId="0" borderId="0" xfId="4" applyFont="1" applyAlignment="1">
      <alignment horizontal="right" vertical="center"/>
    </xf>
    <xf numFmtId="0" fontId="11" fillId="3" borderId="0" xfId="4" applyFont="1" applyFill="1" applyAlignment="1">
      <alignment horizontal="center" vertical="center"/>
    </xf>
    <xf numFmtId="0" fontId="18" fillId="0" borderId="0" xfId="4" applyFont="1" applyAlignment="1" applyProtection="1">
      <alignment horizontal="center" vertical="center"/>
      <protection locked="0"/>
    </xf>
    <xf numFmtId="0" fontId="11" fillId="3" borderId="0" xfId="4" applyFont="1" applyFill="1" applyAlignment="1">
      <alignment horizontal="left" vertical="center" indent="1"/>
    </xf>
    <xf numFmtId="0" fontId="23" fillId="5" borderId="0" xfId="4" applyFont="1" applyFill="1" applyAlignment="1">
      <alignment horizontal="center" vertical="center"/>
    </xf>
    <xf numFmtId="0" fontId="24" fillId="6" borderId="0" xfId="4" applyFont="1" applyFill="1" applyAlignment="1">
      <alignment horizontal="left" vertical="center" indent="1"/>
    </xf>
    <xf numFmtId="0" fontId="19" fillId="0" borderId="0" xfId="4" applyFont="1" applyAlignment="1">
      <alignment horizontal="center"/>
    </xf>
    <xf numFmtId="0" fontId="28" fillId="0" borderId="0" xfId="4" applyFont="1" applyAlignment="1">
      <alignment horizontal="center"/>
    </xf>
  </cellXfs>
  <cellStyles count="6">
    <cellStyle name="Comma" xfId="1" builtinId="3"/>
    <cellStyle name="Currency" xfId="2" builtinId="4"/>
    <cellStyle name="Hyperlink" xfId="3" builtinId="8"/>
    <cellStyle name="Hyperlink 2" xfId="5" xr:uid="{6A070BBD-241A-4913-A4F3-191EDDB6AC48}"/>
    <cellStyle name="Normal" xfId="0" builtinId="0"/>
    <cellStyle name="Normal 2" xfId="4" xr:uid="{1B9C5FD9-162F-4EE4-9773-317B2EF94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invoice-templates.html?utm_source=ms&amp;utm_medium=file&amp;utm_campaign=office&amp;utm_content=logo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invoice-templates.html?utm_source=ms&amp;utm_medium=file&amp;utm_campaign=office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144780</xdr:colOff>
          <xdr:row>19</xdr:row>
          <xdr:rowOff>106680</xdr:rowOff>
        </xdr:from>
        <xdr:to>
          <xdr:col>3</xdr:col>
          <xdr:colOff>579120</xdr:colOff>
          <xdr:row>24</xdr:row>
          <xdr:rowOff>144780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Add New Customer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594360</xdr:colOff>
          <xdr:row>7</xdr:row>
          <xdr:rowOff>160020</xdr:rowOff>
        </xdr:from>
        <xdr:to>
          <xdr:col>8</xdr:col>
          <xdr:colOff>419100</xdr:colOff>
          <xdr:row>13</xdr:row>
          <xdr:rowOff>30480</xdr:rowOff>
        </xdr:to>
        <xdr:sp macro="" textlink="">
          <xdr:nvSpPr>
            <xdr:cNvPr id="6148" name="Butto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Start Site Visit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</xdr:row>
          <xdr:rowOff>15240</xdr:rowOff>
        </xdr:from>
        <xdr:to>
          <xdr:col>8</xdr:col>
          <xdr:colOff>434340</xdr:colOff>
          <xdr:row>21</xdr:row>
          <xdr:rowOff>53340</xdr:rowOff>
        </xdr:to>
        <xdr:sp macro="" textlink="">
          <xdr:nvSpPr>
            <xdr:cNvPr id="6149" name="Butto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End Site Visit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182880</xdr:colOff>
          <xdr:row>12</xdr:row>
          <xdr:rowOff>121920</xdr:rowOff>
        </xdr:from>
        <xdr:to>
          <xdr:col>4</xdr:col>
          <xdr:colOff>7620</xdr:colOff>
          <xdr:row>17</xdr:row>
          <xdr:rowOff>160020</xdr:rowOff>
        </xdr:to>
        <xdr:sp macro="" textlink="">
          <xdr:nvSpPr>
            <xdr:cNvPr id="6150" name="Button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Create Quote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160020</xdr:colOff>
          <xdr:row>5</xdr:row>
          <xdr:rowOff>114300</xdr:rowOff>
        </xdr:from>
        <xdr:to>
          <xdr:col>3</xdr:col>
          <xdr:colOff>594360</xdr:colOff>
          <xdr:row>10</xdr:row>
          <xdr:rowOff>152400</xdr:rowOff>
        </xdr:to>
        <xdr:sp macro="" textlink="">
          <xdr:nvSpPr>
            <xdr:cNvPr id="6151" name="Button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Create Invoice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480060</xdr:colOff>
          <xdr:row>12</xdr:row>
          <xdr:rowOff>15240</xdr:rowOff>
        </xdr:from>
        <xdr:to>
          <xdr:col>20</xdr:col>
          <xdr:colOff>304800</xdr:colOff>
          <xdr:row>17</xdr:row>
          <xdr:rowOff>53340</xdr:rowOff>
        </xdr:to>
        <xdr:sp macro="" textlink="">
          <xdr:nvSpPr>
            <xdr:cNvPr id="3079" name="Butto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7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Add New Customer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123825</xdr:rowOff>
    </xdr:from>
    <xdr:to>
      <xdr:col>11</xdr:col>
      <xdr:colOff>268817</xdr:colOff>
      <xdr:row>0</xdr:row>
      <xdr:rowOff>492919</xdr:rowOff>
    </xdr:to>
    <xdr:pic>
      <xdr:nvPicPr>
        <xdr:cNvPr id="2" name="Picture 1" descr="Vertex42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8080" y="123825"/>
          <a:ext cx="1640417" cy="369094"/>
        </a:xfrm>
        <a:prstGeom prst="rect">
          <a:avLst/>
        </a:prstGeom>
      </xdr:spPr>
    </xdr:pic>
    <xdr:clientData/>
  </xdr:twoCellAnchor>
  <xdr:twoCellAnchor editAs="oneCell">
    <xdr:from>
      <xdr:col>2</xdr:col>
      <xdr:colOff>247561</xdr:colOff>
      <xdr:row>0</xdr:row>
      <xdr:rowOff>502659</xdr:rowOff>
    </xdr:from>
    <xdr:to>
      <xdr:col>2</xdr:col>
      <xdr:colOff>1333500</xdr:colOff>
      <xdr:row>5</xdr:row>
      <xdr:rowOff>79251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141" y="502659"/>
          <a:ext cx="1085939" cy="11386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123825</xdr:rowOff>
    </xdr:from>
    <xdr:to>
      <xdr:col>11</xdr:col>
      <xdr:colOff>268817</xdr:colOff>
      <xdr:row>0</xdr:row>
      <xdr:rowOff>492919</xdr:rowOff>
    </xdr:to>
    <xdr:pic>
      <xdr:nvPicPr>
        <xdr:cNvPr id="2" name="Picture 1" descr="Vertex42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B2ED99-2A00-41D5-8C1C-7E6BBDD0B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7620" y="123825"/>
          <a:ext cx="1640417" cy="369094"/>
        </a:xfrm>
        <a:prstGeom prst="rect">
          <a:avLst/>
        </a:prstGeom>
      </xdr:spPr>
    </xdr:pic>
    <xdr:clientData/>
  </xdr:twoCellAnchor>
  <xdr:twoCellAnchor editAs="oneCell">
    <xdr:from>
      <xdr:col>2</xdr:col>
      <xdr:colOff>247561</xdr:colOff>
      <xdr:row>0</xdr:row>
      <xdr:rowOff>502659</xdr:rowOff>
    </xdr:from>
    <xdr:to>
      <xdr:col>2</xdr:col>
      <xdr:colOff>1333500</xdr:colOff>
      <xdr:row>5</xdr:row>
      <xdr:rowOff>79251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042572-8233-4750-8766-03A77B482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141" y="502659"/>
          <a:ext cx="1085939" cy="1138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6019413586@vzwpix.com" TargetMode="External"/><Relationship Id="rId3" Type="http://schemas.openxmlformats.org/officeDocument/2006/relationships/hyperlink" Target="mailto:mattjfc8@gmail.com" TargetMode="External"/><Relationship Id="rId7" Type="http://schemas.openxmlformats.org/officeDocument/2006/relationships/hyperlink" Target="mailto:6015946977@mms.att.net" TargetMode="External"/><Relationship Id="rId12" Type="http://schemas.openxmlformats.org/officeDocument/2006/relationships/ctrlProp" Target="../ctrlProps/ctrlProp6.xml"/><Relationship Id="rId2" Type="http://schemas.openxmlformats.org/officeDocument/2006/relationships/hyperlink" Target="mailto:jastowers08@gmail.com" TargetMode="External"/><Relationship Id="rId1" Type="http://schemas.openxmlformats.org/officeDocument/2006/relationships/hyperlink" Target="mailto:luther.stowers@gmail.com" TargetMode="External"/><Relationship Id="rId6" Type="http://schemas.openxmlformats.org/officeDocument/2006/relationships/hyperlink" Target="mailto:6012609442@mms.att.net" TargetMode="External"/><Relationship Id="rId11" Type="http://schemas.openxmlformats.org/officeDocument/2006/relationships/vmlDrawing" Target="../drawings/vmlDrawing3.vml"/><Relationship Id="rId5" Type="http://schemas.openxmlformats.org/officeDocument/2006/relationships/hyperlink" Target="mailto:6012090231@mms.att.net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mailto:luther.holmes@itron.com" TargetMode="External"/><Relationship Id="rId9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77D3-07AC-4723-9212-6CF8473F42A3}">
  <sheetPr codeName="Sheet2"/>
  <dimension ref="A1:J4"/>
  <sheetViews>
    <sheetView workbookViewId="0">
      <selection activeCell="A2" sqref="A2"/>
    </sheetView>
  </sheetViews>
  <sheetFormatPr defaultRowHeight="13.2"/>
  <sheetData>
    <row r="1" spans="1:10" ht="16.2">
      <c r="A1" s="208" t="s">
        <v>187</v>
      </c>
      <c r="B1" s="208"/>
      <c r="C1" s="208"/>
      <c r="D1" s="208"/>
      <c r="E1" s="208"/>
      <c r="F1" s="208"/>
      <c r="G1" s="208"/>
      <c r="H1" s="208"/>
      <c r="I1" s="208"/>
      <c r="J1" s="208"/>
    </row>
    <row r="2" spans="1:10" ht="16.2">
      <c r="A2" s="123"/>
      <c r="B2" s="123"/>
      <c r="C2" s="123"/>
      <c r="D2" s="123"/>
      <c r="E2" s="123"/>
      <c r="F2" s="123"/>
      <c r="G2" s="123"/>
      <c r="H2" s="123"/>
      <c r="I2" s="123"/>
      <c r="J2" s="124"/>
    </row>
    <row r="3" spans="1:10">
      <c r="A3" s="4" t="s">
        <v>186</v>
      </c>
      <c r="B3" s="5" t="s">
        <v>187</v>
      </c>
    </row>
    <row r="4" spans="1:10">
      <c r="A4" s="4" t="s">
        <v>0</v>
      </c>
      <c r="B4" s="6">
        <v>2024</v>
      </c>
      <c r="C4">
        <v>2025</v>
      </c>
      <c r="D4">
        <v>2026</v>
      </c>
    </row>
  </sheetData>
  <mergeCells count="1">
    <mergeCell ref="A1:J1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 macro="[0]!Module2.auto_sort_customers">
                <anchor moveWithCells="1" sizeWithCells="1">
                  <from>
                    <xdr:col>0</xdr:col>
                    <xdr:colOff>144780</xdr:colOff>
                    <xdr:row>19</xdr:row>
                    <xdr:rowOff>106680</xdr:rowOff>
                  </from>
                  <to>
                    <xdr:col>3</xdr:col>
                    <xdr:colOff>579120</xdr:colOff>
                    <xdr:row>24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" name="Button 4">
              <controlPr defaultSize="0" print="0" autoFill="0" autoPict="0" macro="[0]!start_site_visit">
                <anchor moveWithCells="1" sizeWithCells="1">
                  <from>
                    <xdr:col>4</xdr:col>
                    <xdr:colOff>594360</xdr:colOff>
                    <xdr:row>7</xdr:row>
                    <xdr:rowOff>160020</xdr:rowOff>
                  </from>
                  <to>
                    <xdr:col>8</xdr:col>
                    <xdr:colOff>419100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6" name="Button 5">
              <controlPr defaultSize="0" print="0" autoFill="0" autoPict="0" macro="[0]!add_customer">
                <anchor moveWithCells="1" sizeWithCells="1">
                  <from>
                    <xdr:col>5</xdr:col>
                    <xdr:colOff>0</xdr:colOff>
                    <xdr:row>16</xdr:row>
                    <xdr:rowOff>15240</xdr:rowOff>
                  </from>
                  <to>
                    <xdr:col>8</xdr:col>
                    <xdr:colOff>434340</xdr:colOff>
                    <xdr:row>21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7" name="Button 6">
              <controlPr defaultSize="0" print="0" autoFill="0" autoPict="0" macro="[0]!Quote1">
                <anchor moveWithCells="1" sizeWithCells="1">
                  <from>
                    <xdr:col>0</xdr:col>
                    <xdr:colOff>182880</xdr:colOff>
                    <xdr:row>12</xdr:row>
                    <xdr:rowOff>121920</xdr:rowOff>
                  </from>
                  <to>
                    <xdr:col>4</xdr:col>
                    <xdr:colOff>7620</xdr:colOff>
                    <xdr:row>17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8" name="Button 7">
              <controlPr defaultSize="0" print="0" autoFill="0" autoPict="0" macro="[0]!Invoice1">
                <anchor moveWithCells="1" sizeWithCells="1">
                  <from>
                    <xdr:col>0</xdr:col>
                    <xdr:colOff>160020</xdr:colOff>
                    <xdr:row>5</xdr:row>
                    <xdr:rowOff>114300</xdr:rowOff>
                  </from>
                  <to>
                    <xdr:col>3</xdr:col>
                    <xdr:colOff>594360</xdr:colOff>
                    <xdr:row>10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DB74-EBF0-4A93-B8D8-11C23054FBD8}">
  <sheetPr codeName="Sheet1"/>
  <dimension ref="A1:BD501"/>
  <sheetViews>
    <sheetView workbookViewId="0">
      <pane ySplit="1" topLeftCell="A118" activePane="bottomLeft" state="frozen"/>
      <selection pane="bottomLeft" activeCell="A119" sqref="A119"/>
    </sheetView>
  </sheetViews>
  <sheetFormatPr defaultRowHeight="13.2"/>
  <cols>
    <col min="1" max="1" width="16.21875" customWidth="1"/>
    <col min="2" max="2" width="11.44140625" customWidth="1"/>
    <col min="3" max="3" width="10.109375" customWidth="1"/>
    <col min="4" max="4" width="9.6640625" customWidth="1"/>
    <col min="5" max="5" width="15.6640625" customWidth="1"/>
    <col min="6" max="6" width="8.109375" bestFit="1" customWidth="1"/>
    <col min="7" max="7" width="16.77734375" customWidth="1"/>
    <col min="8" max="8" width="9.44140625" bestFit="1" customWidth="1"/>
    <col min="9" max="9" width="4.21875" customWidth="1"/>
    <col min="10" max="10" width="16.77734375" bestFit="1" customWidth="1"/>
    <col min="11" max="11" width="13.5546875" bestFit="1" customWidth="1"/>
    <col min="12" max="12" width="9.5546875" customWidth="1"/>
    <col min="13" max="13" width="10.88671875" customWidth="1"/>
    <col min="14" max="14" width="18.21875" bestFit="1" customWidth="1"/>
    <col min="15" max="15" width="13.5546875" bestFit="1" customWidth="1"/>
    <col min="16" max="17" width="10.6640625" customWidth="1"/>
    <col min="18" max="18" width="16.21875" bestFit="1" customWidth="1"/>
    <col min="19" max="19" width="13.5546875" bestFit="1" customWidth="1"/>
    <col min="20" max="20" width="7.109375" customWidth="1"/>
    <col min="21" max="21" width="10.109375" customWidth="1"/>
    <col min="22" max="22" width="8.5546875" customWidth="1"/>
    <col min="23" max="23" width="13.88671875" customWidth="1"/>
    <col min="24" max="24" width="9.21875" customWidth="1"/>
    <col min="25" max="25" width="14.44140625" customWidth="1"/>
    <col min="26" max="26" width="5.6640625" customWidth="1"/>
    <col min="27" max="27" width="13.5546875" bestFit="1" customWidth="1"/>
    <col min="28" max="28" width="8.6640625" customWidth="1"/>
    <col min="29" max="29" width="11" customWidth="1"/>
    <col min="30" max="30" width="10.6640625" customWidth="1"/>
    <col min="31" max="31" width="4.6640625" customWidth="1"/>
    <col min="32" max="32" width="10.33203125" customWidth="1"/>
    <col min="33" max="33" width="10.44140625" customWidth="1"/>
    <col min="34" max="34" width="13" customWidth="1"/>
    <col min="35" max="35" width="7.6640625" customWidth="1"/>
    <col min="36" max="36" width="10.44140625" customWidth="1"/>
    <col min="37" max="38" width="10.6640625" customWidth="1"/>
    <col min="39" max="42" width="5.6640625" customWidth="1"/>
    <col min="43" max="43" width="10.6640625" customWidth="1"/>
    <col min="44" max="47" width="10" customWidth="1"/>
    <col min="48" max="48" width="7.6640625" customWidth="1"/>
    <col min="49" max="50" width="10.6640625" style="2" customWidth="1"/>
    <col min="51" max="52" width="10.6640625" customWidth="1"/>
    <col min="53" max="54" width="11.6640625" customWidth="1"/>
    <col min="55" max="56" width="10.6640625" customWidth="1"/>
    <col min="157" max="157" width="5.6640625" customWidth="1"/>
    <col min="158" max="159" width="8.6640625" customWidth="1"/>
    <col min="160" max="160" width="4.6640625" customWidth="1"/>
    <col min="161" max="162" width="15.6640625" customWidth="1"/>
    <col min="163" max="163" width="5.6640625" customWidth="1"/>
    <col min="164" max="164" width="4.6640625" customWidth="1"/>
    <col min="165" max="165" width="20.6640625" customWidth="1"/>
    <col min="166" max="166" width="4.6640625" customWidth="1"/>
    <col min="167" max="167" width="5.6640625" customWidth="1"/>
    <col min="168" max="168" width="8.6640625" customWidth="1"/>
    <col min="169" max="169" width="4.6640625" customWidth="1"/>
    <col min="170" max="170" width="10.6640625" customWidth="1"/>
    <col min="171" max="171" width="4.6640625" customWidth="1"/>
    <col min="172" max="172" width="20.6640625" customWidth="1"/>
    <col min="173" max="174" width="5.6640625" customWidth="1"/>
    <col min="175" max="175" width="8.6640625" customWidth="1"/>
    <col min="176" max="176" width="4.6640625" customWidth="1"/>
    <col min="177" max="177" width="10.6640625" customWidth="1"/>
    <col min="178" max="178" width="4.6640625" customWidth="1"/>
    <col min="179" max="179" width="20.6640625" customWidth="1"/>
    <col min="180" max="181" width="5.6640625" customWidth="1"/>
    <col min="182" max="182" width="8.6640625" customWidth="1"/>
    <col min="183" max="183" width="4.6640625" customWidth="1"/>
    <col min="184" max="184" width="10.6640625" customWidth="1"/>
    <col min="185" max="185" width="4.6640625" customWidth="1"/>
    <col min="186" max="186" width="20.6640625" customWidth="1"/>
    <col min="187" max="188" width="5.6640625" customWidth="1"/>
    <col min="189" max="189" width="8.6640625" customWidth="1"/>
    <col min="190" max="190" width="4.6640625" customWidth="1"/>
    <col min="191" max="191" width="10.6640625" customWidth="1"/>
    <col min="192" max="192" width="4.6640625" customWidth="1"/>
    <col min="193" max="193" width="20.6640625" customWidth="1"/>
    <col min="194" max="195" width="5.6640625" customWidth="1"/>
    <col min="196" max="196" width="8.6640625" customWidth="1"/>
    <col min="197" max="197" width="4.6640625" customWidth="1"/>
    <col min="198" max="198" width="10.6640625" customWidth="1"/>
    <col min="199" max="199" width="5.6640625" customWidth="1"/>
    <col min="200" max="200" width="20.6640625" customWidth="1"/>
    <col min="201" max="201" width="7.6640625" customWidth="1"/>
    <col min="202" max="202" width="8.6640625" customWidth="1"/>
    <col min="203" max="203" width="7.6640625" customWidth="1"/>
    <col min="204" max="204" width="5.6640625" customWidth="1"/>
    <col min="205" max="205" width="20.6640625" customWidth="1"/>
    <col min="206" max="206" width="7.6640625" customWidth="1"/>
    <col min="207" max="207" width="8.6640625" customWidth="1"/>
    <col min="208" max="208" width="7.6640625" customWidth="1"/>
    <col min="209" max="209" width="8.6640625" customWidth="1"/>
    <col min="210" max="211" width="10.6640625" customWidth="1"/>
    <col min="212" max="212" width="4.6640625" customWidth="1"/>
    <col min="213" max="213" width="20.6640625" customWidth="1"/>
    <col min="214" max="217" width="5.6640625" customWidth="1"/>
    <col min="218" max="219" width="4.6640625" customWidth="1"/>
    <col min="220" max="220" width="20.6640625" customWidth="1"/>
    <col min="221" max="221" width="4.6640625" customWidth="1"/>
    <col min="222" max="222" width="20.6640625" customWidth="1"/>
    <col min="223" max="223" width="5.6640625" customWidth="1"/>
    <col min="224" max="224" width="20.6640625" customWidth="1"/>
    <col min="225" max="225" width="15.6640625" customWidth="1"/>
    <col min="226" max="229" width="8.6640625" customWidth="1"/>
    <col min="230" max="231" width="10.6640625" customWidth="1"/>
    <col min="232" max="234" width="8.6640625" customWidth="1"/>
    <col min="235" max="235" width="9.6640625" customWidth="1"/>
    <col min="236" max="236" width="8.6640625" customWidth="1"/>
    <col min="237" max="238" width="20.6640625" customWidth="1"/>
    <col min="239" max="242" width="8.6640625" customWidth="1"/>
    <col min="243" max="245" width="10.6640625" customWidth="1"/>
    <col min="246" max="249" width="10" customWidth="1"/>
    <col min="250" max="251" width="20.6640625" customWidth="1"/>
    <col min="252" max="255" width="7.6640625" customWidth="1"/>
    <col min="256" max="258" width="10.6640625" customWidth="1"/>
    <col min="259" max="262" width="10" customWidth="1"/>
    <col min="263" max="264" width="20.6640625" customWidth="1"/>
    <col min="265" max="268" width="7.6640625" customWidth="1"/>
    <col min="269" max="271" width="10.6640625" customWidth="1"/>
    <col min="272" max="275" width="10" customWidth="1"/>
    <col min="276" max="277" width="20.6640625" customWidth="1"/>
    <col min="278" max="281" width="7.6640625" customWidth="1"/>
    <col min="282" max="284" width="10.6640625" customWidth="1"/>
    <col min="285" max="290" width="10" customWidth="1"/>
    <col min="291" max="291" width="7.6640625" customWidth="1"/>
    <col min="292" max="293" width="10.6640625" customWidth="1"/>
    <col min="294" max="294" width="7.6640625" customWidth="1"/>
    <col min="295" max="300" width="10.6640625" customWidth="1"/>
    <col min="301" max="302" width="11.6640625" customWidth="1"/>
    <col min="303" max="304" width="10.6640625" customWidth="1"/>
    <col min="305" max="307" width="9.6640625" customWidth="1"/>
    <col min="308" max="308" width="12.5546875" bestFit="1" customWidth="1"/>
    <col min="309" max="309" width="9" customWidth="1"/>
    <col min="310" max="311" width="10.109375" bestFit="1" customWidth="1"/>
    <col min="413" max="413" width="5.6640625" customWidth="1"/>
    <col min="414" max="415" width="8.6640625" customWidth="1"/>
    <col min="416" max="416" width="4.6640625" customWidth="1"/>
    <col min="417" max="418" width="15.6640625" customWidth="1"/>
    <col min="419" max="419" width="5.6640625" customWidth="1"/>
    <col min="420" max="420" width="4.6640625" customWidth="1"/>
    <col min="421" max="421" width="20.6640625" customWidth="1"/>
    <col min="422" max="422" width="4.6640625" customWidth="1"/>
    <col min="423" max="423" width="5.6640625" customWidth="1"/>
    <col min="424" max="424" width="8.6640625" customWidth="1"/>
    <col min="425" max="425" width="4.6640625" customWidth="1"/>
    <col min="426" max="426" width="10.6640625" customWidth="1"/>
    <col min="427" max="427" width="4.6640625" customWidth="1"/>
    <col min="428" max="428" width="20.6640625" customWidth="1"/>
    <col min="429" max="430" width="5.6640625" customWidth="1"/>
    <col min="431" max="431" width="8.6640625" customWidth="1"/>
    <col min="432" max="432" width="4.6640625" customWidth="1"/>
    <col min="433" max="433" width="10.6640625" customWidth="1"/>
    <col min="434" max="434" width="4.6640625" customWidth="1"/>
    <col min="435" max="435" width="20.6640625" customWidth="1"/>
    <col min="436" max="437" width="5.6640625" customWidth="1"/>
    <col min="438" max="438" width="8.6640625" customWidth="1"/>
    <col min="439" max="439" width="4.6640625" customWidth="1"/>
    <col min="440" max="440" width="10.6640625" customWidth="1"/>
    <col min="441" max="441" width="4.6640625" customWidth="1"/>
    <col min="442" max="442" width="20.6640625" customWidth="1"/>
    <col min="443" max="444" width="5.6640625" customWidth="1"/>
    <col min="445" max="445" width="8.6640625" customWidth="1"/>
    <col min="446" max="446" width="4.6640625" customWidth="1"/>
    <col min="447" max="447" width="10.6640625" customWidth="1"/>
    <col min="448" max="448" width="4.6640625" customWidth="1"/>
    <col min="449" max="449" width="20.6640625" customWidth="1"/>
    <col min="450" max="451" width="5.6640625" customWidth="1"/>
    <col min="452" max="452" width="8.6640625" customWidth="1"/>
    <col min="453" max="453" width="4.6640625" customWidth="1"/>
    <col min="454" max="454" width="10.6640625" customWidth="1"/>
    <col min="455" max="455" width="5.6640625" customWidth="1"/>
    <col min="456" max="456" width="20.6640625" customWidth="1"/>
    <col min="457" max="457" width="7.6640625" customWidth="1"/>
    <col min="458" max="458" width="8.6640625" customWidth="1"/>
    <col min="459" max="459" width="7.6640625" customWidth="1"/>
    <col min="460" max="460" width="5.6640625" customWidth="1"/>
    <col min="461" max="461" width="20.6640625" customWidth="1"/>
    <col min="462" max="462" width="7.6640625" customWidth="1"/>
    <col min="463" max="463" width="8.6640625" customWidth="1"/>
    <col min="464" max="464" width="7.6640625" customWidth="1"/>
    <col min="465" max="465" width="8.6640625" customWidth="1"/>
    <col min="466" max="467" width="10.6640625" customWidth="1"/>
    <col min="468" max="468" width="4.6640625" customWidth="1"/>
    <col min="469" max="469" width="20.6640625" customWidth="1"/>
    <col min="470" max="473" width="5.6640625" customWidth="1"/>
    <col min="474" max="475" width="4.6640625" customWidth="1"/>
    <col min="476" max="476" width="20.6640625" customWidth="1"/>
    <col min="477" max="477" width="4.6640625" customWidth="1"/>
    <col min="478" max="478" width="20.6640625" customWidth="1"/>
    <col min="479" max="479" width="5.6640625" customWidth="1"/>
    <col min="480" max="480" width="20.6640625" customWidth="1"/>
    <col min="481" max="481" width="15.6640625" customWidth="1"/>
    <col min="482" max="485" width="8.6640625" customWidth="1"/>
    <col min="486" max="487" width="10.6640625" customWidth="1"/>
    <col min="488" max="490" width="8.6640625" customWidth="1"/>
    <col min="491" max="491" width="9.6640625" customWidth="1"/>
    <col min="492" max="492" width="8.6640625" customWidth="1"/>
    <col min="493" max="494" width="20.6640625" customWidth="1"/>
    <col min="495" max="498" width="8.6640625" customWidth="1"/>
    <col min="499" max="501" width="10.6640625" customWidth="1"/>
    <col min="502" max="505" width="10" customWidth="1"/>
    <col min="506" max="507" width="20.6640625" customWidth="1"/>
    <col min="508" max="511" width="7.6640625" customWidth="1"/>
    <col min="512" max="514" width="10.6640625" customWidth="1"/>
    <col min="515" max="518" width="10" customWidth="1"/>
    <col min="519" max="520" width="20.6640625" customWidth="1"/>
    <col min="521" max="524" width="7.6640625" customWidth="1"/>
    <col min="525" max="527" width="10.6640625" customWidth="1"/>
    <col min="528" max="531" width="10" customWidth="1"/>
    <col min="532" max="533" width="20.6640625" customWidth="1"/>
    <col min="534" max="537" width="7.6640625" customWidth="1"/>
    <col min="538" max="540" width="10.6640625" customWidth="1"/>
    <col min="541" max="546" width="10" customWidth="1"/>
    <col min="547" max="547" width="7.6640625" customWidth="1"/>
    <col min="548" max="549" width="10.6640625" customWidth="1"/>
    <col min="550" max="550" width="7.6640625" customWidth="1"/>
    <col min="551" max="556" width="10.6640625" customWidth="1"/>
    <col min="557" max="558" width="11.6640625" customWidth="1"/>
    <col min="559" max="560" width="10.6640625" customWidth="1"/>
    <col min="561" max="563" width="9.6640625" customWidth="1"/>
    <col min="564" max="564" width="12.5546875" bestFit="1" customWidth="1"/>
    <col min="565" max="565" width="9" customWidth="1"/>
    <col min="566" max="567" width="10.109375" bestFit="1" customWidth="1"/>
    <col min="669" max="669" width="5.6640625" customWidth="1"/>
    <col min="670" max="671" width="8.6640625" customWidth="1"/>
    <col min="672" max="672" width="4.6640625" customWidth="1"/>
    <col min="673" max="674" width="15.6640625" customWidth="1"/>
    <col min="675" max="675" width="5.6640625" customWidth="1"/>
    <col min="676" max="676" width="4.6640625" customWidth="1"/>
    <col min="677" max="677" width="20.6640625" customWidth="1"/>
    <col min="678" max="678" width="4.6640625" customWidth="1"/>
    <col min="679" max="679" width="5.6640625" customWidth="1"/>
    <col min="680" max="680" width="8.6640625" customWidth="1"/>
    <col min="681" max="681" width="4.6640625" customWidth="1"/>
    <col min="682" max="682" width="10.6640625" customWidth="1"/>
    <col min="683" max="683" width="4.6640625" customWidth="1"/>
    <col min="684" max="684" width="20.6640625" customWidth="1"/>
    <col min="685" max="686" width="5.6640625" customWidth="1"/>
    <col min="687" max="687" width="8.6640625" customWidth="1"/>
    <col min="688" max="688" width="4.6640625" customWidth="1"/>
    <col min="689" max="689" width="10.6640625" customWidth="1"/>
    <col min="690" max="690" width="4.6640625" customWidth="1"/>
    <col min="691" max="691" width="20.6640625" customWidth="1"/>
    <col min="692" max="693" width="5.6640625" customWidth="1"/>
    <col min="694" max="694" width="8.6640625" customWidth="1"/>
    <col min="695" max="695" width="4.6640625" customWidth="1"/>
    <col min="696" max="696" width="10.6640625" customWidth="1"/>
    <col min="697" max="697" width="4.6640625" customWidth="1"/>
    <col min="698" max="698" width="20.6640625" customWidth="1"/>
    <col min="699" max="700" width="5.6640625" customWidth="1"/>
    <col min="701" max="701" width="8.6640625" customWidth="1"/>
    <col min="702" max="702" width="4.6640625" customWidth="1"/>
    <col min="703" max="703" width="10.6640625" customWidth="1"/>
    <col min="704" max="704" width="4.6640625" customWidth="1"/>
    <col min="705" max="705" width="20.6640625" customWidth="1"/>
    <col min="706" max="707" width="5.6640625" customWidth="1"/>
    <col min="708" max="708" width="8.6640625" customWidth="1"/>
    <col min="709" max="709" width="4.6640625" customWidth="1"/>
    <col min="710" max="710" width="10.6640625" customWidth="1"/>
    <col min="711" max="711" width="5.6640625" customWidth="1"/>
    <col min="712" max="712" width="20.6640625" customWidth="1"/>
    <col min="713" max="713" width="7.6640625" customWidth="1"/>
    <col min="714" max="714" width="8.6640625" customWidth="1"/>
    <col min="715" max="715" width="7.6640625" customWidth="1"/>
    <col min="716" max="716" width="5.6640625" customWidth="1"/>
    <col min="717" max="717" width="20.6640625" customWidth="1"/>
    <col min="718" max="718" width="7.6640625" customWidth="1"/>
    <col min="719" max="719" width="8.6640625" customWidth="1"/>
    <col min="720" max="720" width="7.6640625" customWidth="1"/>
    <col min="721" max="721" width="8.6640625" customWidth="1"/>
    <col min="722" max="723" width="10.6640625" customWidth="1"/>
    <col min="724" max="724" width="4.6640625" customWidth="1"/>
    <col min="725" max="725" width="20.6640625" customWidth="1"/>
    <col min="726" max="729" width="5.6640625" customWidth="1"/>
    <col min="730" max="731" width="4.6640625" customWidth="1"/>
    <col min="732" max="732" width="20.6640625" customWidth="1"/>
    <col min="733" max="733" width="4.6640625" customWidth="1"/>
    <col min="734" max="734" width="20.6640625" customWidth="1"/>
    <col min="735" max="735" width="5.6640625" customWidth="1"/>
    <col min="736" max="736" width="20.6640625" customWidth="1"/>
    <col min="737" max="737" width="15.6640625" customWidth="1"/>
    <col min="738" max="741" width="8.6640625" customWidth="1"/>
    <col min="742" max="743" width="10.6640625" customWidth="1"/>
    <col min="744" max="746" width="8.6640625" customWidth="1"/>
    <col min="747" max="747" width="9.6640625" customWidth="1"/>
    <col min="748" max="748" width="8.6640625" customWidth="1"/>
    <col min="749" max="750" width="20.6640625" customWidth="1"/>
    <col min="751" max="754" width="8.6640625" customWidth="1"/>
    <col min="755" max="757" width="10.6640625" customWidth="1"/>
    <col min="758" max="761" width="10" customWidth="1"/>
    <col min="762" max="763" width="20.6640625" customWidth="1"/>
    <col min="764" max="767" width="7.6640625" customWidth="1"/>
    <col min="768" max="770" width="10.6640625" customWidth="1"/>
    <col min="771" max="774" width="10" customWidth="1"/>
    <col min="775" max="776" width="20.6640625" customWidth="1"/>
    <col min="777" max="780" width="7.6640625" customWidth="1"/>
    <col min="781" max="783" width="10.6640625" customWidth="1"/>
    <col min="784" max="787" width="10" customWidth="1"/>
    <col min="788" max="789" width="20.6640625" customWidth="1"/>
    <col min="790" max="793" width="7.6640625" customWidth="1"/>
    <col min="794" max="796" width="10.6640625" customWidth="1"/>
    <col min="797" max="802" width="10" customWidth="1"/>
    <col min="803" max="803" width="7.6640625" customWidth="1"/>
    <col min="804" max="805" width="10.6640625" customWidth="1"/>
    <col min="806" max="806" width="7.6640625" customWidth="1"/>
    <col min="807" max="812" width="10.6640625" customWidth="1"/>
    <col min="813" max="814" width="11.6640625" customWidth="1"/>
    <col min="815" max="816" width="10.6640625" customWidth="1"/>
    <col min="817" max="819" width="9.6640625" customWidth="1"/>
    <col min="820" max="820" width="12.5546875" bestFit="1" customWidth="1"/>
    <col min="821" max="821" width="9" customWidth="1"/>
    <col min="822" max="823" width="10.109375" bestFit="1" customWidth="1"/>
    <col min="925" max="925" width="5.6640625" customWidth="1"/>
    <col min="926" max="927" width="8.6640625" customWidth="1"/>
    <col min="928" max="928" width="4.6640625" customWidth="1"/>
    <col min="929" max="930" width="15.6640625" customWidth="1"/>
    <col min="931" max="931" width="5.6640625" customWidth="1"/>
    <col min="932" max="932" width="4.6640625" customWidth="1"/>
    <col min="933" max="933" width="20.6640625" customWidth="1"/>
    <col min="934" max="934" width="4.6640625" customWidth="1"/>
    <col min="935" max="935" width="5.6640625" customWidth="1"/>
    <col min="936" max="936" width="8.6640625" customWidth="1"/>
    <col min="937" max="937" width="4.6640625" customWidth="1"/>
    <col min="938" max="938" width="10.6640625" customWidth="1"/>
    <col min="939" max="939" width="4.6640625" customWidth="1"/>
    <col min="940" max="940" width="20.6640625" customWidth="1"/>
    <col min="941" max="942" width="5.6640625" customWidth="1"/>
    <col min="943" max="943" width="8.6640625" customWidth="1"/>
    <col min="944" max="944" width="4.6640625" customWidth="1"/>
    <col min="945" max="945" width="10.6640625" customWidth="1"/>
    <col min="946" max="946" width="4.6640625" customWidth="1"/>
    <col min="947" max="947" width="20.6640625" customWidth="1"/>
    <col min="948" max="949" width="5.6640625" customWidth="1"/>
    <col min="950" max="950" width="8.6640625" customWidth="1"/>
    <col min="951" max="951" width="4.6640625" customWidth="1"/>
    <col min="952" max="952" width="10.6640625" customWidth="1"/>
    <col min="953" max="953" width="4.6640625" customWidth="1"/>
    <col min="954" max="954" width="20.6640625" customWidth="1"/>
    <col min="955" max="956" width="5.6640625" customWidth="1"/>
    <col min="957" max="957" width="8.6640625" customWidth="1"/>
    <col min="958" max="958" width="4.6640625" customWidth="1"/>
    <col min="959" max="959" width="10.6640625" customWidth="1"/>
    <col min="960" max="960" width="4.6640625" customWidth="1"/>
    <col min="961" max="961" width="20.6640625" customWidth="1"/>
    <col min="962" max="963" width="5.6640625" customWidth="1"/>
    <col min="964" max="964" width="8.6640625" customWidth="1"/>
    <col min="965" max="965" width="4.6640625" customWidth="1"/>
    <col min="966" max="966" width="10.6640625" customWidth="1"/>
    <col min="967" max="967" width="5.6640625" customWidth="1"/>
    <col min="968" max="968" width="20.6640625" customWidth="1"/>
    <col min="969" max="969" width="7.6640625" customWidth="1"/>
    <col min="970" max="970" width="8.6640625" customWidth="1"/>
    <col min="971" max="971" width="7.6640625" customWidth="1"/>
    <col min="972" max="972" width="5.6640625" customWidth="1"/>
    <col min="973" max="973" width="20.6640625" customWidth="1"/>
    <col min="974" max="974" width="7.6640625" customWidth="1"/>
    <col min="975" max="975" width="8.6640625" customWidth="1"/>
    <col min="976" max="976" width="7.6640625" customWidth="1"/>
    <col min="977" max="977" width="8.6640625" customWidth="1"/>
    <col min="978" max="979" width="10.6640625" customWidth="1"/>
    <col min="980" max="980" width="4.6640625" customWidth="1"/>
    <col min="981" max="981" width="20.6640625" customWidth="1"/>
    <col min="982" max="985" width="5.6640625" customWidth="1"/>
    <col min="986" max="987" width="4.6640625" customWidth="1"/>
    <col min="988" max="988" width="20.6640625" customWidth="1"/>
    <col min="989" max="989" width="4.6640625" customWidth="1"/>
    <col min="990" max="990" width="20.6640625" customWidth="1"/>
    <col min="991" max="991" width="5.6640625" customWidth="1"/>
    <col min="992" max="992" width="20.6640625" customWidth="1"/>
    <col min="993" max="993" width="15.6640625" customWidth="1"/>
    <col min="994" max="997" width="8.6640625" customWidth="1"/>
    <col min="998" max="999" width="10.6640625" customWidth="1"/>
    <col min="1000" max="1002" width="8.6640625" customWidth="1"/>
    <col min="1003" max="1003" width="9.6640625" customWidth="1"/>
    <col min="1004" max="1004" width="8.6640625" customWidth="1"/>
    <col min="1005" max="1006" width="20.6640625" customWidth="1"/>
    <col min="1007" max="1010" width="8.6640625" customWidth="1"/>
    <col min="1011" max="1013" width="10.6640625" customWidth="1"/>
    <col min="1014" max="1017" width="10" customWidth="1"/>
    <col min="1018" max="1019" width="20.6640625" customWidth="1"/>
    <col min="1020" max="1023" width="7.6640625" customWidth="1"/>
    <col min="1024" max="1026" width="10.6640625" customWidth="1"/>
    <col min="1027" max="1030" width="10" customWidth="1"/>
    <col min="1031" max="1032" width="20.6640625" customWidth="1"/>
    <col min="1033" max="1036" width="7.6640625" customWidth="1"/>
    <col min="1037" max="1039" width="10.6640625" customWidth="1"/>
    <col min="1040" max="1043" width="10" customWidth="1"/>
    <col min="1044" max="1045" width="20.6640625" customWidth="1"/>
    <col min="1046" max="1049" width="7.6640625" customWidth="1"/>
    <col min="1050" max="1052" width="10.6640625" customWidth="1"/>
    <col min="1053" max="1058" width="10" customWidth="1"/>
    <col min="1059" max="1059" width="7.6640625" customWidth="1"/>
    <col min="1060" max="1061" width="10.6640625" customWidth="1"/>
    <col min="1062" max="1062" width="7.6640625" customWidth="1"/>
    <col min="1063" max="1068" width="10.6640625" customWidth="1"/>
    <col min="1069" max="1070" width="11.6640625" customWidth="1"/>
    <col min="1071" max="1072" width="10.6640625" customWidth="1"/>
    <col min="1073" max="1075" width="9.6640625" customWidth="1"/>
    <col min="1076" max="1076" width="12.5546875" bestFit="1" customWidth="1"/>
    <col min="1077" max="1077" width="9" customWidth="1"/>
    <col min="1078" max="1079" width="10.109375" bestFit="1" customWidth="1"/>
    <col min="1181" max="1181" width="5.6640625" customWidth="1"/>
    <col min="1182" max="1183" width="8.6640625" customWidth="1"/>
    <col min="1184" max="1184" width="4.6640625" customWidth="1"/>
    <col min="1185" max="1186" width="15.6640625" customWidth="1"/>
    <col min="1187" max="1187" width="5.6640625" customWidth="1"/>
    <col min="1188" max="1188" width="4.6640625" customWidth="1"/>
    <col min="1189" max="1189" width="20.6640625" customWidth="1"/>
    <col min="1190" max="1190" width="4.6640625" customWidth="1"/>
    <col min="1191" max="1191" width="5.6640625" customWidth="1"/>
    <col min="1192" max="1192" width="8.6640625" customWidth="1"/>
    <col min="1193" max="1193" width="4.6640625" customWidth="1"/>
    <col min="1194" max="1194" width="10.6640625" customWidth="1"/>
    <col min="1195" max="1195" width="4.6640625" customWidth="1"/>
    <col min="1196" max="1196" width="20.6640625" customWidth="1"/>
    <col min="1197" max="1198" width="5.6640625" customWidth="1"/>
    <col min="1199" max="1199" width="8.6640625" customWidth="1"/>
    <col min="1200" max="1200" width="4.6640625" customWidth="1"/>
    <col min="1201" max="1201" width="10.6640625" customWidth="1"/>
    <col min="1202" max="1202" width="4.6640625" customWidth="1"/>
    <col min="1203" max="1203" width="20.6640625" customWidth="1"/>
    <col min="1204" max="1205" width="5.6640625" customWidth="1"/>
    <col min="1206" max="1206" width="8.6640625" customWidth="1"/>
    <col min="1207" max="1207" width="4.6640625" customWidth="1"/>
    <col min="1208" max="1208" width="10.6640625" customWidth="1"/>
    <col min="1209" max="1209" width="4.6640625" customWidth="1"/>
    <col min="1210" max="1210" width="20.6640625" customWidth="1"/>
    <col min="1211" max="1212" width="5.6640625" customWidth="1"/>
    <col min="1213" max="1213" width="8.6640625" customWidth="1"/>
    <col min="1214" max="1214" width="4.6640625" customWidth="1"/>
    <col min="1215" max="1215" width="10.6640625" customWidth="1"/>
    <col min="1216" max="1216" width="4.6640625" customWidth="1"/>
    <col min="1217" max="1217" width="20.6640625" customWidth="1"/>
    <col min="1218" max="1219" width="5.6640625" customWidth="1"/>
    <col min="1220" max="1220" width="8.6640625" customWidth="1"/>
    <col min="1221" max="1221" width="4.6640625" customWidth="1"/>
    <col min="1222" max="1222" width="10.6640625" customWidth="1"/>
    <col min="1223" max="1223" width="5.6640625" customWidth="1"/>
    <col min="1224" max="1224" width="20.6640625" customWidth="1"/>
    <col min="1225" max="1225" width="7.6640625" customWidth="1"/>
    <col min="1226" max="1226" width="8.6640625" customWidth="1"/>
    <col min="1227" max="1227" width="7.6640625" customWidth="1"/>
    <col min="1228" max="1228" width="5.6640625" customWidth="1"/>
    <col min="1229" max="1229" width="20.6640625" customWidth="1"/>
    <col min="1230" max="1230" width="7.6640625" customWidth="1"/>
    <col min="1231" max="1231" width="8.6640625" customWidth="1"/>
    <col min="1232" max="1232" width="7.6640625" customWidth="1"/>
    <col min="1233" max="1233" width="8.6640625" customWidth="1"/>
    <col min="1234" max="1235" width="10.6640625" customWidth="1"/>
    <col min="1236" max="1236" width="4.6640625" customWidth="1"/>
    <col min="1237" max="1237" width="20.6640625" customWidth="1"/>
    <col min="1238" max="1241" width="5.6640625" customWidth="1"/>
    <col min="1242" max="1243" width="4.6640625" customWidth="1"/>
    <col min="1244" max="1244" width="20.6640625" customWidth="1"/>
    <col min="1245" max="1245" width="4.6640625" customWidth="1"/>
    <col min="1246" max="1246" width="20.6640625" customWidth="1"/>
    <col min="1247" max="1247" width="5.6640625" customWidth="1"/>
    <col min="1248" max="1248" width="20.6640625" customWidth="1"/>
    <col min="1249" max="1249" width="15.6640625" customWidth="1"/>
    <col min="1250" max="1253" width="8.6640625" customWidth="1"/>
    <col min="1254" max="1255" width="10.6640625" customWidth="1"/>
    <col min="1256" max="1258" width="8.6640625" customWidth="1"/>
    <col min="1259" max="1259" width="9.6640625" customWidth="1"/>
    <col min="1260" max="1260" width="8.6640625" customWidth="1"/>
    <col min="1261" max="1262" width="20.6640625" customWidth="1"/>
    <col min="1263" max="1266" width="8.6640625" customWidth="1"/>
    <col min="1267" max="1269" width="10.6640625" customWidth="1"/>
    <col min="1270" max="1273" width="10" customWidth="1"/>
    <col min="1274" max="1275" width="20.6640625" customWidth="1"/>
    <col min="1276" max="1279" width="7.6640625" customWidth="1"/>
    <col min="1280" max="1282" width="10.6640625" customWidth="1"/>
    <col min="1283" max="1286" width="10" customWidth="1"/>
    <col min="1287" max="1288" width="20.6640625" customWidth="1"/>
    <col min="1289" max="1292" width="7.6640625" customWidth="1"/>
    <col min="1293" max="1295" width="10.6640625" customWidth="1"/>
    <col min="1296" max="1299" width="10" customWidth="1"/>
    <col min="1300" max="1301" width="20.6640625" customWidth="1"/>
    <col min="1302" max="1305" width="7.6640625" customWidth="1"/>
    <col min="1306" max="1308" width="10.6640625" customWidth="1"/>
    <col min="1309" max="1314" width="10" customWidth="1"/>
    <col min="1315" max="1315" width="7.6640625" customWidth="1"/>
    <col min="1316" max="1317" width="10.6640625" customWidth="1"/>
    <col min="1318" max="1318" width="7.6640625" customWidth="1"/>
    <col min="1319" max="1324" width="10.6640625" customWidth="1"/>
    <col min="1325" max="1326" width="11.6640625" customWidth="1"/>
    <col min="1327" max="1328" width="10.6640625" customWidth="1"/>
    <col min="1329" max="1331" width="9.6640625" customWidth="1"/>
    <col min="1332" max="1332" width="12.5546875" bestFit="1" customWidth="1"/>
    <col min="1333" max="1333" width="9" customWidth="1"/>
    <col min="1334" max="1335" width="10.109375" bestFit="1" customWidth="1"/>
    <col min="1437" max="1437" width="5.6640625" customWidth="1"/>
    <col min="1438" max="1439" width="8.6640625" customWidth="1"/>
    <col min="1440" max="1440" width="4.6640625" customWidth="1"/>
    <col min="1441" max="1442" width="15.6640625" customWidth="1"/>
    <col min="1443" max="1443" width="5.6640625" customWidth="1"/>
    <col min="1444" max="1444" width="4.6640625" customWidth="1"/>
    <col min="1445" max="1445" width="20.6640625" customWidth="1"/>
    <col min="1446" max="1446" width="4.6640625" customWidth="1"/>
    <col min="1447" max="1447" width="5.6640625" customWidth="1"/>
    <col min="1448" max="1448" width="8.6640625" customWidth="1"/>
    <col min="1449" max="1449" width="4.6640625" customWidth="1"/>
    <col min="1450" max="1450" width="10.6640625" customWidth="1"/>
    <col min="1451" max="1451" width="4.6640625" customWidth="1"/>
    <col min="1452" max="1452" width="20.6640625" customWidth="1"/>
    <col min="1453" max="1454" width="5.6640625" customWidth="1"/>
    <col min="1455" max="1455" width="8.6640625" customWidth="1"/>
    <col min="1456" max="1456" width="4.6640625" customWidth="1"/>
    <col min="1457" max="1457" width="10.6640625" customWidth="1"/>
    <col min="1458" max="1458" width="4.6640625" customWidth="1"/>
    <col min="1459" max="1459" width="20.6640625" customWidth="1"/>
    <col min="1460" max="1461" width="5.6640625" customWidth="1"/>
    <col min="1462" max="1462" width="8.6640625" customWidth="1"/>
    <col min="1463" max="1463" width="4.6640625" customWidth="1"/>
    <col min="1464" max="1464" width="10.6640625" customWidth="1"/>
    <col min="1465" max="1465" width="4.6640625" customWidth="1"/>
    <col min="1466" max="1466" width="20.6640625" customWidth="1"/>
    <col min="1467" max="1468" width="5.6640625" customWidth="1"/>
    <col min="1469" max="1469" width="8.6640625" customWidth="1"/>
    <col min="1470" max="1470" width="4.6640625" customWidth="1"/>
    <col min="1471" max="1471" width="10.6640625" customWidth="1"/>
    <col min="1472" max="1472" width="4.6640625" customWidth="1"/>
    <col min="1473" max="1473" width="20.6640625" customWidth="1"/>
    <col min="1474" max="1475" width="5.6640625" customWidth="1"/>
    <col min="1476" max="1476" width="8.6640625" customWidth="1"/>
    <col min="1477" max="1477" width="4.6640625" customWidth="1"/>
    <col min="1478" max="1478" width="10.6640625" customWidth="1"/>
    <col min="1479" max="1479" width="5.6640625" customWidth="1"/>
    <col min="1480" max="1480" width="20.6640625" customWidth="1"/>
    <col min="1481" max="1481" width="7.6640625" customWidth="1"/>
    <col min="1482" max="1482" width="8.6640625" customWidth="1"/>
    <col min="1483" max="1483" width="7.6640625" customWidth="1"/>
    <col min="1484" max="1484" width="5.6640625" customWidth="1"/>
    <col min="1485" max="1485" width="20.6640625" customWidth="1"/>
    <col min="1486" max="1486" width="7.6640625" customWidth="1"/>
    <col min="1487" max="1487" width="8.6640625" customWidth="1"/>
    <col min="1488" max="1488" width="7.6640625" customWidth="1"/>
    <col min="1489" max="1489" width="8.6640625" customWidth="1"/>
    <col min="1490" max="1491" width="10.6640625" customWidth="1"/>
    <col min="1492" max="1492" width="4.6640625" customWidth="1"/>
    <col min="1493" max="1493" width="20.6640625" customWidth="1"/>
    <col min="1494" max="1497" width="5.6640625" customWidth="1"/>
    <col min="1498" max="1499" width="4.6640625" customWidth="1"/>
    <col min="1500" max="1500" width="20.6640625" customWidth="1"/>
    <col min="1501" max="1501" width="4.6640625" customWidth="1"/>
    <col min="1502" max="1502" width="20.6640625" customWidth="1"/>
    <col min="1503" max="1503" width="5.6640625" customWidth="1"/>
    <col min="1504" max="1504" width="20.6640625" customWidth="1"/>
    <col min="1505" max="1505" width="15.6640625" customWidth="1"/>
    <col min="1506" max="1509" width="8.6640625" customWidth="1"/>
    <col min="1510" max="1511" width="10.6640625" customWidth="1"/>
    <col min="1512" max="1514" width="8.6640625" customWidth="1"/>
    <col min="1515" max="1515" width="9.6640625" customWidth="1"/>
    <col min="1516" max="1516" width="8.6640625" customWidth="1"/>
    <col min="1517" max="1518" width="20.6640625" customWidth="1"/>
    <col min="1519" max="1522" width="8.6640625" customWidth="1"/>
    <col min="1523" max="1525" width="10.6640625" customWidth="1"/>
    <col min="1526" max="1529" width="10" customWidth="1"/>
    <col min="1530" max="1531" width="20.6640625" customWidth="1"/>
    <col min="1532" max="1535" width="7.6640625" customWidth="1"/>
    <col min="1536" max="1538" width="10.6640625" customWidth="1"/>
    <col min="1539" max="1542" width="10" customWidth="1"/>
    <col min="1543" max="1544" width="20.6640625" customWidth="1"/>
    <col min="1545" max="1548" width="7.6640625" customWidth="1"/>
    <col min="1549" max="1551" width="10.6640625" customWidth="1"/>
    <col min="1552" max="1555" width="10" customWidth="1"/>
    <col min="1556" max="1557" width="20.6640625" customWidth="1"/>
    <col min="1558" max="1561" width="7.6640625" customWidth="1"/>
    <col min="1562" max="1564" width="10.6640625" customWidth="1"/>
    <col min="1565" max="1570" width="10" customWidth="1"/>
    <col min="1571" max="1571" width="7.6640625" customWidth="1"/>
    <col min="1572" max="1573" width="10.6640625" customWidth="1"/>
    <col min="1574" max="1574" width="7.6640625" customWidth="1"/>
    <col min="1575" max="1580" width="10.6640625" customWidth="1"/>
    <col min="1581" max="1582" width="11.6640625" customWidth="1"/>
    <col min="1583" max="1584" width="10.6640625" customWidth="1"/>
    <col min="1585" max="1587" width="9.6640625" customWidth="1"/>
    <col min="1588" max="1588" width="12.5546875" bestFit="1" customWidth="1"/>
    <col min="1589" max="1589" width="9" customWidth="1"/>
    <col min="1590" max="1591" width="10.109375" bestFit="1" customWidth="1"/>
    <col min="1693" max="1693" width="5.6640625" customWidth="1"/>
    <col min="1694" max="1695" width="8.6640625" customWidth="1"/>
    <col min="1696" max="1696" width="4.6640625" customWidth="1"/>
    <col min="1697" max="1698" width="15.6640625" customWidth="1"/>
    <col min="1699" max="1699" width="5.6640625" customWidth="1"/>
    <col min="1700" max="1700" width="4.6640625" customWidth="1"/>
    <col min="1701" max="1701" width="20.6640625" customWidth="1"/>
    <col min="1702" max="1702" width="4.6640625" customWidth="1"/>
    <col min="1703" max="1703" width="5.6640625" customWidth="1"/>
    <col min="1704" max="1704" width="8.6640625" customWidth="1"/>
    <col min="1705" max="1705" width="4.6640625" customWidth="1"/>
    <col min="1706" max="1706" width="10.6640625" customWidth="1"/>
    <col min="1707" max="1707" width="4.6640625" customWidth="1"/>
    <col min="1708" max="1708" width="20.6640625" customWidth="1"/>
    <col min="1709" max="1710" width="5.6640625" customWidth="1"/>
    <col min="1711" max="1711" width="8.6640625" customWidth="1"/>
    <col min="1712" max="1712" width="4.6640625" customWidth="1"/>
    <col min="1713" max="1713" width="10.6640625" customWidth="1"/>
    <col min="1714" max="1714" width="4.6640625" customWidth="1"/>
    <col min="1715" max="1715" width="20.6640625" customWidth="1"/>
    <col min="1716" max="1717" width="5.6640625" customWidth="1"/>
    <col min="1718" max="1718" width="8.6640625" customWidth="1"/>
    <col min="1719" max="1719" width="4.6640625" customWidth="1"/>
    <col min="1720" max="1720" width="10.6640625" customWidth="1"/>
    <col min="1721" max="1721" width="4.6640625" customWidth="1"/>
    <col min="1722" max="1722" width="20.6640625" customWidth="1"/>
    <col min="1723" max="1724" width="5.6640625" customWidth="1"/>
    <col min="1725" max="1725" width="8.6640625" customWidth="1"/>
    <col min="1726" max="1726" width="4.6640625" customWidth="1"/>
    <col min="1727" max="1727" width="10.6640625" customWidth="1"/>
    <col min="1728" max="1728" width="4.6640625" customWidth="1"/>
    <col min="1729" max="1729" width="20.6640625" customWidth="1"/>
    <col min="1730" max="1731" width="5.6640625" customWidth="1"/>
    <col min="1732" max="1732" width="8.6640625" customWidth="1"/>
    <col min="1733" max="1733" width="4.6640625" customWidth="1"/>
    <col min="1734" max="1734" width="10.6640625" customWidth="1"/>
    <col min="1735" max="1735" width="5.6640625" customWidth="1"/>
    <col min="1736" max="1736" width="20.6640625" customWidth="1"/>
    <col min="1737" max="1737" width="7.6640625" customWidth="1"/>
    <col min="1738" max="1738" width="8.6640625" customWidth="1"/>
    <col min="1739" max="1739" width="7.6640625" customWidth="1"/>
    <col min="1740" max="1740" width="5.6640625" customWidth="1"/>
    <col min="1741" max="1741" width="20.6640625" customWidth="1"/>
    <col min="1742" max="1742" width="7.6640625" customWidth="1"/>
    <col min="1743" max="1743" width="8.6640625" customWidth="1"/>
    <col min="1744" max="1744" width="7.6640625" customWidth="1"/>
    <col min="1745" max="1745" width="8.6640625" customWidth="1"/>
    <col min="1746" max="1747" width="10.6640625" customWidth="1"/>
    <col min="1748" max="1748" width="4.6640625" customWidth="1"/>
    <col min="1749" max="1749" width="20.6640625" customWidth="1"/>
    <col min="1750" max="1753" width="5.6640625" customWidth="1"/>
    <col min="1754" max="1755" width="4.6640625" customWidth="1"/>
    <col min="1756" max="1756" width="20.6640625" customWidth="1"/>
    <col min="1757" max="1757" width="4.6640625" customWidth="1"/>
    <col min="1758" max="1758" width="20.6640625" customWidth="1"/>
    <col min="1759" max="1759" width="5.6640625" customWidth="1"/>
    <col min="1760" max="1760" width="20.6640625" customWidth="1"/>
    <col min="1761" max="1761" width="15.6640625" customWidth="1"/>
    <col min="1762" max="1765" width="8.6640625" customWidth="1"/>
    <col min="1766" max="1767" width="10.6640625" customWidth="1"/>
    <col min="1768" max="1770" width="8.6640625" customWidth="1"/>
    <col min="1771" max="1771" width="9.6640625" customWidth="1"/>
    <col min="1772" max="1772" width="8.6640625" customWidth="1"/>
    <col min="1773" max="1774" width="20.6640625" customWidth="1"/>
    <col min="1775" max="1778" width="8.6640625" customWidth="1"/>
    <col min="1779" max="1781" width="10.6640625" customWidth="1"/>
    <col min="1782" max="1785" width="10" customWidth="1"/>
    <col min="1786" max="1787" width="20.6640625" customWidth="1"/>
    <col min="1788" max="1791" width="7.6640625" customWidth="1"/>
    <col min="1792" max="1794" width="10.6640625" customWidth="1"/>
    <col min="1795" max="1798" width="10" customWidth="1"/>
    <col min="1799" max="1800" width="20.6640625" customWidth="1"/>
    <col min="1801" max="1804" width="7.6640625" customWidth="1"/>
    <col min="1805" max="1807" width="10.6640625" customWidth="1"/>
    <col min="1808" max="1811" width="10" customWidth="1"/>
    <col min="1812" max="1813" width="20.6640625" customWidth="1"/>
    <col min="1814" max="1817" width="7.6640625" customWidth="1"/>
    <col min="1818" max="1820" width="10.6640625" customWidth="1"/>
    <col min="1821" max="1826" width="10" customWidth="1"/>
    <col min="1827" max="1827" width="7.6640625" customWidth="1"/>
    <col min="1828" max="1829" width="10.6640625" customWidth="1"/>
    <col min="1830" max="1830" width="7.6640625" customWidth="1"/>
    <col min="1831" max="1836" width="10.6640625" customWidth="1"/>
    <col min="1837" max="1838" width="11.6640625" customWidth="1"/>
    <col min="1839" max="1840" width="10.6640625" customWidth="1"/>
    <col min="1841" max="1843" width="9.6640625" customWidth="1"/>
    <col min="1844" max="1844" width="12.5546875" bestFit="1" customWidth="1"/>
    <col min="1845" max="1845" width="9" customWidth="1"/>
    <col min="1846" max="1847" width="10.109375" bestFit="1" customWidth="1"/>
    <col min="1949" max="1949" width="5.6640625" customWidth="1"/>
    <col min="1950" max="1951" width="8.6640625" customWidth="1"/>
    <col min="1952" max="1952" width="4.6640625" customWidth="1"/>
    <col min="1953" max="1954" width="15.6640625" customWidth="1"/>
    <col min="1955" max="1955" width="5.6640625" customWidth="1"/>
    <col min="1956" max="1956" width="4.6640625" customWidth="1"/>
    <col min="1957" max="1957" width="20.6640625" customWidth="1"/>
    <col min="1958" max="1958" width="4.6640625" customWidth="1"/>
    <col min="1959" max="1959" width="5.6640625" customWidth="1"/>
    <col min="1960" max="1960" width="8.6640625" customWidth="1"/>
    <col min="1961" max="1961" width="4.6640625" customWidth="1"/>
    <col min="1962" max="1962" width="10.6640625" customWidth="1"/>
    <col min="1963" max="1963" width="4.6640625" customWidth="1"/>
    <col min="1964" max="1964" width="20.6640625" customWidth="1"/>
    <col min="1965" max="1966" width="5.6640625" customWidth="1"/>
    <col min="1967" max="1967" width="8.6640625" customWidth="1"/>
    <col min="1968" max="1968" width="4.6640625" customWidth="1"/>
    <col min="1969" max="1969" width="10.6640625" customWidth="1"/>
    <col min="1970" max="1970" width="4.6640625" customWidth="1"/>
    <col min="1971" max="1971" width="20.6640625" customWidth="1"/>
    <col min="1972" max="1973" width="5.6640625" customWidth="1"/>
    <col min="1974" max="1974" width="8.6640625" customWidth="1"/>
    <col min="1975" max="1975" width="4.6640625" customWidth="1"/>
    <col min="1976" max="1976" width="10.6640625" customWidth="1"/>
    <col min="1977" max="1977" width="4.6640625" customWidth="1"/>
    <col min="1978" max="1978" width="20.6640625" customWidth="1"/>
    <col min="1979" max="1980" width="5.6640625" customWidth="1"/>
    <col min="1981" max="1981" width="8.6640625" customWidth="1"/>
    <col min="1982" max="1982" width="4.6640625" customWidth="1"/>
    <col min="1983" max="1983" width="10.6640625" customWidth="1"/>
    <col min="1984" max="1984" width="4.6640625" customWidth="1"/>
    <col min="1985" max="1985" width="20.6640625" customWidth="1"/>
    <col min="1986" max="1987" width="5.6640625" customWidth="1"/>
    <col min="1988" max="1988" width="8.6640625" customWidth="1"/>
    <col min="1989" max="1989" width="4.6640625" customWidth="1"/>
    <col min="1990" max="1990" width="10.6640625" customWidth="1"/>
    <col min="1991" max="1991" width="5.6640625" customWidth="1"/>
    <col min="1992" max="1992" width="20.6640625" customWidth="1"/>
    <col min="1993" max="1993" width="7.6640625" customWidth="1"/>
    <col min="1994" max="1994" width="8.6640625" customWidth="1"/>
    <col min="1995" max="1995" width="7.6640625" customWidth="1"/>
    <col min="1996" max="1996" width="5.6640625" customWidth="1"/>
    <col min="1997" max="1997" width="20.6640625" customWidth="1"/>
    <col min="1998" max="1998" width="7.6640625" customWidth="1"/>
    <col min="1999" max="1999" width="8.6640625" customWidth="1"/>
    <col min="2000" max="2000" width="7.6640625" customWidth="1"/>
    <col min="2001" max="2001" width="8.6640625" customWidth="1"/>
    <col min="2002" max="2003" width="10.6640625" customWidth="1"/>
    <col min="2004" max="2004" width="4.6640625" customWidth="1"/>
    <col min="2005" max="2005" width="20.6640625" customWidth="1"/>
    <col min="2006" max="2009" width="5.6640625" customWidth="1"/>
    <col min="2010" max="2011" width="4.6640625" customWidth="1"/>
    <col min="2012" max="2012" width="20.6640625" customWidth="1"/>
    <col min="2013" max="2013" width="4.6640625" customWidth="1"/>
    <col min="2014" max="2014" width="20.6640625" customWidth="1"/>
    <col min="2015" max="2015" width="5.6640625" customWidth="1"/>
    <col min="2016" max="2016" width="20.6640625" customWidth="1"/>
    <col min="2017" max="2017" width="15.6640625" customWidth="1"/>
    <col min="2018" max="2021" width="8.6640625" customWidth="1"/>
    <col min="2022" max="2023" width="10.6640625" customWidth="1"/>
    <col min="2024" max="2026" width="8.6640625" customWidth="1"/>
    <col min="2027" max="2027" width="9.6640625" customWidth="1"/>
    <col min="2028" max="2028" width="8.6640625" customWidth="1"/>
    <col min="2029" max="2030" width="20.6640625" customWidth="1"/>
    <col min="2031" max="2034" width="8.6640625" customWidth="1"/>
    <col min="2035" max="2037" width="10.6640625" customWidth="1"/>
    <col min="2038" max="2041" width="10" customWidth="1"/>
    <col min="2042" max="2043" width="20.6640625" customWidth="1"/>
    <col min="2044" max="2047" width="7.6640625" customWidth="1"/>
    <col min="2048" max="2050" width="10.6640625" customWidth="1"/>
    <col min="2051" max="2054" width="10" customWidth="1"/>
    <col min="2055" max="2056" width="20.6640625" customWidth="1"/>
    <col min="2057" max="2060" width="7.6640625" customWidth="1"/>
    <col min="2061" max="2063" width="10.6640625" customWidth="1"/>
    <col min="2064" max="2067" width="10" customWidth="1"/>
    <col min="2068" max="2069" width="20.6640625" customWidth="1"/>
    <col min="2070" max="2073" width="7.6640625" customWidth="1"/>
    <col min="2074" max="2076" width="10.6640625" customWidth="1"/>
    <col min="2077" max="2082" width="10" customWidth="1"/>
    <col min="2083" max="2083" width="7.6640625" customWidth="1"/>
    <col min="2084" max="2085" width="10.6640625" customWidth="1"/>
    <col min="2086" max="2086" width="7.6640625" customWidth="1"/>
    <col min="2087" max="2092" width="10.6640625" customWidth="1"/>
    <col min="2093" max="2094" width="11.6640625" customWidth="1"/>
    <col min="2095" max="2096" width="10.6640625" customWidth="1"/>
    <col min="2097" max="2099" width="9.6640625" customWidth="1"/>
    <col min="2100" max="2100" width="12.5546875" bestFit="1" customWidth="1"/>
    <col min="2101" max="2101" width="9" customWidth="1"/>
    <col min="2102" max="2103" width="10.109375" bestFit="1" customWidth="1"/>
    <col min="2205" max="2205" width="5.6640625" customWidth="1"/>
    <col min="2206" max="2207" width="8.6640625" customWidth="1"/>
    <col min="2208" max="2208" width="4.6640625" customWidth="1"/>
    <col min="2209" max="2210" width="15.6640625" customWidth="1"/>
    <col min="2211" max="2211" width="5.6640625" customWidth="1"/>
    <col min="2212" max="2212" width="4.6640625" customWidth="1"/>
    <col min="2213" max="2213" width="20.6640625" customWidth="1"/>
    <col min="2214" max="2214" width="4.6640625" customWidth="1"/>
    <col min="2215" max="2215" width="5.6640625" customWidth="1"/>
    <col min="2216" max="2216" width="8.6640625" customWidth="1"/>
    <col min="2217" max="2217" width="4.6640625" customWidth="1"/>
    <col min="2218" max="2218" width="10.6640625" customWidth="1"/>
    <col min="2219" max="2219" width="4.6640625" customWidth="1"/>
    <col min="2220" max="2220" width="20.6640625" customWidth="1"/>
    <col min="2221" max="2222" width="5.6640625" customWidth="1"/>
    <col min="2223" max="2223" width="8.6640625" customWidth="1"/>
    <col min="2224" max="2224" width="4.6640625" customWidth="1"/>
    <col min="2225" max="2225" width="10.6640625" customWidth="1"/>
    <col min="2226" max="2226" width="4.6640625" customWidth="1"/>
    <col min="2227" max="2227" width="20.6640625" customWidth="1"/>
    <col min="2228" max="2229" width="5.6640625" customWidth="1"/>
    <col min="2230" max="2230" width="8.6640625" customWidth="1"/>
    <col min="2231" max="2231" width="4.6640625" customWidth="1"/>
    <col min="2232" max="2232" width="10.6640625" customWidth="1"/>
    <col min="2233" max="2233" width="4.6640625" customWidth="1"/>
    <col min="2234" max="2234" width="20.6640625" customWidth="1"/>
    <col min="2235" max="2236" width="5.6640625" customWidth="1"/>
    <col min="2237" max="2237" width="8.6640625" customWidth="1"/>
    <col min="2238" max="2238" width="4.6640625" customWidth="1"/>
    <col min="2239" max="2239" width="10.6640625" customWidth="1"/>
    <col min="2240" max="2240" width="4.6640625" customWidth="1"/>
    <col min="2241" max="2241" width="20.6640625" customWidth="1"/>
    <col min="2242" max="2243" width="5.6640625" customWidth="1"/>
    <col min="2244" max="2244" width="8.6640625" customWidth="1"/>
    <col min="2245" max="2245" width="4.6640625" customWidth="1"/>
    <col min="2246" max="2246" width="10.6640625" customWidth="1"/>
    <col min="2247" max="2247" width="5.6640625" customWidth="1"/>
    <col min="2248" max="2248" width="20.6640625" customWidth="1"/>
    <col min="2249" max="2249" width="7.6640625" customWidth="1"/>
    <col min="2250" max="2250" width="8.6640625" customWidth="1"/>
    <col min="2251" max="2251" width="7.6640625" customWidth="1"/>
    <col min="2252" max="2252" width="5.6640625" customWidth="1"/>
    <col min="2253" max="2253" width="20.6640625" customWidth="1"/>
    <col min="2254" max="2254" width="7.6640625" customWidth="1"/>
    <col min="2255" max="2255" width="8.6640625" customWidth="1"/>
    <col min="2256" max="2256" width="7.6640625" customWidth="1"/>
    <col min="2257" max="2257" width="8.6640625" customWidth="1"/>
    <col min="2258" max="2259" width="10.6640625" customWidth="1"/>
    <col min="2260" max="2260" width="4.6640625" customWidth="1"/>
    <col min="2261" max="2261" width="20.6640625" customWidth="1"/>
    <col min="2262" max="2265" width="5.6640625" customWidth="1"/>
    <col min="2266" max="2267" width="4.6640625" customWidth="1"/>
    <col min="2268" max="2268" width="20.6640625" customWidth="1"/>
    <col min="2269" max="2269" width="4.6640625" customWidth="1"/>
    <col min="2270" max="2270" width="20.6640625" customWidth="1"/>
    <col min="2271" max="2271" width="5.6640625" customWidth="1"/>
    <col min="2272" max="2272" width="20.6640625" customWidth="1"/>
    <col min="2273" max="2273" width="15.6640625" customWidth="1"/>
    <col min="2274" max="2277" width="8.6640625" customWidth="1"/>
    <col min="2278" max="2279" width="10.6640625" customWidth="1"/>
    <col min="2280" max="2282" width="8.6640625" customWidth="1"/>
    <col min="2283" max="2283" width="9.6640625" customWidth="1"/>
    <col min="2284" max="2284" width="8.6640625" customWidth="1"/>
    <col min="2285" max="2286" width="20.6640625" customWidth="1"/>
    <col min="2287" max="2290" width="8.6640625" customWidth="1"/>
    <col min="2291" max="2293" width="10.6640625" customWidth="1"/>
    <col min="2294" max="2297" width="10" customWidth="1"/>
    <col min="2298" max="2299" width="20.6640625" customWidth="1"/>
    <col min="2300" max="2303" width="7.6640625" customWidth="1"/>
    <col min="2304" max="2306" width="10.6640625" customWidth="1"/>
    <col min="2307" max="2310" width="10" customWidth="1"/>
    <col min="2311" max="2312" width="20.6640625" customWidth="1"/>
    <col min="2313" max="2316" width="7.6640625" customWidth="1"/>
    <col min="2317" max="2319" width="10.6640625" customWidth="1"/>
    <col min="2320" max="2323" width="10" customWidth="1"/>
    <col min="2324" max="2325" width="20.6640625" customWidth="1"/>
    <col min="2326" max="2329" width="7.6640625" customWidth="1"/>
    <col min="2330" max="2332" width="10.6640625" customWidth="1"/>
    <col min="2333" max="2338" width="10" customWidth="1"/>
    <col min="2339" max="2339" width="7.6640625" customWidth="1"/>
    <col min="2340" max="2341" width="10.6640625" customWidth="1"/>
    <col min="2342" max="2342" width="7.6640625" customWidth="1"/>
    <col min="2343" max="2348" width="10.6640625" customWidth="1"/>
    <col min="2349" max="2350" width="11.6640625" customWidth="1"/>
    <col min="2351" max="2352" width="10.6640625" customWidth="1"/>
    <col min="2353" max="2355" width="9.6640625" customWidth="1"/>
    <col min="2356" max="2356" width="12.5546875" bestFit="1" customWidth="1"/>
    <col min="2357" max="2357" width="9" customWidth="1"/>
    <col min="2358" max="2359" width="10.109375" bestFit="1" customWidth="1"/>
    <col min="2461" max="2461" width="5.6640625" customWidth="1"/>
    <col min="2462" max="2463" width="8.6640625" customWidth="1"/>
    <col min="2464" max="2464" width="4.6640625" customWidth="1"/>
    <col min="2465" max="2466" width="15.6640625" customWidth="1"/>
    <col min="2467" max="2467" width="5.6640625" customWidth="1"/>
    <col min="2468" max="2468" width="4.6640625" customWidth="1"/>
    <col min="2469" max="2469" width="20.6640625" customWidth="1"/>
    <col min="2470" max="2470" width="4.6640625" customWidth="1"/>
    <col min="2471" max="2471" width="5.6640625" customWidth="1"/>
    <col min="2472" max="2472" width="8.6640625" customWidth="1"/>
    <col min="2473" max="2473" width="4.6640625" customWidth="1"/>
    <col min="2474" max="2474" width="10.6640625" customWidth="1"/>
    <col min="2475" max="2475" width="4.6640625" customWidth="1"/>
    <col min="2476" max="2476" width="20.6640625" customWidth="1"/>
    <col min="2477" max="2478" width="5.6640625" customWidth="1"/>
    <col min="2479" max="2479" width="8.6640625" customWidth="1"/>
    <col min="2480" max="2480" width="4.6640625" customWidth="1"/>
    <col min="2481" max="2481" width="10.6640625" customWidth="1"/>
    <col min="2482" max="2482" width="4.6640625" customWidth="1"/>
    <col min="2483" max="2483" width="20.6640625" customWidth="1"/>
    <col min="2484" max="2485" width="5.6640625" customWidth="1"/>
    <col min="2486" max="2486" width="8.6640625" customWidth="1"/>
    <col min="2487" max="2487" width="4.6640625" customWidth="1"/>
    <col min="2488" max="2488" width="10.6640625" customWidth="1"/>
    <col min="2489" max="2489" width="4.6640625" customWidth="1"/>
    <col min="2490" max="2490" width="20.6640625" customWidth="1"/>
    <col min="2491" max="2492" width="5.6640625" customWidth="1"/>
    <col min="2493" max="2493" width="8.6640625" customWidth="1"/>
    <col min="2494" max="2494" width="4.6640625" customWidth="1"/>
    <col min="2495" max="2495" width="10.6640625" customWidth="1"/>
    <col min="2496" max="2496" width="4.6640625" customWidth="1"/>
    <col min="2497" max="2497" width="20.6640625" customWidth="1"/>
    <col min="2498" max="2499" width="5.6640625" customWidth="1"/>
    <col min="2500" max="2500" width="8.6640625" customWidth="1"/>
    <col min="2501" max="2501" width="4.6640625" customWidth="1"/>
    <col min="2502" max="2502" width="10.6640625" customWidth="1"/>
    <col min="2503" max="2503" width="5.6640625" customWidth="1"/>
    <col min="2504" max="2504" width="20.6640625" customWidth="1"/>
    <col min="2505" max="2505" width="7.6640625" customWidth="1"/>
    <col min="2506" max="2506" width="8.6640625" customWidth="1"/>
    <col min="2507" max="2507" width="7.6640625" customWidth="1"/>
    <col min="2508" max="2508" width="5.6640625" customWidth="1"/>
    <col min="2509" max="2509" width="20.6640625" customWidth="1"/>
    <col min="2510" max="2510" width="7.6640625" customWidth="1"/>
    <col min="2511" max="2511" width="8.6640625" customWidth="1"/>
    <col min="2512" max="2512" width="7.6640625" customWidth="1"/>
    <col min="2513" max="2513" width="8.6640625" customWidth="1"/>
    <col min="2514" max="2515" width="10.6640625" customWidth="1"/>
    <col min="2516" max="2516" width="4.6640625" customWidth="1"/>
    <col min="2517" max="2517" width="20.6640625" customWidth="1"/>
    <col min="2518" max="2521" width="5.6640625" customWidth="1"/>
    <col min="2522" max="2523" width="4.6640625" customWidth="1"/>
    <col min="2524" max="2524" width="20.6640625" customWidth="1"/>
    <col min="2525" max="2525" width="4.6640625" customWidth="1"/>
    <col min="2526" max="2526" width="20.6640625" customWidth="1"/>
    <col min="2527" max="2527" width="5.6640625" customWidth="1"/>
    <col min="2528" max="2528" width="20.6640625" customWidth="1"/>
    <col min="2529" max="2529" width="15.6640625" customWidth="1"/>
    <col min="2530" max="2533" width="8.6640625" customWidth="1"/>
    <col min="2534" max="2535" width="10.6640625" customWidth="1"/>
    <col min="2536" max="2538" width="8.6640625" customWidth="1"/>
    <col min="2539" max="2539" width="9.6640625" customWidth="1"/>
    <col min="2540" max="2540" width="8.6640625" customWidth="1"/>
    <col min="2541" max="2542" width="20.6640625" customWidth="1"/>
    <col min="2543" max="2546" width="8.6640625" customWidth="1"/>
    <col min="2547" max="2549" width="10.6640625" customWidth="1"/>
    <col min="2550" max="2553" width="10" customWidth="1"/>
    <col min="2554" max="2555" width="20.6640625" customWidth="1"/>
    <col min="2556" max="2559" width="7.6640625" customWidth="1"/>
    <col min="2560" max="2562" width="10.6640625" customWidth="1"/>
    <col min="2563" max="2566" width="10" customWidth="1"/>
    <col min="2567" max="2568" width="20.6640625" customWidth="1"/>
    <col min="2569" max="2572" width="7.6640625" customWidth="1"/>
    <col min="2573" max="2575" width="10.6640625" customWidth="1"/>
    <col min="2576" max="2579" width="10" customWidth="1"/>
    <col min="2580" max="2581" width="20.6640625" customWidth="1"/>
    <col min="2582" max="2585" width="7.6640625" customWidth="1"/>
    <col min="2586" max="2588" width="10.6640625" customWidth="1"/>
    <col min="2589" max="2594" width="10" customWidth="1"/>
    <col min="2595" max="2595" width="7.6640625" customWidth="1"/>
    <col min="2596" max="2597" width="10.6640625" customWidth="1"/>
    <col min="2598" max="2598" width="7.6640625" customWidth="1"/>
    <col min="2599" max="2604" width="10.6640625" customWidth="1"/>
    <col min="2605" max="2606" width="11.6640625" customWidth="1"/>
    <col min="2607" max="2608" width="10.6640625" customWidth="1"/>
    <col min="2609" max="2611" width="9.6640625" customWidth="1"/>
    <col min="2612" max="2612" width="12.5546875" bestFit="1" customWidth="1"/>
    <col min="2613" max="2613" width="9" customWidth="1"/>
    <col min="2614" max="2615" width="10.109375" bestFit="1" customWidth="1"/>
    <col min="2717" max="2717" width="5.6640625" customWidth="1"/>
    <col min="2718" max="2719" width="8.6640625" customWidth="1"/>
    <col min="2720" max="2720" width="4.6640625" customWidth="1"/>
    <col min="2721" max="2722" width="15.6640625" customWidth="1"/>
    <col min="2723" max="2723" width="5.6640625" customWidth="1"/>
    <col min="2724" max="2724" width="4.6640625" customWidth="1"/>
    <col min="2725" max="2725" width="20.6640625" customWidth="1"/>
    <col min="2726" max="2726" width="4.6640625" customWidth="1"/>
    <col min="2727" max="2727" width="5.6640625" customWidth="1"/>
    <col min="2728" max="2728" width="8.6640625" customWidth="1"/>
    <col min="2729" max="2729" width="4.6640625" customWidth="1"/>
    <col min="2730" max="2730" width="10.6640625" customWidth="1"/>
    <col min="2731" max="2731" width="4.6640625" customWidth="1"/>
    <col min="2732" max="2732" width="20.6640625" customWidth="1"/>
    <col min="2733" max="2734" width="5.6640625" customWidth="1"/>
    <col min="2735" max="2735" width="8.6640625" customWidth="1"/>
    <col min="2736" max="2736" width="4.6640625" customWidth="1"/>
    <col min="2737" max="2737" width="10.6640625" customWidth="1"/>
    <col min="2738" max="2738" width="4.6640625" customWidth="1"/>
    <col min="2739" max="2739" width="20.6640625" customWidth="1"/>
    <col min="2740" max="2741" width="5.6640625" customWidth="1"/>
    <col min="2742" max="2742" width="8.6640625" customWidth="1"/>
    <col min="2743" max="2743" width="4.6640625" customWidth="1"/>
    <col min="2744" max="2744" width="10.6640625" customWidth="1"/>
    <col min="2745" max="2745" width="4.6640625" customWidth="1"/>
    <col min="2746" max="2746" width="20.6640625" customWidth="1"/>
    <col min="2747" max="2748" width="5.6640625" customWidth="1"/>
    <col min="2749" max="2749" width="8.6640625" customWidth="1"/>
    <col min="2750" max="2750" width="4.6640625" customWidth="1"/>
    <col min="2751" max="2751" width="10.6640625" customWidth="1"/>
    <col min="2752" max="2752" width="4.6640625" customWidth="1"/>
    <col min="2753" max="2753" width="20.6640625" customWidth="1"/>
    <col min="2754" max="2755" width="5.6640625" customWidth="1"/>
    <col min="2756" max="2756" width="8.6640625" customWidth="1"/>
    <col min="2757" max="2757" width="4.6640625" customWidth="1"/>
    <col min="2758" max="2758" width="10.6640625" customWidth="1"/>
    <col min="2759" max="2759" width="5.6640625" customWidth="1"/>
    <col min="2760" max="2760" width="20.6640625" customWidth="1"/>
    <col min="2761" max="2761" width="7.6640625" customWidth="1"/>
    <col min="2762" max="2762" width="8.6640625" customWidth="1"/>
    <col min="2763" max="2763" width="7.6640625" customWidth="1"/>
    <col min="2764" max="2764" width="5.6640625" customWidth="1"/>
    <col min="2765" max="2765" width="20.6640625" customWidth="1"/>
    <col min="2766" max="2766" width="7.6640625" customWidth="1"/>
    <col min="2767" max="2767" width="8.6640625" customWidth="1"/>
    <col min="2768" max="2768" width="7.6640625" customWidth="1"/>
    <col min="2769" max="2769" width="8.6640625" customWidth="1"/>
    <col min="2770" max="2771" width="10.6640625" customWidth="1"/>
    <col min="2772" max="2772" width="4.6640625" customWidth="1"/>
    <col min="2773" max="2773" width="20.6640625" customWidth="1"/>
    <col min="2774" max="2777" width="5.6640625" customWidth="1"/>
    <col min="2778" max="2779" width="4.6640625" customWidth="1"/>
    <col min="2780" max="2780" width="20.6640625" customWidth="1"/>
    <col min="2781" max="2781" width="4.6640625" customWidth="1"/>
    <col min="2782" max="2782" width="20.6640625" customWidth="1"/>
    <col min="2783" max="2783" width="5.6640625" customWidth="1"/>
    <col min="2784" max="2784" width="20.6640625" customWidth="1"/>
    <col min="2785" max="2785" width="15.6640625" customWidth="1"/>
    <col min="2786" max="2789" width="8.6640625" customWidth="1"/>
    <col min="2790" max="2791" width="10.6640625" customWidth="1"/>
    <col min="2792" max="2794" width="8.6640625" customWidth="1"/>
    <col min="2795" max="2795" width="9.6640625" customWidth="1"/>
    <col min="2796" max="2796" width="8.6640625" customWidth="1"/>
    <col min="2797" max="2798" width="20.6640625" customWidth="1"/>
    <col min="2799" max="2802" width="8.6640625" customWidth="1"/>
    <col min="2803" max="2805" width="10.6640625" customWidth="1"/>
    <col min="2806" max="2809" width="10" customWidth="1"/>
    <col min="2810" max="2811" width="20.6640625" customWidth="1"/>
    <col min="2812" max="2815" width="7.6640625" customWidth="1"/>
    <col min="2816" max="2818" width="10.6640625" customWidth="1"/>
    <col min="2819" max="2822" width="10" customWidth="1"/>
    <col min="2823" max="2824" width="20.6640625" customWidth="1"/>
    <col min="2825" max="2828" width="7.6640625" customWidth="1"/>
    <col min="2829" max="2831" width="10.6640625" customWidth="1"/>
    <col min="2832" max="2835" width="10" customWidth="1"/>
    <col min="2836" max="2837" width="20.6640625" customWidth="1"/>
    <col min="2838" max="2841" width="7.6640625" customWidth="1"/>
    <col min="2842" max="2844" width="10.6640625" customWidth="1"/>
    <col min="2845" max="2850" width="10" customWidth="1"/>
    <col min="2851" max="2851" width="7.6640625" customWidth="1"/>
    <col min="2852" max="2853" width="10.6640625" customWidth="1"/>
    <col min="2854" max="2854" width="7.6640625" customWidth="1"/>
    <col min="2855" max="2860" width="10.6640625" customWidth="1"/>
    <col min="2861" max="2862" width="11.6640625" customWidth="1"/>
    <col min="2863" max="2864" width="10.6640625" customWidth="1"/>
    <col min="2865" max="2867" width="9.6640625" customWidth="1"/>
    <col min="2868" max="2868" width="12.5546875" bestFit="1" customWidth="1"/>
    <col min="2869" max="2869" width="9" customWidth="1"/>
    <col min="2870" max="2871" width="10.109375" bestFit="1" customWidth="1"/>
    <col min="2973" max="2973" width="5.6640625" customWidth="1"/>
    <col min="2974" max="2975" width="8.6640625" customWidth="1"/>
    <col min="2976" max="2976" width="4.6640625" customWidth="1"/>
    <col min="2977" max="2978" width="15.6640625" customWidth="1"/>
    <col min="2979" max="2979" width="5.6640625" customWidth="1"/>
    <col min="2980" max="2980" width="4.6640625" customWidth="1"/>
    <col min="2981" max="2981" width="20.6640625" customWidth="1"/>
    <col min="2982" max="2982" width="4.6640625" customWidth="1"/>
    <col min="2983" max="2983" width="5.6640625" customWidth="1"/>
    <col min="2984" max="2984" width="8.6640625" customWidth="1"/>
    <col min="2985" max="2985" width="4.6640625" customWidth="1"/>
    <col min="2986" max="2986" width="10.6640625" customWidth="1"/>
    <col min="2987" max="2987" width="4.6640625" customWidth="1"/>
    <col min="2988" max="2988" width="20.6640625" customWidth="1"/>
    <col min="2989" max="2990" width="5.6640625" customWidth="1"/>
    <col min="2991" max="2991" width="8.6640625" customWidth="1"/>
    <col min="2992" max="2992" width="4.6640625" customWidth="1"/>
    <col min="2993" max="2993" width="10.6640625" customWidth="1"/>
    <col min="2994" max="2994" width="4.6640625" customWidth="1"/>
    <col min="2995" max="2995" width="20.6640625" customWidth="1"/>
    <col min="2996" max="2997" width="5.6640625" customWidth="1"/>
    <col min="2998" max="2998" width="8.6640625" customWidth="1"/>
    <col min="2999" max="2999" width="4.6640625" customWidth="1"/>
    <col min="3000" max="3000" width="10.6640625" customWidth="1"/>
    <col min="3001" max="3001" width="4.6640625" customWidth="1"/>
    <col min="3002" max="3002" width="20.6640625" customWidth="1"/>
    <col min="3003" max="3004" width="5.6640625" customWidth="1"/>
    <col min="3005" max="3005" width="8.6640625" customWidth="1"/>
    <col min="3006" max="3006" width="4.6640625" customWidth="1"/>
    <col min="3007" max="3007" width="10.6640625" customWidth="1"/>
    <col min="3008" max="3008" width="4.6640625" customWidth="1"/>
    <col min="3009" max="3009" width="20.6640625" customWidth="1"/>
    <col min="3010" max="3011" width="5.6640625" customWidth="1"/>
    <col min="3012" max="3012" width="8.6640625" customWidth="1"/>
    <col min="3013" max="3013" width="4.6640625" customWidth="1"/>
    <col min="3014" max="3014" width="10.6640625" customWidth="1"/>
    <col min="3015" max="3015" width="5.6640625" customWidth="1"/>
    <col min="3016" max="3016" width="20.6640625" customWidth="1"/>
    <col min="3017" max="3017" width="7.6640625" customWidth="1"/>
    <col min="3018" max="3018" width="8.6640625" customWidth="1"/>
    <col min="3019" max="3019" width="7.6640625" customWidth="1"/>
    <col min="3020" max="3020" width="5.6640625" customWidth="1"/>
    <col min="3021" max="3021" width="20.6640625" customWidth="1"/>
    <col min="3022" max="3022" width="7.6640625" customWidth="1"/>
    <col min="3023" max="3023" width="8.6640625" customWidth="1"/>
    <col min="3024" max="3024" width="7.6640625" customWidth="1"/>
    <col min="3025" max="3025" width="8.6640625" customWidth="1"/>
    <col min="3026" max="3027" width="10.6640625" customWidth="1"/>
    <col min="3028" max="3028" width="4.6640625" customWidth="1"/>
    <col min="3029" max="3029" width="20.6640625" customWidth="1"/>
    <col min="3030" max="3033" width="5.6640625" customWidth="1"/>
    <col min="3034" max="3035" width="4.6640625" customWidth="1"/>
    <col min="3036" max="3036" width="20.6640625" customWidth="1"/>
    <col min="3037" max="3037" width="4.6640625" customWidth="1"/>
    <col min="3038" max="3038" width="20.6640625" customWidth="1"/>
    <col min="3039" max="3039" width="5.6640625" customWidth="1"/>
    <col min="3040" max="3040" width="20.6640625" customWidth="1"/>
    <col min="3041" max="3041" width="15.6640625" customWidth="1"/>
    <col min="3042" max="3045" width="8.6640625" customWidth="1"/>
    <col min="3046" max="3047" width="10.6640625" customWidth="1"/>
    <col min="3048" max="3050" width="8.6640625" customWidth="1"/>
    <col min="3051" max="3051" width="9.6640625" customWidth="1"/>
    <col min="3052" max="3052" width="8.6640625" customWidth="1"/>
    <col min="3053" max="3054" width="20.6640625" customWidth="1"/>
    <col min="3055" max="3058" width="8.6640625" customWidth="1"/>
    <col min="3059" max="3061" width="10.6640625" customWidth="1"/>
    <col min="3062" max="3065" width="10" customWidth="1"/>
    <col min="3066" max="3067" width="20.6640625" customWidth="1"/>
    <col min="3068" max="3071" width="7.6640625" customWidth="1"/>
    <col min="3072" max="3074" width="10.6640625" customWidth="1"/>
    <col min="3075" max="3078" width="10" customWidth="1"/>
    <col min="3079" max="3080" width="20.6640625" customWidth="1"/>
    <col min="3081" max="3084" width="7.6640625" customWidth="1"/>
    <col min="3085" max="3087" width="10.6640625" customWidth="1"/>
    <col min="3088" max="3091" width="10" customWidth="1"/>
    <col min="3092" max="3093" width="20.6640625" customWidth="1"/>
    <col min="3094" max="3097" width="7.6640625" customWidth="1"/>
    <col min="3098" max="3100" width="10.6640625" customWidth="1"/>
    <col min="3101" max="3106" width="10" customWidth="1"/>
    <col min="3107" max="3107" width="7.6640625" customWidth="1"/>
    <col min="3108" max="3109" width="10.6640625" customWidth="1"/>
    <col min="3110" max="3110" width="7.6640625" customWidth="1"/>
    <col min="3111" max="3116" width="10.6640625" customWidth="1"/>
    <col min="3117" max="3118" width="11.6640625" customWidth="1"/>
    <col min="3119" max="3120" width="10.6640625" customWidth="1"/>
    <col min="3121" max="3123" width="9.6640625" customWidth="1"/>
    <col min="3124" max="3124" width="12.5546875" bestFit="1" customWidth="1"/>
    <col min="3125" max="3125" width="9" customWidth="1"/>
    <col min="3126" max="3127" width="10.109375" bestFit="1" customWidth="1"/>
    <col min="3229" max="3229" width="5.6640625" customWidth="1"/>
    <col min="3230" max="3231" width="8.6640625" customWidth="1"/>
    <col min="3232" max="3232" width="4.6640625" customWidth="1"/>
    <col min="3233" max="3234" width="15.6640625" customWidth="1"/>
    <col min="3235" max="3235" width="5.6640625" customWidth="1"/>
    <col min="3236" max="3236" width="4.6640625" customWidth="1"/>
    <col min="3237" max="3237" width="20.6640625" customWidth="1"/>
    <col min="3238" max="3238" width="4.6640625" customWidth="1"/>
    <col min="3239" max="3239" width="5.6640625" customWidth="1"/>
    <col min="3240" max="3240" width="8.6640625" customWidth="1"/>
    <col min="3241" max="3241" width="4.6640625" customWidth="1"/>
    <col min="3242" max="3242" width="10.6640625" customWidth="1"/>
    <col min="3243" max="3243" width="4.6640625" customWidth="1"/>
    <col min="3244" max="3244" width="20.6640625" customWidth="1"/>
    <col min="3245" max="3246" width="5.6640625" customWidth="1"/>
    <col min="3247" max="3247" width="8.6640625" customWidth="1"/>
    <col min="3248" max="3248" width="4.6640625" customWidth="1"/>
    <col min="3249" max="3249" width="10.6640625" customWidth="1"/>
    <col min="3250" max="3250" width="4.6640625" customWidth="1"/>
    <col min="3251" max="3251" width="20.6640625" customWidth="1"/>
    <col min="3252" max="3253" width="5.6640625" customWidth="1"/>
    <col min="3254" max="3254" width="8.6640625" customWidth="1"/>
    <col min="3255" max="3255" width="4.6640625" customWidth="1"/>
    <col min="3256" max="3256" width="10.6640625" customWidth="1"/>
    <col min="3257" max="3257" width="4.6640625" customWidth="1"/>
    <col min="3258" max="3258" width="20.6640625" customWidth="1"/>
    <col min="3259" max="3260" width="5.6640625" customWidth="1"/>
    <col min="3261" max="3261" width="8.6640625" customWidth="1"/>
    <col min="3262" max="3262" width="4.6640625" customWidth="1"/>
    <col min="3263" max="3263" width="10.6640625" customWidth="1"/>
    <col min="3264" max="3264" width="4.6640625" customWidth="1"/>
    <col min="3265" max="3265" width="20.6640625" customWidth="1"/>
    <col min="3266" max="3267" width="5.6640625" customWidth="1"/>
    <col min="3268" max="3268" width="8.6640625" customWidth="1"/>
    <col min="3269" max="3269" width="4.6640625" customWidth="1"/>
    <col min="3270" max="3270" width="10.6640625" customWidth="1"/>
    <col min="3271" max="3271" width="5.6640625" customWidth="1"/>
    <col min="3272" max="3272" width="20.6640625" customWidth="1"/>
    <col min="3273" max="3273" width="7.6640625" customWidth="1"/>
    <col min="3274" max="3274" width="8.6640625" customWidth="1"/>
    <col min="3275" max="3275" width="7.6640625" customWidth="1"/>
    <col min="3276" max="3276" width="5.6640625" customWidth="1"/>
    <col min="3277" max="3277" width="20.6640625" customWidth="1"/>
    <col min="3278" max="3278" width="7.6640625" customWidth="1"/>
    <col min="3279" max="3279" width="8.6640625" customWidth="1"/>
    <col min="3280" max="3280" width="7.6640625" customWidth="1"/>
    <col min="3281" max="3281" width="8.6640625" customWidth="1"/>
    <col min="3282" max="3283" width="10.6640625" customWidth="1"/>
    <col min="3284" max="3284" width="4.6640625" customWidth="1"/>
    <col min="3285" max="3285" width="20.6640625" customWidth="1"/>
    <col min="3286" max="3289" width="5.6640625" customWidth="1"/>
    <col min="3290" max="3291" width="4.6640625" customWidth="1"/>
    <col min="3292" max="3292" width="20.6640625" customWidth="1"/>
    <col min="3293" max="3293" width="4.6640625" customWidth="1"/>
    <col min="3294" max="3294" width="20.6640625" customWidth="1"/>
    <col min="3295" max="3295" width="5.6640625" customWidth="1"/>
    <col min="3296" max="3296" width="20.6640625" customWidth="1"/>
    <col min="3297" max="3297" width="15.6640625" customWidth="1"/>
    <col min="3298" max="3301" width="8.6640625" customWidth="1"/>
    <col min="3302" max="3303" width="10.6640625" customWidth="1"/>
    <col min="3304" max="3306" width="8.6640625" customWidth="1"/>
    <col min="3307" max="3307" width="9.6640625" customWidth="1"/>
    <col min="3308" max="3308" width="8.6640625" customWidth="1"/>
    <col min="3309" max="3310" width="20.6640625" customWidth="1"/>
    <col min="3311" max="3314" width="8.6640625" customWidth="1"/>
    <col min="3315" max="3317" width="10.6640625" customWidth="1"/>
    <col min="3318" max="3321" width="10" customWidth="1"/>
    <col min="3322" max="3323" width="20.6640625" customWidth="1"/>
    <col min="3324" max="3327" width="7.6640625" customWidth="1"/>
    <col min="3328" max="3330" width="10.6640625" customWidth="1"/>
    <col min="3331" max="3334" width="10" customWidth="1"/>
    <col min="3335" max="3336" width="20.6640625" customWidth="1"/>
    <col min="3337" max="3340" width="7.6640625" customWidth="1"/>
    <col min="3341" max="3343" width="10.6640625" customWidth="1"/>
    <col min="3344" max="3347" width="10" customWidth="1"/>
    <col min="3348" max="3349" width="20.6640625" customWidth="1"/>
    <col min="3350" max="3353" width="7.6640625" customWidth="1"/>
    <col min="3354" max="3356" width="10.6640625" customWidth="1"/>
    <col min="3357" max="3362" width="10" customWidth="1"/>
    <col min="3363" max="3363" width="7.6640625" customWidth="1"/>
    <col min="3364" max="3365" width="10.6640625" customWidth="1"/>
    <col min="3366" max="3366" width="7.6640625" customWidth="1"/>
    <col min="3367" max="3372" width="10.6640625" customWidth="1"/>
    <col min="3373" max="3374" width="11.6640625" customWidth="1"/>
    <col min="3375" max="3376" width="10.6640625" customWidth="1"/>
    <col min="3377" max="3379" width="9.6640625" customWidth="1"/>
    <col min="3380" max="3380" width="12.5546875" bestFit="1" customWidth="1"/>
    <col min="3381" max="3381" width="9" customWidth="1"/>
    <col min="3382" max="3383" width="10.109375" bestFit="1" customWidth="1"/>
    <col min="3485" max="3485" width="5.6640625" customWidth="1"/>
    <col min="3486" max="3487" width="8.6640625" customWidth="1"/>
    <col min="3488" max="3488" width="4.6640625" customWidth="1"/>
    <col min="3489" max="3490" width="15.6640625" customWidth="1"/>
    <col min="3491" max="3491" width="5.6640625" customWidth="1"/>
    <col min="3492" max="3492" width="4.6640625" customWidth="1"/>
    <col min="3493" max="3493" width="20.6640625" customWidth="1"/>
    <col min="3494" max="3494" width="4.6640625" customWidth="1"/>
    <col min="3495" max="3495" width="5.6640625" customWidth="1"/>
    <col min="3496" max="3496" width="8.6640625" customWidth="1"/>
    <col min="3497" max="3497" width="4.6640625" customWidth="1"/>
    <col min="3498" max="3498" width="10.6640625" customWidth="1"/>
    <col min="3499" max="3499" width="4.6640625" customWidth="1"/>
    <col min="3500" max="3500" width="20.6640625" customWidth="1"/>
    <col min="3501" max="3502" width="5.6640625" customWidth="1"/>
    <col min="3503" max="3503" width="8.6640625" customWidth="1"/>
    <col min="3504" max="3504" width="4.6640625" customWidth="1"/>
    <col min="3505" max="3505" width="10.6640625" customWidth="1"/>
    <col min="3506" max="3506" width="4.6640625" customWidth="1"/>
    <col min="3507" max="3507" width="20.6640625" customWidth="1"/>
    <col min="3508" max="3509" width="5.6640625" customWidth="1"/>
    <col min="3510" max="3510" width="8.6640625" customWidth="1"/>
    <col min="3511" max="3511" width="4.6640625" customWidth="1"/>
    <col min="3512" max="3512" width="10.6640625" customWidth="1"/>
    <col min="3513" max="3513" width="4.6640625" customWidth="1"/>
    <col min="3514" max="3514" width="20.6640625" customWidth="1"/>
    <col min="3515" max="3516" width="5.6640625" customWidth="1"/>
    <col min="3517" max="3517" width="8.6640625" customWidth="1"/>
    <col min="3518" max="3518" width="4.6640625" customWidth="1"/>
    <col min="3519" max="3519" width="10.6640625" customWidth="1"/>
    <col min="3520" max="3520" width="4.6640625" customWidth="1"/>
    <col min="3521" max="3521" width="20.6640625" customWidth="1"/>
    <col min="3522" max="3523" width="5.6640625" customWidth="1"/>
    <col min="3524" max="3524" width="8.6640625" customWidth="1"/>
    <col min="3525" max="3525" width="4.6640625" customWidth="1"/>
    <col min="3526" max="3526" width="10.6640625" customWidth="1"/>
    <col min="3527" max="3527" width="5.6640625" customWidth="1"/>
    <col min="3528" max="3528" width="20.6640625" customWidth="1"/>
    <col min="3529" max="3529" width="7.6640625" customWidth="1"/>
    <col min="3530" max="3530" width="8.6640625" customWidth="1"/>
    <col min="3531" max="3531" width="7.6640625" customWidth="1"/>
    <col min="3532" max="3532" width="5.6640625" customWidth="1"/>
    <col min="3533" max="3533" width="20.6640625" customWidth="1"/>
    <col min="3534" max="3534" width="7.6640625" customWidth="1"/>
    <col min="3535" max="3535" width="8.6640625" customWidth="1"/>
    <col min="3536" max="3536" width="7.6640625" customWidth="1"/>
    <col min="3537" max="3537" width="8.6640625" customWidth="1"/>
    <col min="3538" max="3539" width="10.6640625" customWidth="1"/>
    <col min="3540" max="3540" width="4.6640625" customWidth="1"/>
    <col min="3541" max="3541" width="20.6640625" customWidth="1"/>
    <col min="3542" max="3545" width="5.6640625" customWidth="1"/>
    <col min="3546" max="3547" width="4.6640625" customWidth="1"/>
    <col min="3548" max="3548" width="20.6640625" customWidth="1"/>
    <col min="3549" max="3549" width="4.6640625" customWidth="1"/>
    <col min="3550" max="3550" width="20.6640625" customWidth="1"/>
    <col min="3551" max="3551" width="5.6640625" customWidth="1"/>
    <col min="3552" max="3552" width="20.6640625" customWidth="1"/>
    <col min="3553" max="3553" width="15.6640625" customWidth="1"/>
    <col min="3554" max="3557" width="8.6640625" customWidth="1"/>
    <col min="3558" max="3559" width="10.6640625" customWidth="1"/>
    <col min="3560" max="3562" width="8.6640625" customWidth="1"/>
    <col min="3563" max="3563" width="9.6640625" customWidth="1"/>
    <col min="3564" max="3564" width="8.6640625" customWidth="1"/>
    <col min="3565" max="3566" width="20.6640625" customWidth="1"/>
    <col min="3567" max="3570" width="8.6640625" customWidth="1"/>
    <col min="3571" max="3573" width="10.6640625" customWidth="1"/>
    <col min="3574" max="3577" width="10" customWidth="1"/>
    <col min="3578" max="3579" width="20.6640625" customWidth="1"/>
    <col min="3580" max="3583" width="7.6640625" customWidth="1"/>
    <col min="3584" max="3586" width="10.6640625" customWidth="1"/>
    <col min="3587" max="3590" width="10" customWidth="1"/>
    <col min="3591" max="3592" width="20.6640625" customWidth="1"/>
    <col min="3593" max="3596" width="7.6640625" customWidth="1"/>
    <col min="3597" max="3599" width="10.6640625" customWidth="1"/>
    <col min="3600" max="3603" width="10" customWidth="1"/>
    <col min="3604" max="3605" width="20.6640625" customWidth="1"/>
    <col min="3606" max="3609" width="7.6640625" customWidth="1"/>
    <col min="3610" max="3612" width="10.6640625" customWidth="1"/>
    <col min="3613" max="3618" width="10" customWidth="1"/>
    <col min="3619" max="3619" width="7.6640625" customWidth="1"/>
    <col min="3620" max="3621" width="10.6640625" customWidth="1"/>
    <col min="3622" max="3622" width="7.6640625" customWidth="1"/>
    <col min="3623" max="3628" width="10.6640625" customWidth="1"/>
    <col min="3629" max="3630" width="11.6640625" customWidth="1"/>
    <col min="3631" max="3632" width="10.6640625" customWidth="1"/>
    <col min="3633" max="3635" width="9.6640625" customWidth="1"/>
    <col min="3636" max="3636" width="12.5546875" bestFit="1" customWidth="1"/>
    <col min="3637" max="3637" width="9" customWidth="1"/>
    <col min="3638" max="3639" width="10.109375" bestFit="1" customWidth="1"/>
    <col min="3741" max="3741" width="5.6640625" customWidth="1"/>
    <col min="3742" max="3743" width="8.6640625" customWidth="1"/>
    <col min="3744" max="3744" width="4.6640625" customWidth="1"/>
    <col min="3745" max="3746" width="15.6640625" customWidth="1"/>
    <col min="3747" max="3747" width="5.6640625" customWidth="1"/>
    <col min="3748" max="3748" width="4.6640625" customWidth="1"/>
    <col min="3749" max="3749" width="20.6640625" customWidth="1"/>
    <col min="3750" max="3750" width="4.6640625" customWidth="1"/>
    <col min="3751" max="3751" width="5.6640625" customWidth="1"/>
    <col min="3752" max="3752" width="8.6640625" customWidth="1"/>
    <col min="3753" max="3753" width="4.6640625" customWidth="1"/>
    <col min="3754" max="3754" width="10.6640625" customWidth="1"/>
    <col min="3755" max="3755" width="4.6640625" customWidth="1"/>
    <col min="3756" max="3756" width="20.6640625" customWidth="1"/>
    <col min="3757" max="3758" width="5.6640625" customWidth="1"/>
    <col min="3759" max="3759" width="8.6640625" customWidth="1"/>
    <col min="3760" max="3760" width="4.6640625" customWidth="1"/>
    <col min="3761" max="3761" width="10.6640625" customWidth="1"/>
    <col min="3762" max="3762" width="4.6640625" customWidth="1"/>
    <col min="3763" max="3763" width="20.6640625" customWidth="1"/>
    <col min="3764" max="3765" width="5.6640625" customWidth="1"/>
    <col min="3766" max="3766" width="8.6640625" customWidth="1"/>
    <col min="3767" max="3767" width="4.6640625" customWidth="1"/>
    <col min="3768" max="3768" width="10.6640625" customWidth="1"/>
    <col min="3769" max="3769" width="4.6640625" customWidth="1"/>
    <col min="3770" max="3770" width="20.6640625" customWidth="1"/>
    <col min="3771" max="3772" width="5.6640625" customWidth="1"/>
    <col min="3773" max="3773" width="8.6640625" customWidth="1"/>
    <col min="3774" max="3774" width="4.6640625" customWidth="1"/>
    <col min="3775" max="3775" width="10.6640625" customWidth="1"/>
    <col min="3776" max="3776" width="4.6640625" customWidth="1"/>
    <col min="3777" max="3777" width="20.6640625" customWidth="1"/>
    <col min="3778" max="3779" width="5.6640625" customWidth="1"/>
    <col min="3780" max="3780" width="8.6640625" customWidth="1"/>
    <col min="3781" max="3781" width="4.6640625" customWidth="1"/>
    <col min="3782" max="3782" width="10.6640625" customWidth="1"/>
    <col min="3783" max="3783" width="5.6640625" customWidth="1"/>
    <col min="3784" max="3784" width="20.6640625" customWidth="1"/>
    <col min="3785" max="3785" width="7.6640625" customWidth="1"/>
    <col min="3786" max="3786" width="8.6640625" customWidth="1"/>
    <col min="3787" max="3787" width="7.6640625" customWidth="1"/>
    <col min="3788" max="3788" width="5.6640625" customWidth="1"/>
    <col min="3789" max="3789" width="20.6640625" customWidth="1"/>
    <col min="3790" max="3790" width="7.6640625" customWidth="1"/>
    <col min="3791" max="3791" width="8.6640625" customWidth="1"/>
    <col min="3792" max="3792" width="7.6640625" customWidth="1"/>
    <col min="3793" max="3793" width="8.6640625" customWidth="1"/>
    <col min="3794" max="3795" width="10.6640625" customWidth="1"/>
    <col min="3796" max="3796" width="4.6640625" customWidth="1"/>
    <col min="3797" max="3797" width="20.6640625" customWidth="1"/>
    <col min="3798" max="3801" width="5.6640625" customWidth="1"/>
    <col min="3802" max="3803" width="4.6640625" customWidth="1"/>
    <col min="3804" max="3804" width="20.6640625" customWidth="1"/>
    <col min="3805" max="3805" width="4.6640625" customWidth="1"/>
    <col min="3806" max="3806" width="20.6640625" customWidth="1"/>
    <col min="3807" max="3807" width="5.6640625" customWidth="1"/>
    <col min="3808" max="3808" width="20.6640625" customWidth="1"/>
    <col min="3809" max="3809" width="15.6640625" customWidth="1"/>
    <col min="3810" max="3813" width="8.6640625" customWidth="1"/>
    <col min="3814" max="3815" width="10.6640625" customWidth="1"/>
    <col min="3816" max="3818" width="8.6640625" customWidth="1"/>
    <col min="3819" max="3819" width="9.6640625" customWidth="1"/>
    <col min="3820" max="3820" width="8.6640625" customWidth="1"/>
    <col min="3821" max="3822" width="20.6640625" customWidth="1"/>
    <col min="3823" max="3826" width="8.6640625" customWidth="1"/>
    <col min="3827" max="3829" width="10.6640625" customWidth="1"/>
    <col min="3830" max="3833" width="10" customWidth="1"/>
    <col min="3834" max="3835" width="20.6640625" customWidth="1"/>
    <col min="3836" max="3839" width="7.6640625" customWidth="1"/>
    <col min="3840" max="3842" width="10.6640625" customWidth="1"/>
    <col min="3843" max="3846" width="10" customWidth="1"/>
    <col min="3847" max="3848" width="20.6640625" customWidth="1"/>
    <col min="3849" max="3852" width="7.6640625" customWidth="1"/>
    <col min="3853" max="3855" width="10.6640625" customWidth="1"/>
    <col min="3856" max="3859" width="10" customWidth="1"/>
    <col min="3860" max="3861" width="20.6640625" customWidth="1"/>
    <col min="3862" max="3865" width="7.6640625" customWidth="1"/>
    <col min="3866" max="3868" width="10.6640625" customWidth="1"/>
    <col min="3869" max="3874" width="10" customWidth="1"/>
    <col min="3875" max="3875" width="7.6640625" customWidth="1"/>
    <col min="3876" max="3877" width="10.6640625" customWidth="1"/>
    <col min="3878" max="3878" width="7.6640625" customWidth="1"/>
    <col min="3879" max="3884" width="10.6640625" customWidth="1"/>
    <col min="3885" max="3886" width="11.6640625" customWidth="1"/>
    <col min="3887" max="3888" width="10.6640625" customWidth="1"/>
    <col min="3889" max="3891" width="9.6640625" customWidth="1"/>
    <col min="3892" max="3892" width="12.5546875" bestFit="1" customWidth="1"/>
    <col min="3893" max="3893" width="9" customWidth="1"/>
    <col min="3894" max="3895" width="10.109375" bestFit="1" customWidth="1"/>
    <col min="3997" max="3997" width="5.6640625" customWidth="1"/>
    <col min="3998" max="3999" width="8.6640625" customWidth="1"/>
    <col min="4000" max="4000" width="4.6640625" customWidth="1"/>
    <col min="4001" max="4002" width="15.6640625" customWidth="1"/>
    <col min="4003" max="4003" width="5.6640625" customWidth="1"/>
    <col min="4004" max="4004" width="4.6640625" customWidth="1"/>
    <col min="4005" max="4005" width="20.6640625" customWidth="1"/>
    <col min="4006" max="4006" width="4.6640625" customWidth="1"/>
    <col min="4007" max="4007" width="5.6640625" customWidth="1"/>
    <col min="4008" max="4008" width="8.6640625" customWidth="1"/>
    <col min="4009" max="4009" width="4.6640625" customWidth="1"/>
    <col min="4010" max="4010" width="10.6640625" customWidth="1"/>
    <col min="4011" max="4011" width="4.6640625" customWidth="1"/>
    <col min="4012" max="4012" width="20.6640625" customWidth="1"/>
    <col min="4013" max="4014" width="5.6640625" customWidth="1"/>
    <col min="4015" max="4015" width="8.6640625" customWidth="1"/>
    <col min="4016" max="4016" width="4.6640625" customWidth="1"/>
    <col min="4017" max="4017" width="10.6640625" customWidth="1"/>
    <col min="4018" max="4018" width="4.6640625" customWidth="1"/>
    <col min="4019" max="4019" width="20.6640625" customWidth="1"/>
    <col min="4020" max="4021" width="5.6640625" customWidth="1"/>
    <col min="4022" max="4022" width="8.6640625" customWidth="1"/>
    <col min="4023" max="4023" width="4.6640625" customWidth="1"/>
    <col min="4024" max="4024" width="10.6640625" customWidth="1"/>
    <col min="4025" max="4025" width="4.6640625" customWidth="1"/>
    <col min="4026" max="4026" width="20.6640625" customWidth="1"/>
    <col min="4027" max="4028" width="5.6640625" customWidth="1"/>
    <col min="4029" max="4029" width="8.6640625" customWidth="1"/>
    <col min="4030" max="4030" width="4.6640625" customWidth="1"/>
    <col min="4031" max="4031" width="10.6640625" customWidth="1"/>
    <col min="4032" max="4032" width="4.6640625" customWidth="1"/>
    <col min="4033" max="4033" width="20.6640625" customWidth="1"/>
    <col min="4034" max="4035" width="5.6640625" customWidth="1"/>
    <col min="4036" max="4036" width="8.6640625" customWidth="1"/>
    <col min="4037" max="4037" width="4.6640625" customWidth="1"/>
    <col min="4038" max="4038" width="10.6640625" customWidth="1"/>
    <col min="4039" max="4039" width="5.6640625" customWidth="1"/>
    <col min="4040" max="4040" width="20.6640625" customWidth="1"/>
    <col min="4041" max="4041" width="7.6640625" customWidth="1"/>
    <col min="4042" max="4042" width="8.6640625" customWidth="1"/>
    <col min="4043" max="4043" width="7.6640625" customWidth="1"/>
    <col min="4044" max="4044" width="5.6640625" customWidth="1"/>
    <col min="4045" max="4045" width="20.6640625" customWidth="1"/>
    <col min="4046" max="4046" width="7.6640625" customWidth="1"/>
    <col min="4047" max="4047" width="8.6640625" customWidth="1"/>
    <col min="4048" max="4048" width="7.6640625" customWidth="1"/>
    <col min="4049" max="4049" width="8.6640625" customWidth="1"/>
    <col min="4050" max="4051" width="10.6640625" customWidth="1"/>
    <col min="4052" max="4052" width="4.6640625" customWidth="1"/>
    <col min="4053" max="4053" width="20.6640625" customWidth="1"/>
    <col min="4054" max="4057" width="5.6640625" customWidth="1"/>
    <col min="4058" max="4059" width="4.6640625" customWidth="1"/>
    <col min="4060" max="4060" width="20.6640625" customWidth="1"/>
    <col min="4061" max="4061" width="4.6640625" customWidth="1"/>
    <col min="4062" max="4062" width="20.6640625" customWidth="1"/>
    <col min="4063" max="4063" width="5.6640625" customWidth="1"/>
    <col min="4064" max="4064" width="20.6640625" customWidth="1"/>
    <col min="4065" max="4065" width="15.6640625" customWidth="1"/>
    <col min="4066" max="4069" width="8.6640625" customWidth="1"/>
    <col min="4070" max="4071" width="10.6640625" customWidth="1"/>
    <col min="4072" max="4074" width="8.6640625" customWidth="1"/>
    <col min="4075" max="4075" width="9.6640625" customWidth="1"/>
    <col min="4076" max="4076" width="8.6640625" customWidth="1"/>
    <col min="4077" max="4078" width="20.6640625" customWidth="1"/>
    <col min="4079" max="4082" width="8.6640625" customWidth="1"/>
    <col min="4083" max="4085" width="10.6640625" customWidth="1"/>
    <col min="4086" max="4089" width="10" customWidth="1"/>
    <col min="4090" max="4091" width="20.6640625" customWidth="1"/>
    <col min="4092" max="4095" width="7.6640625" customWidth="1"/>
    <col min="4096" max="4098" width="10.6640625" customWidth="1"/>
    <col min="4099" max="4102" width="10" customWidth="1"/>
    <col min="4103" max="4104" width="20.6640625" customWidth="1"/>
    <col min="4105" max="4108" width="7.6640625" customWidth="1"/>
    <col min="4109" max="4111" width="10.6640625" customWidth="1"/>
    <col min="4112" max="4115" width="10" customWidth="1"/>
    <col min="4116" max="4117" width="20.6640625" customWidth="1"/>
    <col min="4118" max="4121" width="7.6640625" customWidth="1"/>
    <col min="4122" max="4124" width="10.6640625" customWidth="1"/>
    <col min="4125" max="4130" width="10" customWidth="1"/>
    <col min="4131" max="4131" width="7.6640625" customWidth="1"/>
    <col min="4132" max="4133" width="10.6640625" customWidth="1"/>
    <col min="4134" max="4134" width="7.6640625" customWidth="1"/>
    <col min="4135" max="4140" width="10.6640625" customWidth="1"/>
    <col min="4141" max="4142" width="11.6640625" customWidth="1"/>
    <col min="4143" max="4144" width="10.6640625" customWidth="1"/>
    <col min="4145" max="4147" width="9.6640625" customWidth="1"/>
    <col min="4148" max="4148" width="12.5546875" bestFit="1" customWidth="1"/>
    <col min="4149" max="4149" width="9" customWidth="1"/>
    <col min="4150" max="4151" width="10.109375" bestFit="1" customWidth="1"/>
    <col min="4253" max="4253" width="5.6640625" customWidth="1"/>
    <col min="4254" max="4255" width="8.6640625" customWidth="1"/>
    <col min="4256" max="4256" width="4.6640625" customWidth="1"/>
    <col min="4257" max="4258" width="15.6640625" customWidth="1"/>
    <col min="4259" max="4259" width="5.6640625" customWidth="1"/>
    <col min="4260" max="4260" width="4.6640625" customWidth="1"/>
    <col min="4261" max="4261" width="20.6640625" customWidth="1"/>
    <col min="4262" max="4262" width="4.6640625" customWidth="1"/>
    <col min="4263" max="4263" width="5.6640625" customWidth="1"/>
    <col min="4264" max="4264" width="8.6640625" customWidth="1"/>
    <col min="4265" max="4265" width="4.6640625" customWidth="1"/>
    <col min="4266" max="4266" width="10.6640625" customWidth="1"/>
    <col min="4267" max="4267" width="4.6640625" customWidth="1"/>
    <col min="4268" max="4268" width="20.6640625" customWidth="1"/>
    <col min="4269" max="4270" width="5.6640625" customWidth="1"/>
    <col min="4271" max="4271" width="8.6640625" customWidth="1"/>
    <col min="4272" max="4272" width="4.6640625" customWidth="1"/>
    <col min="4273" max="4273" width="10.6640625" customWidth="1"/>
    <col min="4274" max="4274" width="4.6640625" customWidth="1"/>
    <col min="4275" max="4275" width="20.6640625" customWidth="1"/>
    <col min="4276" max="4277" width="5.6640625" customWidth="1"/>
    <col min="4278" max="4278" width="8.6640625" customWidth="1"/>
    <col min="4279" max="4279" width="4.6640625" customWidth="1"/>
    <col min="4280" max="4280" width="10.6640625" customWidth="1"/>
    <col min="4281" max="4281" width="4.6640625" customWidth="1"/>
    <col min="4282" max="4282" width="20.6640625" customWidth="1"/>
    <col min="4283" max="4284" width="5.6640625" customWidth="1"/>
    <col min="4285" max="4285" width="8.6640625" customWidth="1"/>
    <col min="4286" max="4286" width="4.6640625" customWidth="1"/>
    <col min="4287" max="4287" width="10.6640625" customWidth="1"/>
    <col min="4288" max="4288" width="4.6640625" customWidth="1"/>
    <col min="4289" max="4289" width="20.6640625" customWidth="1"/>
    <col min="4290" max="4291" width="5.6640625" customWidth="1"/>
    <col min="4292" max="4292" width="8.6640625" customWidth="1"/>
    <col min="4293" max="4293" width="4.6640625" customWidth="1"/>
    <col min="4294" max="4294" width="10.6640625" customWidth="1"/>
    <col min="4295" max="4295" width="5.6640625" customWidth="1"/>
    <col min="4296" max="4296" width="20.6640625" customWidth="1"/>
    <col min="4297" max="4297" width="7.6640625" customWidth="1"/>
    <col min="4298" max="4298" width="8.6640625" customWidth="1"/>
    <col min="4299" max="4299" width="7.6640625" customWidth="1"/>
    <col min="4300" max="4300" width="5.6640625" customWidth="1"/>
    <col min="4301" max="4301" width="20.6640625" customWidth="1"/>
    <col min="4302" max="4302" width="7.6640625" customWidth="1"/>
    <col min="4303" max="4303" width="8.6640625" customWidth="1"/>
    <col min="4304" max="4304" width="7.6640625" customWidth="1"/>
    <col min="4305" max="4305" width="8.6640625" customWidth="1"/>
    <col min="4306" max="4307" width="10.6640625" customWidth="1"/>
    <col min="4308" max="4308" width="4.6640625" customWidth="1"/>
    <col min="4309" max="4309" width="20.6640625" customWidth="1"/>
    <col min="4310" max="4313" width="5.6640625" customWidth="1"/>
    <col min="4314" max="4315" width="4.6640625" customWidth="1"/>
    <col min="4316" max="4316" width="20.6640625" customWidth="1"/>
    <col min="4317" max="4317" width="4.6640625" customWidth="1"/>
    <col min="4318" max="4318" width="20.6640625" customWidth="1"/>
    <col min="4319" max="4319" width="5.6640625" customWidth="1"/>
    <col min="4320" max="4320" width="20.6640625" customWidth="1"/>
    <col min="4321" max="4321" width="15.6640625" customWidth="1"/>
    <col min="4322" max="4325" width="8.6640625" customWidth="1"/>
    <col min="4326" max="4327" width="10.6640625" customWidth="1"/>
    <col min="4328" max="4330" width="8.6640625" customWidth="1"/>
    <col min="4331" max="4331" width="9.6640625" customWidth="1"/>
    <col min="4332" max="4332" width="8.6640625" customWidth="1"/>
    <col min="4333" max="4334" width="20.6640625" customWidth="1"/>
    <col min="4335" max="4338" width="8.6640625" customWidth="1"/>
    <col min="4339" max="4341" width="10.6640625" customWidth="1"/>
    <col min="4342" max="4345" width="10" customWidth="1"/>
    <col min="4346" max="4347" width="20.6640625" customWidth="1"/>
    <col min="4348" max="4351" width="7.6640625" customWidth="1"/>
    <col min="4352" max="4354" width="10.6640625" customWidth="1"/>
    <col min="4355" max="4358" width="10" customWidth="1"/>
    <col min="4359" max="4360" width="20.6640625" customWidth="1"/>
    <col min="4361" max="4364" width="7.6640625" customWidth="1"/>
    <col min="4365" max="4367" width="10.6640625" customWidth="1"/>
    <col min="4368" max="4371" width="10" customWidth="1"/>
    <col min="4372" max="4373" width="20.6640625" customWidth="1"/>
    <col min="4374" max="4377" width="7.6640625" customWidth="1"/>
    <col min="4378" max="4380" width="10.6640625" customWidth="1"/>
    <col min="4381" max="4386" width="10" customWidth="1"/>
    <col min="4387" max="4387" width="7.6640625" customWidth="1"/>
    <col min="4388" max="4389" width="10.6640625" customWidth="1"/>
    <col min="4390" max="4390" width="7.6640625" customWidth="1"/>
    <col min="4391" max="4396" width="10.6640625" customWidth="1"/>
    <col min="4397" max="4398" width="11.6640625" customWidth="1"/>
    <col min="4399" max="4400" width="10.6640625" customWidth="1"/>
    <col min="4401" max="4403" width="9.6640625" customWidth="1"/>
    <col min="4404" max="4404" width="12.5546875" bestFit="1" customWidth="1"/>
    <col min="4405" max="4405" width="9" customWidth="1"/>
    <col min="4406" max="4407" width="10.109375" bestFit="1" customWidth="1"/>
    <col min="4509" max="4509" width="5.6640625" customWidth="1"/>
    <col min="4510" max="4511" width="8.6640625" customWidth="1"/>
    <col min="4512" max="4512" width="4.6640625" customWidth="1"/>
    <col min="4513" max="4514" width="15.6640625" customWidth="1"/>
    <col min="4515" max="4515" width="5.6640625" customWidth="1"/>
    <col min="4516" max="4516" width="4.6640625" customWidth="1"/>
    <col min="4517" max="4517" width="20.6640625" customWidth="1"/>
    <col min="4518" max="4518" width="4.6640625" customWidth="1"/>
    <col min="4519" max="4519" width="5.6640625" customWidth="1"/>
    <col min="4520" max="4520" width="8.6640625" customWidth="1"/>
    <col min="4521" max="4521" width="4.6640625" customWidth="1"/>
    <col min="4522" max="4522" width="10.6640625" customWidth="1"/>
    <col min="4523" max="4523" width="4.6640625" customWidth="1"/>
    <col min="4524" max="4524" width="20.6640625" customWidth="1"/>
    <col min="4525" max="4526" width="5.6640625" customWidth="1"/>
    <col min="4527" max="4527" width="8.6640625" customWidth="1"/>
    <col min="4528" max="4528" width="4.6640625" customWidth="1"/>
    <col min="4529" max="4529" width="10.6640625" customWidth="1"/>
    <col min="4530" max="4530" width="4.6640625" customWidth="1"/>
    <col min="4531" max="4531" width="20.6640625" customWidth="1"/>
    <col min="4532" max="4533" width="5.6640625" customWidth="1"/>
    <col min="4534" max="4534" width="8.6640625" customWidth="1"/>
    <col min="4535" max="4535" width="4.6640625" customWidth="1"/>
    <col min="4536" max="4536" width="10.6640625" customWidth="1"/>
    <col min="4537" max="4537" width="4.6640625" customWidth="1"/>
    <col min="4538" max="4538" width="20.6640625" customWidth="1"/>
    <col min="4539" max="4540" width="5.6640625" customWidth="1"/>
    <col min="4541" max="4541" width="8.6640625" customWidth="1"/>
    <col min="4542" max="4542" width="4.6640625" customWidth="1"/>
    <col min="4543" max="4543" width="10.6640625" customWidth="1"/>
    <col min="4544" max="4544" width="4.6640625" customWidth="1"/>
    <col min="4545" max="4545" width="20.6640625" customWidth="1"/>
    <col min="4546" max="4547" width="5.6640625" customWidth="1"/>
    <col min="4548" max="4548" width="8.6640625" customWidth="1"/>
    <col min="4549" max="4549" width="4.6640625" customWidth="1"/>
    <col min="4550" max="4550" width="10.6640625" customWidth="1"/>
    <col min="4551" max="4551" width="5.6640625" customWidth="1"/>
    <col min="4552" max="4552" width="20.6640625" customWidth="1"/>
    <col min="4553" max="4553" width="7.6640625" customWidth="1"/>
    <col min="4554" max="4554" width="8.6640625" customWidth="1"/>
    <col min="4555" max="4555" width="7.6640625" customWidth="1"/>
    <col min="4556" max="4556" width="5.6640625" customWidth="1"/>
    <col min="4557" max="4557" width="20.6640625" customWidth="1"/>
    <col min="4558" max="4558" width="7.6640625" customWidth="1"/>
    <col min="4559" max="4559" width="8.6640625" customWidth="1"/>
    <col min="4560" max="4560" width="7.6640625" customWidth="1"/>
    <col min="4561" max="4561" width="8.6640625" customWidth="1"/>
    <col min="4562" max="4563" width="10.6640625" customWidth="1"/>
    <col min="4564" max="4564" width="4.6640625" customWidth="1"/>
    <col min="4565" max="4565" width="20.6640625" customWidth="1"/>
    <col min="4566" max="4569" width="5.6640625" customWidth="1"/>
    <col min="4570" max="4571" width="4.6640625" customWidth="1"/>
    <col min="4572" max="4572" width="20.6640625" customWidth="1"/>
    <col min="4573" max="4573" width="4.6640625" customWidth="1"/>
    <col min="4574" max="4574" width="20.6640625" customWidth="1"/>
    <col min="4575" max="4575" width="5.6640625" customWidth="1"/>
    <col min="4576" max="4576" width="20.6640625" customWidth="1"/>
    <col min="4577" max="4577" width="15.6640625" customWidth="1"/>
    <col min="4578" max="4581" width="8.6640625" customWidth="1"/>
    <col min="4582" max="4583" width="10.6640625" customWidth="1"/>
    <col min="4584" max="4586" width="8.6640625" customWidth="1"/>
    <col min="4587" max="4587" width="9.6640625" customWidth="1"/>
    <col min="4588" max="4588" width="8.6640625" customWidth="1"/>
    <col min="4589" max="4590" width="20.6640625" customWidth="1"/>
    <col min="4591" max="4594" width="8.6640625" customWidth="1"/>
    <col min="4595" max="4597" width="10.6640625" customWidth="1"/>
    <col min="4598" max="4601" width="10" customWidth="1"/>
    <col min="4602" max="4603" width="20.6640625" customWidth="1"/>
    <col min="4604" max="4607" width="7.6640625" customWidth="1"/>
    <col min="4608" max="4610" width="10.6640625" customWidth="1"/>
    <col min="4611" max="4614" width="10" customWidth="1"/>
    <col min="4615" max="4616" width="20.6640625" customWidth="1"/>
    <col min="4617" max="4620" width="7.6640625" customWidth="1"/>
    <col min="4621" max="4623" width="10.6640625" customWidth="1"/>
    <col min="4624" max="4627" width="10" customWidth="1"/>
    <col min="4628" max="4629" width="20.6640625" customWidth="1"/>
    <col min="4630" max="4633" width="7.6640625" customWidth="1"/>
    <col min="4634" max="4636" width="10.6640625" customWidth="1"/>
    <col min="4637" max="4642" width="10" customWidth="1"/>
    <col min="4643" max="4643" width="7.6640625" customWidth="1"/>
    <col min="4644" max="4645" width="10.6640625" customWidth="1"/>
    <col min="4646" max="4646" width="7.6640625" customWidth="1"/>
    <col min="4647" max="4652" width="10.6640625" customWidth="1"/>
    <col min="4653" max="4654" width="11.6640625" customWidth="1"/>
    <col min="4655" max="4656" width="10.6640625" customWidth="1"/>
    <col min="4657" max="4659" width="9.6640625" customWidth="1"/>
    <col min="4660" max="4660" width="12.5546875" bestFit="1" customWidth="1"/>
    <col min="4661" max="4661" width="9" customWidth="1"/>
    <col min="4662" max="4663" width="10.109375" bestFit="1" customWidth="1"/>
    <col min="4765" max="4765" width="5.6640625" customWidth="1"/>
    <col min="4766" max="4767" width="8.6640625" customWidth="1"/>
    <col min="4768" max="4768" width="4.6640625" customWidth="1"/>
    <col min="4769" max="4770" width="15.6640625" customWidth="1"/>
    <col min="4771" max="4771" width="5.6640625" customWidth="1"/>
    <col min="4772" max="4772" width="4.6640625" customWidth="1"/>
    <col min="4773" max="4773" width="20.6640625" customWidth="1"/>
    <col min="4774" max="4774" width="4.6640625" customWidth="1"/>
    <col min="4775" max="4775" width="5.6640625" customWidth="1"/>
    <col min="4776" max="4776" width="8.6640625" customWidth="1"/>
    <col min="4777" max="4777" width="4.6640625" customWidth="1"/>
    <col min="4778" max="4778" width="10.6640625" customWidth="1"/>
    <col min="4779" max="4779" width="4.6640625" customWidth="1"/>
    <col min="4780" max="4780" width="20.6640625" customWidth="1"/>
    <col min="4781" max="4782" width="5.6640625" customWidth="1"/>
    <col min="4783" max="4783" width="8.6640625" customWidth="1"/>
    <col min="4784" max="4784" width="4.6640625" customWidth="1"/>
    <col min="4785" max="4785" width="10.6640625" customWidth="1"/>
    <col min="4786" max="4786" width="4.6640625" customWidth="1"/>
    <col min="4787" max="4787" width="20.6640625" customWidth="1"/>
    <col min="4788" max="4789" width="5.6640625" customWidth="1"/>
    <col min="4790" max="4790" width="8.6640625" customWidth="1"/>
    <col min="4791" max="4791" width="4.6640625" customWidth="1"/>
    <col min="4792" max="4792" width="10.6640625" customWidth="1"/>
    <col min="4793" max="4793" width="4.6640625" customWidth="1"/>
    <col min="4794" max="4794" width="20.6640625" customWidth="1"/>
    <col min="4795" max="4796" width="5.6640625" customWidth="1"/>
    <col min="4797" max="4797" width="8.6640625" customWidth="1"/>
    <col min="4798" max="4798" width="4.6640625" customWidth="1"/>
    <col min="4799" max="4799" width="10.6640625" customWidth="1"/>
    <col min="4800" max="4800" width="4.6640625" customWidth="1"/>
    <col min="4801" max="4801" width="20.6640625" customWidth="1"/>
    <col min="4802" max="4803" width="5.6640625" customWidth="1"/>
    <col min="4804" max="4804" width="8.6640625" customWidth="1"/>
    <col min="4805" max="4805" width="4.6640625" customWidth="1"/>
    <col min="4806" max="4806" width="10.6640625" customWidth="1"/>
    <col min="4807" max="4807" width="5.6640625" customWidth="1"/>
    <col min="4808" max="4808" width="20.6640625" customWidth="1"/>
    <col min="4809" max="4809" width="7.6640625" customWidth="1"/>
    <col min="4810" max="4810" width="8.6640625" customWidth="1"/>
    <col min="4811" max="4811" width="7.6640625" customWidth="1"/>
    <col min="4812" max="4812" width="5.6640625" customWidth="1"/>
    <col min="4813" max="4813" width="20.6640625" customWidth="1"/>
    <col min="4814" max="4814" width="7.6640625" customWidth="1"/>
    <col min="4815" max="4815" width="8.6640625" customWidth="1"/>
    <col min="4816" max="4816" width="7.6640625" customWidth="1"/>
    <col min="4817" max="4817" width="8.6640625" customWidth="1"/>
    <col min="4818" max="4819" width="10.6640625" customWidth="1"/>
    <col min="4820" max="4820" width="4.6640625" customWidth="1"/>
    <col min="4821" max="4821" width="20.6640625" customWidth="1"/>
    <col min="4822" max="4825" width="5.6640625" customWidth="1"/>
    <col min="4826" max="4827" width="4.6640625" customWidth="1"/>
    <col min="4828" max="4828" width="20.6640625" customWidth="1"/>
    <col min="4829" max="4829" width="4.6640625" customWidth="1"/>
    <col min="4830" max="4830" width="20.6640625" customWidth="1"/>
    <col min="4831" max="4831" width="5.6640625" customWidth="1"/>
    <col min="4832" max="4832" width="20.6640625" customWidth="1"/>
    <col min="4833" max="4833" width="15.6640625" customWidth="1"/>
    <col min="4834" max="4837" width="8.6640625" customWidth="1"/>
    <col min="4838" max="4839" width="10.6640625" customWidth="1"/>
    <col min="4840" max="4842" width="8.6640625" customWidth="1"/>
    <col min="4843" max="4843" width="9.6640625" customWidth="1"/>
    <col min="4844" max="4844" width="8.6640625" customWidth="1"/>
    <col min="4845" max="4846" width="20.6640625" customWidth="1"/>
    <col min="4847" max="4850" width="8.6640625" customWidth="1"/>
    <col min="4851" max="4853" width="10.6640625" customWidth="1"/>
    <col min="4854" max="4857" width="10" customWidth="1"/>
    <col min="4858" max="4859" width="20.6640625" customWidth="1"/>
    <col min="4860" max="4863" width="7.6640625" customWidth="1"/>
    <col min="4864" max="4866" width="10.6640625" customWidth="1"/>
    <col min="4867" max="4870" width="10" customWidth="1"/>
    <col min="4871" max="4872" width="20.6640625" customWidth="1"/>
    <col min="4873" max="4876" width="7.6640625" customWidth="1"/>
    <col min="4877" max="4879" width="10.6640625" customWidth="1"/>
    <col min="4880" max="4883" width="10" customWidth="1"/>
    <col min="4884" max="4885" width="20.6640625" customWidth="1"/>
    <col min="4886" max="4889" width="7.6640625" customWidth="1"/>
    <col min="4890" max="4892" width="10.6640625" customWidth="1"/>
    <col min="4893" max="4898" width="10" customWidth="1"/>
    <col min="4899" max="4899" width="7.6640625" customWidth="1"/>
    <col min="4900" max="4901" width="10.6640625" customWidth="1"/>
    <col min="4902" max="4902" width="7.6640625" customWidth="1"/>
    <col min="4903" max="4908" width="10.6640625" customWidth="1"/>
    <col min="4909" max="4910" width="11.6640625" customWidth="1"/>
    <col min="4911" max="4912" width="10.6640625" customWidth="1"/>
    <col min="4913" max="4915" width="9.6640625" customWidth="1"/>
    <col min="4916" max="4916" width="12.5546875" bestFit="1" customWidth="1"/>
    <col min="4917" max="4917" width="9" customWidth="1"/>
    <col min="4918" max="4919" width="10.109375" bestFit="1" customWidth="1"/>
    <col min="5021" max="5021" width="5.6640625" customWidth="1"/>
    <col min="5022" max="5023" width="8.6640625" customWidth="1"/>
    <col min="5024" max="5024" width="4.6640625" customWidth="1"/>
    <col min="5025" max="5026" width="15.6640625" customWidth="1"/>
    <col min="5027" max="5027" width="5.6640625" customWidth="1"/>
    <col min="5028" max="5028" width="4.6640625" customWidth="1"/>
    <col min="5029" max="5029" width="20.6640625" customWidth="1"/>
    <col min="5030" max="5030" width="4.6640625" customWidth="1"/>
    <col min="5031" max="5031" width="5.6640625" customWidth="1"/>
    <col min="5032" max="5032" width="8.6640625" customWidth="1"/>
    <col min="5033" max="5033" width="4.6640625" customWidth="1"/>
    <col min="5034" max="5034" width="10.6640625" customWidth="1"/>
    <col min="5035" max="5035" width="4.6640625" customWidth="1"/>
    <col min="5036" max="5036" width="20.6640625" customWidth="1"/>
    <col min="5037" max="5038" width="5.6640625" customWidth="1"/>
    <col min="5039" max="5039" width="8.6640625" customWidth="1"/>
    <col min="5040" max="5040" width="4.6640625" customWidth="1"/>
    <col min="5041" max="5041" width="10.6640625" customWidth="1"/>
    <col min="5042" max="5042" width="4.6640625" customWidth="1"/>
    <col min="5043" max="5043" width="20.6640625" customWidth="1"/>
    <col min="5044" max="5045" width="5.6640625" customWidth="1"/>
    <col min="5046" max="5046" width="8.6640625" customWidth="1"/>
    <col min="5047" max="5047" width="4.6640625" customWidth="1"/>
    <col min="5048" max="5048" width="10.6640625" customWidth="1"/>
    <col min="5049" max="5049" width="4.6640625" customWidth="1"/>
    <col min="5050" max="5050" width="20.6640625" customWidth="1"/>
    <col min="5051" max="5052" width="5.6640625" customWidth="1"/>
    <col min="5053" max="5053" width="8.6640625" customWidth="1"/>
    <col min="5054" max="5054" width="4.6640625" customWidth="1"/>
    <col min="5055" max="5055" width="10.6640625" customWidth="1"/>
    <col min="5056" max="5056" width="4.6640625" customWidth="1"/>
    <col min="5057" max="5057" width="20.6640625" customWidth="1"/>
    <col min="5058" max="5059" width="5.6640625" customWidth="1"/>
    <col min="5060" max="5060" width="8.6640625" customWidth="1"/>
    <col min="5061" max="5061" width="4.6640625" customWidth="1"/>
    <col min="5062" max="5062" width="10.6640625" customWidth="1"/>
    <col min="5063" max="5063" width="5.6640625" customWidth="1"/>
    <col min="5064" max="5064" width="20.6640625" customWidth="1"/>
    <col min="5065" max="5065" width="7.6640625" customWidth="1"/>
    <col min="5066" max="5066" width="8.6640625" customWidth="1"/>
    <col min="5067" max="5067" width="7.6640625" customWidth="1"/>
    <col min="5068" max="5068" width="5.6640625" customWidth="1"/>
    <col min="5069" max="5069" width="20.6640625" customWidth="1"/>
    <col min="5070" max="5070" width="7.6640625" customWidth="1"/>
    <col min="5071" max="5071" width="8.6640625" customWidth="1"/>
    <col min="5072" max="5072" width="7.6640625" customWidth="1"/>
    <col min="5073" max="5073" width="8.6640625" customWidth="1"/>
    <col min="5074" max="5075" width="10.6640625" customWidth="1"/>
    <col min="5076" max="5076" width="4.6640625" customWidth="1"/>
    <col min="5077" max="5077" width="20.6640625" customWidth="1"/>
    <col min="5078" max="5081" width="5.6640625" customWidth="1"/>
    <col min="5082" max="5083" width="4.6640625" customWidth="1"/>
    <col min="5084" max="5084" width="20.6640625" customWidth="1"/>
    <col min="5085" max="5085" width="4.6640625" customWidth="1"/>
    <col min="5086" max="5086" width="20.6640625" customWidth="1"/>
    <col min="5087" max="5087" width="5.6640625" customWidth="1"/>
    <col min="5088" max="5088" width="20.6640625" customWidth="1"/>
    <col min="5089" max="5089" width="15.6640625" customWidth="1"/>
    <col min="5090" max="5093" width="8.6640625" customWidth="1"/>
    <col min="5094" max="5095" width="10.6640625" customWidth="1"/>
    <col min="5096" max="5098" width="8.6640625" customWidth="1"/>
    <col min="5099" max="5099" width="9.6640625" customWidth="1"/>
    <col min="5100" max="5100" width="8.6640625" customWidth="1"/>
    <col min="5101" max="5102" width="20.6640625" customWidth="1"/>
    <col min="5103" max="5106" width="8.6640625" customWidth="1"/>
    <col min="5107" max="5109" width="10.6640625" customWidth="1"/>
    <col min="5110" max="5113" width="10" customWidth="1"/>
    <col min="5114" max="5115" width="20.6640625" customWidth="1"/>
    <col min="5116" max="5119" width="7.6640625" customWidth="1"/>
    <col min="5120" max="5122" width="10.6640625" customWidth="1"/>
    <col min="5123" max="5126" width="10" customWidth="1"/>
    <col min="5127" max="5128" width="20.6640625" customWidth="1"/>
    <col min="5129" max="5132" width="7.6640625" customWidth="1"/>
    <col min="5133" max="5135" width="10.6640625" customWidth="1"/>
    <col min="5136" max="5139" width="10" customWidth="1"/>
    <col min="5140" max="5141" width="20.6640625" customWidth="1"/>
    <col min="5142" max="5145" width="7.6640625" customWidth="1"/>
    <col min="5146" max="5148" width="10.6640625" customWidth="1"/>
    <col min="5149" max="5154" width="10" customWidth="1"/>
    <col min="5155" max="5155" width="7.6640625" customWidth="1"/>
    <col min="5156" max="5157" width="10.6640625" customWidth="1"/>
    <col min="5158" max="5158" width="7.6640625" customWidth="1"/>
    <col min="5159" max="5164" width="10.6640625" customWidth="1"/>
    <col min="5165" max="5166" width="11.6640625" customWidth="1"/>
    <col min="5167" max="5168" width="10.6640625" customWidth="1"/>
    <col min="5169" max="5171" width="9.6640625" customWidth="1"/>
    <col min="5172" max="5172" width="12.5546875" bestFit="1" customWidth="1"/>
    <col min="5173" max="5173" width="9" customWidth="1"/>
    <col min="5174" max="5175" width="10.109375" bestFit="1" customWidth="1"/>
    <col min="5277" max="5277" width="5.6640625" customWidth="1"/>
    <col min="5278" max="5279" width="8.6640625" customWidth="1"/>
    <col min="5280" max="5280" width="4.6640625" customWidth="1"/>
    <col min="5281" max="5282" width="15.6640625" customWidth="1"/>
    <col min="5283" max="5283" width="5.6640625" customWidth="1"/>
    <col min="5284" max="5284" width="4.6640625" customWidth="1"/>
    <col min="5285" max="5285" width="20.6640625" customWidth="1"/>
    <col min="5286" max="5286" width="4.6640625" customWidth="1"/>
    <col min="5287" max="5287" width="5.6640625" customWidth="1"/>
    <col min="5288" max="5288" width="8.6640625" customWidth="1"/>
    <col min="5289" max="5289" width="4.6640625" customWidth="1"/>
    <col min="5290" max="5290" width="10.6640625" customWidth="1"/>
    <col min="5291" max="5291" width="4.6640625" customWidth="1"/>
    <col min="5292" max="5292" width="20.6640625" customWidth="1"/>
    <col min="5293" max="5294" width="5.6640625" customWidth="1"/>
    <col min="5295" max="5295" width="8.6640625" customWidth="1"/>
    <col min="5296" max="5296" width="4.6640625" customWidth="1"/>
    <col min="5297" max="5297" width="10.6640625" customWidth="1"/>
    <col min="5298" max="5298" width="4.6640625" customWidth="1"/>
    <col min="5299" max="5299" width="20.6640625" customWidth="1"/>
    <col min="5300" max="5301" width="5.6640625" customWidth="1"/>
    <col min="5302" max="5302" width="8.6640625" customWidth="1"/>
    <col min="5303" max="5303" width="4.6640625" customWidth="1"/>
    <col min="5304" max="5304" width="10.6640625" customWidth="1"/>
    <col min="5305" max="5305" width="4.6640625" customWidth="1"/>
    <col min="5306" max="5306" width="20.6640625" customWidth="1"/>
    <col min="5307" max="5308" width="5.6640625" customWidth="1"/>
    <col min="5309" max="5309" width="8.6640625" customWidth="1"/>
    <col min="5310" max="5310" width="4.6640625" customWidth="1"/>
    <col min="5311" max="5311" width="10.6640625" customWidth="1"/>
    <col min="5312" max="5312" width="4.6640625" customWidth="1"/>
    <col min="5313" max="5313" width="20.6640625" customWidth="1"/>
    <col min="5314" max="5315" width="5.6640625" customWidth="1"/>
    <col min="5316" max="5316" width="8.6640625" customWidth="1"/>
    <col min="5317" max="5317" width="4.6640625" customWidth="1"/>
    <col min="5318" max="5318" width="10.6640625" customWidth="1"/>
    <col min="5319" max="5319" width="5.6640625" customWidth="1"/>
    <col min="5320" max="5320" width="20.6640625" customWidth="1"/>
    <col min="5321" max="5321" width="7.6640625" customWidth="1"/>
    <col min="5322" max="5322" width="8.6640625" customWidth="1"/>
    <col min="5323" max="5323" width="7.6640625" customWidth="1"/>
    <col min="5324" max="5324" width="5.6640625" customWidth="1"/>
    <col min="5325" max="5325" width="20.6640625" customWidth="1"/>
    <col min="5326" max="5326" width="7.6640625" customWidth="1"/>
    <col min="5327" max="5327" width="8.6640625" customWidth="1"/>
    <col min="5328" max="5328" width="7.6640625" customWidth="1"/>
    <col min="5329" max="5329" width="8.6640625" customWidth="1"/>
    <col min="5330" max="5331" width="10.6640625" customWidth="1"/>
    <col min="5332" max="5332" width="4.6640625" customWidth="1"/>
    <col min="5333" max="5333" width="20.6640625" customWidth="1"/>
    <col min="5334" max="5337" width="5.6640625" customWidth="1"/>
    <col min="5338" max="5339" width="4.6640625" customWidth="1"/>
    <col min="5340" max="5340" width="20.6640625" customWidth="1"/>
    <col min="5341" max="5341" width="4.6640625" customWidth="1"/>
    <col min="5342" max="5342" width="20.6640625" customWidth="1"/>
    <col min="5343" max="5343" width="5.6640625" customWidth="1"/>
    <col min="5344" max="5344" width="20.6640625" customWidth="1"/>
    <col min="5345" max="5345" width="15.6640625" customWidth="1"/>
    <col min="5346" max="5349" width="8.6640625" customWidth="1"/>
    <col min="5350" max="5351" width="10.6640625" customWidth="1"/>
    <col min="5352" max="5354" width="8.6640625" customWidth="1"/>
    <col min="5355" max="5355" width="9.6640625" customWidth="1"/>
    <col min="5356" max="5356" width="8.6640625" customWidth="1"/>
    <col min="5357" max="5358" width="20.6640625" customWidth="1"/>
    <col min="5359" max="5362" width="8.6640625" customWidth="1"/>
    <col min="5363" max="5365" width="10.6640625" customWidth="1"/>
    <col min="5366" max="5369" width="10" customWidth="1"/>
    <col min="5370" max="5371" width="20.6640625" customWidth="1"/>
    <col min="5372" max="5375" width="7.6640625" customWidth="1"/>
    <col min="5376" max="5378" width="10.6640625" customWidth="1"/>
    <col min="5379" max="5382" width="10" customWidth="1"/>
    <col min="5383" max="5384" width="20.6640625" customWidth="1"/>
    <col min="5385" max="5388" width="7.6640625" customWidth="1"/>
    <col min="5389" max="5391" width="10.6640625" customWidth="1"/>
    <col min="5392" max="5395" width="10" customWidth="1"/>
    <col min="5396" max="5397" width="20.6640625" customWidth="1"/>
    <col min="5398" max="5401" width="7.6640625" customWidth="1"/>
    <col min="5402" max="5404" width="10.6640625" customWidth="1"/>
    <col min="5405" max="5410" width="10" customWidth="1"/>
    <col min="5411" max="5411" width="7.6640625" customWidth="1"/>
    <col min="5412" max="5413" width="10.6640625" customWidth="1"/>
    <col min="5414" max="5414" width="7.6640625" customWidth="1"/>
    <col min="5415" max="5420" width="10.6640625" customWidth="1"/>
    <col min="5421" max="5422" width="11.6640625" customWidth="1"/>
    <col min="5423" max="5424" width="10.6640625" customWidth="1"/>
    <col min="5425" max="5427" width="9.6640625" customWidth="1"/>
    <col min="5428" max="5428" width="12.5546875" bestFit="1" customWidth="1"/>
    <col min="5429" max="5429" width="9" customWidth="1"/>
    <col min="5430" max="5431" width="10.109375" bestFit="1" customWidth="1"/>
    <col min="5533" max="5533" width="5.6640625" customWidth="1"/>
    <col min="5534" max="5535" width="8.6640625" customWidth="1"/>
    <col min="5536" max="5536" width="4.6640625" customWidth="1"/>
    <col min="5537" max="5538" width="15.6640625" customWidth="1"/>
    <col min="5539" max="5539" width="5.6640625" customWidth="1"/>
    <col min="5540" max="5540" width="4.6640625" customWidth="1"/>
    <col min="5541" max="5541" width="20.6640625" customWidth="1"/>
    <col min="5542" max="5542" width="4.6640625" customWidth="1"/>
    <col min="5543" max="5543" width="5.6640625" customWidth="1"/>
    <col min="5544" max="5544" width="8.6640625" customWidth="1"/>
    <col min="5545" max="5545" width="4.6640625" customWidth="1"/>
    <col min="5546" max="5546" width="10.6640625" customWidth="1"/>
    <col min="5547" max="5547" width="4.6640625" customWidth="1"/>
    <col min="5548" max="5548" width="20.6640625" customWidth="1"/>
    <col min="5549" max="5550" width="5.6640625" customWidth="1"/>
    <col min="5551" max="5551" width="8.6640625" customWidth="1"/>
    <col min="5552" max="5552" width="4.6640625" customWidth="1"/>
    <col min="5553" max="5553" width="10.6640625" customWidth="1"/>
    <col min="5554" max="5554" width="4.6640625" customWidth="1"/>
    <col min="5555" max="5555" width="20.6640625" customWidth="1"/>
    <col min="5556" max="5557" width="5.6640625" customWidth="1"/>
    <col min="5558" max="5558" width="8.6640625" customWidth="1"/>
    <col min="5559" max="5559" width="4.6640625" customWidth="1"/>
    <col min="5560" max="5560" width="10.6640625" customWidth="1"/>
    <col min="5561" max="5561" width="4.6640625" customWidth="1"/>
    <col min="5562" max="5562" width="20.6640625" customWidth="1"/>
    <col min="5563" max="5564" width="5.6640625" customWidth="1"/>
    <col min="5565" max="5565" width="8.6640625" customWidth="1"/>
    <col min="5566" max="5566" width="4.6640625" customWidth="1"/>
    <col min="5567" max="5567" width="10.6640625" customWidth="1"/>
    <col min="5568" max="5568" width="4.6640625" customWidth="1"/>
    <col min="5569" max="5569" width="20.6640625" customWidth="1"/>
    <col min="5570" max="5571" width="5.6640625" customWidth="1"/>
    <col min="5572" max="5572" width="8.6640625" customWidth="1"/>
    <col min="5573" max="5573" width="4.6640625" customWidth="1"/>
    <col min="5574" max="5574" width="10.6640625" customWidth="1"/>
    <col min="5575" max="5575" width="5.6640625" customWidth="1"/>
    <col min="5576" max="5576" width="20.6640625" customWidth="1"/>
    <col min="5577" max="5577" width="7.6640625" customWidth="1"/>
    <col min="5578" max="5578" width="8.6640625" customWidth="1"/>
    <col min="5579" max="5579" width="7.6640625" customWidth="1"/>
    <col min="5580" max="5580" width="5.6640625" customWidth="1"/>
    <col min="5581" max="5581" width="20.6640625" customWidth="1"/>
    <col min="5582" max="5582" width="7.6640625" customWidth="1"/>
    <col min="5583" max="5583" width="8.6640625" customWidth="1"/>
    <col min="5584" max="5584" width="7.6640625" customWidth="1"/>
    <col min="5585" max="5585" width="8.6640625" customWidth="1"/>
    <col min="5586" max="5587" width="10.6640625" customWidth="1"/>
    <col min="5588" max="5588" width="4.6640625" customWidth="1"/>
    <col min="5589" max="5589" width="20.6640625" customWidth="1"/>
    <col min="5590" max="5593" width="5.6640625" customWidth="1"/>
    <col min="5594" max="5595" width="4.6640625" customWidth="1"/>
    <col min="5596" max="5596" width="20.6640625" customWidth="1"/>
    <col min="5597" max="5597" width="4.6640625" customWidth="1"/>
    <col min="5598" max="5598" width="20.6640625" customWidth="1"/>
    <col min="5599" max="5599" width="5.6640625" customWidth="1"/>
    <col min="5600" max="5600" width="20.6640625" customWidth="1"/>
    <col min="5601" max="5601" width="15.6640625" customWidth="1"/>
    <col min="5602" max="5605" width="8.6640625" customWidth="1"/>
    <col min="5606" max="5607" width="10.6640625" customWidth="1"/>
    <col min="5608" max="5610" width="8.6640625" customWidth="1"/>
    <col min="5611" max="5611" width="9.6640625" customWidth="1"/>
    <col min="5612" max="5612" width="8.6640625" customWidth="1"/>
    <col min="5613" max="5614" width="20.6640625" customWidth="1"/>
    <col min="5615" max="5618" width="8.6640625" customWidth="1"/>
    <col min="5619" max="5621" width="10.6640625" customWidth="1"/>
    <col min="5622" max="5625" width="10" customWidth="1"/>
    <col min="5626" max="5627" width="20.6640625" customWidth="1"/>
    <col min="5628" max="5631" width="7.6640625" customWidth="1"/>
    <col min="5632" max="5634" width="10.6640625" customWidth="1"/>
    <col min="5635" max="5638" width="10" customWidth="1"/>
    <col min="5639" max="5640" width="20.6640625" customWidth="1"/>
    <col min="5641" max="5644" width="7.6640625" customWidth="1"/>
    <col min="5645" max="5647" width="10.6640625" customWidth="1"/>
    <col min="5648" max="5651" width="10" customWidth="1"/>
    <col min="5652" max="5653" width="20.6640625" customWidth="1"/>
    <col min="5654" max="5657" width="7.6640625" customWidth="1"/>
    <col min="5658" max="5660" width="10.6640625" customWidth="1"/>
    <col min="5661" max="5666" width="10" customWidth="1"/>
    <col min="5667" max="5667" width="7.6640625" customWidth="1"/>
    <col min="5668" max="5669" width="10.6640625" customWidth="1"/>
    <col min="5670" max="5670" width="7.6640625" customWidth="1"/>
    <col min="5671" max="5676" width="10.6640625" customWidth="1"/>
    <col min="5677" max="5678" width="11.6640625" customWidth="1"/>
    <col min="5679" max="5680" width="10.6640625" customWidth="1"/>
    <col min="5681" max="5683" width="9.6640625" customWidth="1"/>
    <col min="5684" max="5684" width="12.5546875" bestFit="1" customWidth="1"/>
    <col min="5685" max="5685" width="9" customWidth="1"/>
    <col min="5686" max="5687" width="10.109375" bestFit="1" customWidth="1"/>
    <col min="5789" max="5789" width="5.6640625" customWidth="1"/>
    <col min="5790" max="5791" width="8.6640625" customWidth="1"/>
    <col min="5792" max="5792" width="4.6640625" customWidth="1"/>
    <col min="5793" max="5794" width="15.6640625" customWidth="1"/>
    <col min="5795" max="5795" width="5.6640625" customWidth="1"/>
    <col min="5796" max="5796" width="4.6640625" customWidth="1"/>
    <col min="5797" max="5797" width="20.6640625" customWidth="1"/>
    <col min="5798" max="5798" width="4.6640625" customWidth="1"/>
    <col min="5799" max="5799" width="5.6640625" customWidth="1"/>
    <col min="5800" max="5800" width="8.6640625" customWidth="1"/>
    <col min="5801" max="5801" width="4.6640625" customWidth="1"/>
    <col min="5802" max="5802" width="10.6640625" customWidth="1"/>
    <col min="5803" max="5803" width="4.6640625" customWidth="1"/>
    <col min="5804" max="5804" width="20.6640625" customWidth="1"/>
    <col min="5805" max="5806" width="5.6640625" customWidth="1"/>
    <col min="5807" max="5807" width="8.6640625" customWidth="1"/>
    <col min="5808" max="5808" width="4.6640625" customWidth="1"/>
    <col min="5809" max="5809" width="10.6640625" customWidth="1"/>
    <col min="5810" max="5810" width="4.6640625" customWidth="1"/>
    <col min="5811" max="5811" width="20.6640625" customWidth="1"/>
    <col min="5812" max="5813" width="5.6640625" customWidth="1"/>
    <col min="5814" max="5814" width="8.6640625" customWidth="1"/>
    <col min="5815" max="5815" width="4.6640625" customWidth="1"/>
    <col min="5816" max="5816" width="10.6640625" customWidth="1"/>
    <col min="5817" max="5817" width="4.6640625" customWidth="1"/>
    <col min="5818" max="5818" width="20.6640625" customWidth="1"/>
    <col min="5819" max="5820" width="5.6640625" customWidth="1"/>
    <col min="5821" max="5821" width="8.6640625" customWidth="1"/>
    <col min="5822" max="5822" width="4.6640625" customWidth="1"/>
    <col min="5823" max="5823" width="10.6640625" customWidth="1"/>
    <col min="5824" max="5824" width="4.6640625" customWidth="1"/>
    <col min="5825" max="5825" width="20.6640625" customWidth="1"/>
    <col min="5826" max="5827" width="5.6640625" customWidth="1"/>
    <col min="5828" max="5828" width="8.6640625" customWidth="1"/>
    <col min="5829" max="5829" width="4.6640625" customWidth="1"/>
    <col min="5830" max="5830" width="10.6640625" customWidth="1"/>
    <col min="5831" max="5831" width="5.6640625" customWidth="1"/>
    <col min="5832" max="5832" width="20.6640625" customWidth="1"/>
    <col min="5833" max="5833" width="7.6640625" customWidth="1"/>
    <col min="5834" max="5834" width="8.6640625" customWidth="1"/>
    <col min="5835" max="5835" width="7.6640625" customWidth="1"/>
    <col min="5836" max="5836" width="5.6640625" customWidth="1"/>
    <col min="5837" max="5837" width="20.6640625" customWidth="1"/>
    <col min="5838" max="5838" width="7.6640625" customWidth="1"/>
    <col min="5839" max="5839" width="8.6640625" customWidth="1"/>
    <col min="5840" max="5840" width="7.6640625" customWidth="1"/>
    <col min="5841" max="5841" width="8.6640625" customWidth="1"/>
    <col min="5842" max="5843" width="10.6640625" customWidth="1"/>
    <col min="5844" max="5844" width="4.6640625" customWidth="1"/>
    <col min="5845" max="5845" width="20.6640625" customWidth="1"/>
    <col min="5846" max="5849" width="5.6640625" customWidth="1"/>
    <col min="5850" max="5851" width="4.6640625" customWidth="1"/>
    <col min="5852" max="5852" width="20.6640625" customWidth="1"/>
    <col min="5853" max="5853" width="4.6640625" customWidth="1"/>
    <col min="5854" max="5854" width="20.6640625" customWidth="1"/>
    <col min="5855" max="5855" width="5.6640625" customWidth="1"/>
    <col min="5856" max="5856" width="20.6640625" customWidth="1"/>
    <col min="5857" max="5857" width="15.6640625" customWidth="1"/>
    <col min="5858" max="5861" width="8.6640625" customWidth="1"/>
    <col min="5862" max="5863" width="10.6640625" customWidth="1"/>
    <col min="5864" max="5866" width="8.6640625" customWidth="1"/>
    <col min="5867" max="5867" width="9.6640625" customWidth="1"/>
    <col min="5868" max="5868" width="8.6640625" customWidth="1"/>
    <col min="5869" max="5870" width="20.6640625" customWidth="1"/>
    <col min="5871" max="5874" width="8.6640625" customWidth="1"/>
    <col min="5875" max="5877" width="10.6640625" customWidth="1"/>
    <col min="5878" max="5881" width="10" customWidth="1"/>
    <col min="5882" max="5883" width="20.6640625" customWidth="1"/>
    <col min="5884" max="5887" width="7.6640625" customWidth="1"/>
    <col min="5888" max="5890" width="10.6640625" customWidth="1"/>
    <col min="5891" max="5894" width="10" customWidth="1"/>
    <col min="5895" max="5896" width="20.6640625" customWidth="1"/>
    <col min="5897" max="5900" width="7.6640625" customWidth="1"/>
    <col min="5901" max="5903" width="10.6640625" customWidth="1"/>
    <col min="5904" max="5907" width="10" customWidth="1"/>
    <col min="5908" max="5909" width="20.6640625" customWidth="1"/>
    <col min="5910" max="5913" width="7.6640625" customWidth="1"/>
    <col min="5914" max="5916" width="10.6640625" customWidth="1"/>
    <col min="5917" max="5922" width="10" customWidth="1"/>
    <col min="5923" max="5923" width="7.6640625" customWidth="1"/>
    <col min="5924" max="5925" width="10.6640625" customWidth="1"/>
    <col min="5926" max="5926" width="7.6640625" customWidth="1"/>
    <col min="5927" max="5932" width="10.6640625" customWidth="1"/>
    <col min="5933" max="5934" width="11.6640625" customWidth="1"/>
    <col min="5935" max="5936" width="10.6640625" customWidth="1"/>
    <col min="5937" max="5939" width="9.6640625" customWidth="1"/>
    <col min="5940" max="5940" width="12.5546875" bestFit="1" customWidth="1"/>
    <col min="5941" max="5941" width="9" customWidth="1"/>
    <col min="5942" max="5943" width="10.109375" bestFit="1" customWidth="1"/>
    <col min="6045" max="6045" width="5.6640625" customWidth="1"/>
    <col min="6046" max="6047" width="8.6640625" customWidth="1"/>
    <col min="6048" max="6048" width="4.6640625" customWidth="1"/>
    <col min="6049" max="6050" width="15.6640625" customWidth="1"/>
    <col min="6051" max="6051" width="5.6640625" customWidth="1"/>
    <col min="6052" max="6052" width="4.6640625" customWidth="1"/>
    <col min="6053" max="6053" width="20.6640625" customWidth="1"/>
    <col min="6054" max="6054" width="4.6640625" customWidth="1"/>
    <col min="6055" max="6055" width="5.6640625" customWidth="1"/>
    <col min="6056" max="6056" width="8.6640625" customWidth="1"/>
    <col min="6057" max="6057" width="4.6640625" customWidth="1"/>
    <col min="6058" max="6058" width="10.6640625" customWidth="1"/>
    <col min="6059" max="6059" width="4.6640625" customWidth="1"/>
    <col min="6060" max="6060" width="20.6640625" customWidth="1"/>
    <col min="6061" max="6062" width="5.6640625" customWidth="1"/>
    <col min="6063" max="6063" width="8.6640625" customWidth="1"/>
    <col min="6064" max="6064" width="4.6640625" customWidth="1"/>
    <col min="6065" max="6065" width="10.6640625" customWidth="1"/>
    <col min="6066" max="6066" width="4.6640625" customWidth="1"/>
    <col min="6067" max="6067" width="20.6640625" customWidth="1"/>
    <col min="6068" max="6069" width="5.6640625" customWidth="1"/>
    <col min="6070" max="6070" width="8.6640625" customWidth="1"/>
    <col min="6071" max="6071" width="4.6640625" customWidth="1"/>
    <col min="6072" max="6072" width="10.6640625" customWidth="1"/>
    <col min="6073" max="6073" width="4.6640625" customWidth="1"/>
    <col min="6074" max="6074" width="20.6640625" customWidth="1"/>
    <col min="6075" max="6076" width="5.6640625" customWidth="1"/>
    <col min="6077" max="6077" width="8.6640625" customWidth="1"/>
    <col min="6078" max="6078" width="4.6640625" customWidth="1"/>
    <col min="6079" max="6079" width="10.6640625" customWidth="1"/>
    <col min="6080" max="6080" width="4.6640625" customWidth="1"/>
    <col min="6081" max="6081" width="20.6640625" customWidth="1"/>
    <col min="6082" max="6083" width="5.6640625" customWidth="1"/>
    <col min="6084" max="6084" width="8.6640625" customWidth="1"/>
    <col min="6085" max="6085" width="4.6640625" customWidth="1"/>
    <col min="6086" max="6086" width="10.6640625" customWidth="1"/>
    <col min="6087" max="6087" width="5.6640625" customWidth="1"/>
    <col min="6088" max="6088" width="20.6640625" customWidth="1"/>
    <col min="6089" max="6089" width="7.6640625" customWidth="1"/>
    <col min="6090" max="6090" width="8.6640625" customWidth="1"/>
    <col min="6091" max="6091" width="7.6640625" customWidth="1"/>
    <col min="6092" max="6092" width="5.6640625" customWidth="1"/>
    <col min="6093" max="6093" width="20.6640625" customWidth="1"/>
    <col min="6094" max="6094" width="7.6640625" customWidth="1"/>
    <col min="6095" max="6095" width="8.6640625" customWidth="1"/>
    <col min="6096" max="6096" width="7.6640625" customWidth="1"/>
    <col min="6097" max="6097" width="8.6640625" customWidth="1"/>
    <col min="6098" max="6099" width="10.6640625" customWidth="1"/>
    <col min="6100" max="6100" width="4.6640625" customWidth="1"/>
    <col min="6101" max="6101" width="20.6640625" customWidth="1"/>
    <col min="6102" max="6105" width="5.6640625" customWidth="1"/>
    <col min="6106" max="6107" width="4.6640625" customWidth="1"/>
    <col min="6108" max="6108" width="20.6640625" customWidth="1"/>
    <col min="6109" max="6109" width="4.6640625" customWidth="1"/>
    <col min="6110" max="6110" width="20.6640625" customWidth="1"/>
    <col min="6111" max="6111" width="5.6640625" customWidth="1"/>
    <col min="6112" max="6112" width="20.6640625" customWidth="1"/>
    <col min="6113" max="6113" width="15.6640625" customWidth="1"/>
    <col min="6114" max="6117" width="8.6640625" customWidth="1"/>
    <col min="6118" max="6119" width="10.6640625" customWidth="1"/>
    <col min="6120" max="6122" width="8.6640625" customWidth="1"/>
    <col min="6123" max="6123" width="9.6640625" customWidth="1"/>
    <col min="6124" max="6124" width="8.6640625" customWidth="1"/>
    <col min="6125" max="6126" width="20.6640625" customWidth="1"/>
    <col min="6127" max="6130" width="8.6640625" customWidth="1"/>
    <col min="6131" max="6133" width="10.6640625" customWidth="1"/>
    <col min="6134" max="6137" width="10" customWidth="1"/>
    <col min="6138" max="6139" width="20.6640625" customWidth="1"/>
    <col min="6140" max="6143" width="7.6640625" customWidth="1"/>
    <col min="6144" max="6146" width="10.6640625" customWidth="1"/>
    <col min="6147" max="6150" width="10" customWidth="1"/>
    <col min="6151" max="6152" width="20.6640625" customWidth="1"/>
    <col min="6153" max="6156" width="7.6640625" customWidth="1"/>
    <col min="6157" max="6159" width="10.6640625" customWidth="1"/>
    <col min="6160" max="6163" width="10" customWidth="1"/>
    <col min="6164" max="6165" width="20.6640625" customWidth="1"/>
    <col min="6166" max="6169" width="7.6640625" customWidth="1"/>
    <col min="6170" max="6172" width="10.6640625" customWidth="1"/>
    <col min="6173" max="6178" width="10" customWidth="1"/>
    <col min="6179" max="6179" width="7.6640625" customWidth="1"/>
    <col min="6180" max="6181" width="10.6640625" customWidth="1"/>
    <col min="6182" max="6182" width="7.6640625" customWidth="1"/>
    <col min="6183" max="6188" width="10.6640625" customWidth="1"/>
    <col min="6189" max="6190" width="11.6640625" customWidth="1"/>
    <col min="6191" max="6192" width="10.6640625" customWidth="1"/>
    <col min="6193" max="6195" width="9.6640625" customWidth="1"/>
    <col min="6196" max="6196" width="12.5546875" bestFit="1" customWidth="1"/>
    <col min="6197" max="6197" width="9" customWidth="1"/>
    <col min="6198" max="6199" width="10.109375" bestFit="1" customWidth="1"/>
    <col min="6301" max="6301" width="5.6640625" customWidth="1"/>
    <col min="6302" max="6303" width="8.6640625" customWidth="1"/>
    <col min="6304" max="6304" width="4.6640625" customWidth="1"/>
    <col min="6305" max="6306" width="15.6640625" customWidth="1"/>
    <col min="6307" max="6307" width="5.6640625" customWidth="1"/>
    <col min="6308" max="6308" width="4.6640625" customWidth="1"/>
    <col min="6309" max="6309" width="20.6640625" customWidth="1"/>
    <col min="6310" max="6310" width="4.6640625" customWidth="1"/>
    <col min="6311" max="6311" width="5.6640625" customWidth="1"/>
    <col min="6312" max="6312" width="8.6640625" customWidth="1"/>
    <col min="6313" max="6313" width="4.6640625" customWidth="1"/>
    <col min="6314" max="6314" width="10.6640625" customWidth="1"/>
    <col min="6315" max="6315" width="4.6640625" customWidth="1"/>
    <col min="6316" max="6316" width="20.6640625" customWidth="1"/>
    <col min="6317" max="6318" width="5.6640625" customWidth="1"/>
    <col min="6319" max="6319" width="8.6640625" customWidth="1"/>
    <col min="6320" max="6320" width="4.6640625" customWidth="1"/>
    <col min="6321" max="6321" width="10.6640625" customWidth="1"/>
    <col min="6322" max="6322" width="4.6640625" customWidth="1"/>
    <col min="6323" max="6323" width="20.6640625" customWidth="1"/>
    <col min="6324" max="6325" width="5.6640625" customWidth="1"/>
    <col min="6326" max="6326" width="8.6640625" customWidth="1"/>
    <col min="6327" max="6327" width="4.6640625" customWidth="1"/>
    <col min="6328" max="6328" width="10.6640625" customWidth="1"/>
    <col min="6329" max="6329" width="4.6640625" customWidth="1"/>
    <col min="6330" max="6330" width="20.6640625" customWidth="1"/>
    <col min="6331" max="6332" width="5.6640625" customWidth="1"/>
    <col min="6333" max="6333" width="8.6640625" customWidth="1"/>
    <col min="6334" max="6334" width="4.6640625" customWidth="1"/>
    <col min="6335" max="6335" width="10.6640625" customWidth="1"/>
    <col min="6336" max="6336" width="4.6640625" customWidth="1"/>
    <col min="6337" max="6337" width="20.6640625" customWidth="1"/>
    <col min="6338" max="6339" width="5.6640625" customWidth="1"/>
    <col min="6340" max="6340" width="8.6640625" customWidth="1"/>
    <col min="6341" max="6341" width="4.6640625" customWidth="1"/>
    <col min="6342" max="6342" width="10.6640625" customWidth="1"/>
    <col min="6343" max="6343" width="5.6640625" customWidth="1"/>
    <col min="6344" max="6344" width="20.6640625" customWidth="1"/>
    <col min="6345" max="6345" width="7.6640625" customWidth="1"/>
    <col min="6346" max="6346" width="8.6640625" customWidth="1"/>
    <col min="6347" max="6347" width="7.6640625" customWidth="1"/>
    <col min="6348" max="6348" width="5.6640625" customWidth="1"/>
    <col min="6349" max="6349" width="20.6640625" customWidth="1"/>
    <col min="6350" max="6350" width="7.6640625" customWidth="1"/>
    <col min="6351" max="6351" width="8.6640625" customWidth="1"/>
    <col min="6352" max="6352" width="7.6640625" customWidth="1"/>
    <col min="6353" max="6353" width="8.6640625" customWidth="1"/>
    <col min="6354" max="6355" width="10.6640625" customWidth="1"/>
    <col min="6356" max="6356" width="4.6640625" customWidth="1"/>
    <col min="6357" max="6357" width="20.6640625" customWidth="1"/>
    <col min="6358" max="6361" width="5.6640625" customWidth="1"/>
    <col min="6362" max="6363" width="4.6640625" customWidth="1"/>
    <col min="6364" max="6364" width="20.6640625" customWidth="1"/>
    <col min="6365" max="6365" width="4.6640625" customWidth="1"/>
    <col min="6366" max="6366" width="20.6640625" customWidth="1"/>
    <col min="6367" max="6367" width="5.6640625" customWidth="1"/>
    <col min="6368" max="6368" width="20.6640625" customWidth="1"/>
    <col min="6369" max="6369" width="15.6640625" customWidth="1"/>
    <col min="6370" max="6373" width="8.6640625" customWidth="1"/>
    <col min="6374" max="6375" width="10.6640625" customWidth="1"/>
    <col min="6376" max="6378" width="8.6640625" customWidth="1"/>
    <col min="6379" max="6379" width="9.6640625" customWidth="1"/>
    <col min="6380" max="6380" width="8.6640625" customWidth="1"/>
    <col min="6381" max="6382" width="20.6640625" customWidth="1"/>
    <col min="6383" max="6386" width="8.6640625" customWidth="1"/>
    <col min="6387" max="6389" width="10.6640625" customWidth="1"/>
    <col min="6390" max="6393" width="10" customWidth="1"/>
    <col min="6394" max="6395" width="20.6640625" customWidth="1"/>
    <col min="6396" max="6399" width="7.6640625" customWidth="1"/>
    <col min="6400" max="6402" width="10.6640625" customWidth="1"/>
    <col min="6403" max="6406" width="10" customWidth="1"/>
    <col min="6407" max="6408" width="20.6640625" customWidth="1"/>
    <col min="6409" max="6412" width="7.6640625" customWidth="1"/>
    <col min="6413" max="6415" width="10.6640625" customWidth="1"/>
    <col min="6416" max="6419" width="10" customWidth="1"/>
    <col min="6420" max="6421" width="20.6640625" customWidth="1"/>
    <col min="6422" max="6425" width="7.6640625" customWidth="1"/>
    <col min="6426" max="6428" width="10.6640625" customWidth="1"/>
    <col min="6429" max="6434" width="10" customWidth="1"/>
    <col min="6435" max="6435" width="7.6640625" customWidth="1"/>
    <col min="6436" max="6437" width="10.6640625" customWidth="1"/>
    <col min="6438" max="6438" width="7.6640625" customWidth="1"/>
    <col min="6439" max="6444" width="10.6640625" customWidth="1"/>
    <col min="6445" max="6446" width="11.6640625" customWidth="1"/>
    <col min="6447" max="6448" width="10.6640625" customWidth="1"/>
    <col min="6449" max="6451" width="9.6640625" customWidth="1"/>
    <col min="6452" max="6452" width="12.5546875" bestFit="1" customWidth="1"/>
    <col min="6453" max="6453" width="9" customWidth="1"/>
    <col min="6454" max="6455" width="10.109375" bestFit="1" customWidth="1"/>
    <col min="6557" max="6557" width="5.6640625" customWidth="1"/>
    <col min="6558" max="6559" width="8.6640625" customWidth="1"/>
    <col min="6560" max="6560" width="4.6640625" customWidth="1"/>
    <col min="6561" max="6562" width="15.6640625" customWidth="1"/>
    <col min="6563" max="6563" width="5.6640625" customWidth="1"/>
    <col min="6564" max="6564" width="4.6640625" customWidth="1"/>
    <col min="6565" max="6565" width="20.6640625" customWidth="1"/>
    <col min="6566" max="6566" width="4.6640625" customWidth="1"/>
    <col min="6567" max="6567" width="5.6640625" customWidth="1"/>
    <col min="6568" max="6568" width="8.6640625" customWidth="1"/>
    <col min="6569" max="6569" width="4.6640625" customWidth="1"/>
    <col min="6570" max="6570" width="10.6640625" customWidth="1"/>
    <col min="6571" max="6571" width="4.6640625" customWidth="1"/>
    <col min="6572" max="6572" width="20.6640625" customWidth="1"/>
    <col min="6573" max="6574" width="5.6640625" customWidth="1"/>
    <col min="6575" max="6575" width="8.6640625" customWidth="1"/>
    <col min="6576" max="6576" width="4.6640625" customWidth="1"/>
    <col min="6577" max="6577" width="10.6640625" customWidth="1"/>
    <col min="6578" max="6578" width="4.6640625" customWidth="1"/>
    <col min="6579" max="6579" width="20.6640625" customWidth="1"/>
    <col min="6580" max="6581" width="5.6640625" customWidth="1"/>
    <col min="6582" max="6582" width="8.6640625" customWidth="1"/>
    <col min="6583" max="6583" width="4.6640625" customWidth="1"/>
    <col min="6584" max="6584" width="10.6640625" customWidth="1"/>
    <col min="6585" max="6585" width="4.6640625" customWidth="1"/>
    <col min="6586" max="6586" width="20.6640625" customWidth="1"/>
    <col min="6587" max="6588" width="5.6640625" customWidth="1"/>
    <col min="6589" max="6589" width="8.6640625" customWidth="1"/>
    <col min="6590" max="6590" width="4.6640625" customWidth="1"/>
    <col min="6591" max="6591" width="10.6640625" customWidth="1"/>
    <col min="6592" max="6592" width="4.6640625" customWidth="1"/>
    <col min="6593" max="6593" width="20.6640625" customWidth="1"/>
    <col min="6594" max="6595" width="5.6640625" customWidth="1"/>
    <col min="6596" max="6596" width="8.6640625" customWidth="1"/>
    <col min="6597" max="6597" width="4.6640625" customWidth="1"/>
    <col min="6598" max="6598" width="10.6640625" customWidth="1"/>
    <col min="6599" max="6599" width="5.6640625" customWidth="1"/>
    <col min="6600" max="6600" width="20.6640625" customWidth="1"/>
    <col min="6601" max="6601" width="7.6640625" customWidth="1"/>
    <col min="6602" max="6602" width="8.6640625" customWidth="1"/>
    <col min="6603" max="6603" width="7.6640625" customWidth="1"/>
    <col min="6604" max="6604" width="5.6640625" customWidth="1"/>
    <col min="6605" max="6605" width="20.6640625" customWidth="1"/>
    <col min="6606" max="6606" width="7.6640625" customWidth="1"/>
    <col min="6607" max="6607" width="8.6640625" customWidth="1"/>
    <col min="6608" max="6608" width="7.6640625" customWidth="1"/>
    <col min="6609" max="6609" width="8.6640625" customWidth="1"/>
    <col min="6610" max="6611" width="10.6640625" customWidth="1"/>
    <col min="6612" max="6612" width="4.6640625" customWidth="1"/>
    <col min="6613" max="6613" width="20.6640625" customWidth="1"/>
    <col min="6614" max="6617" width="5.6640625" customWidth="1"/>
    <col min="6618" max="6619" width="4.6640625" customWidth="1"/>
    <col min="6620" max="6620" width="20.6640625" customWidth="1"/>
    <col min="6621" max="6621" width="4.6640625" customWidth="1"/>
    <col min="6622" max="6622" width="20.6640625" customWidth="1"/>
    <col min="6623" max="6623" width="5.6640625" customWidth="1"/>
    <col min="6624" max="6624" width="20.6640625" customWidth="1"/>
    <col min="6625" max="6625" width="15.6640625" customWidth="1"/>
    <col min="6626" max="6629" width="8.6640625" customWidth="1"/>
    <col min="6630" max="6631" width="10.6640625" customWidth="1"/>
    <col min="6632" max="6634" width="8.6640625" customWidth="1"/>
    <col min="6635" max="6635" width="9.6640625" customWidth="1"/>
    <col min="6636" max="6636" width="8.6640625" customWidth="1"/>
    <col min="6637" max="6638" width="20.6640625" customWidth="1"/>
    <col min="6639" max="6642" width="8.6640625" customWidth="1"/>
    <col min="6643" max="6645" width="10.6640625" customWidth="1"/>
    <col min="6646" max="6649" width="10" customWidth="1"/>
    <col min="6650" max="6651" width="20.6640625" customWidth="1"/>
    <col min="6652" max="6655" width="7.6640625" customWidth="1"/>
    <col min="6656" max="6658" width="10.6640625" customWidth="1"/>
    <col min="6659" max="6662" width="10" customWidth="1"/>
    <col min="6663" max="6664" width="20.6640625" customWidth="1"/>
    <col min="6665" max="6668" width="7.6640625" customWidth="1"/>
    <col min="6669" max="6671" width="10.6640625" customWidth="1"/>
    <col min="6672" max="6675" width="10" customWidth="1"/>
    <col min="6676" max="6677" width="20.6640625" customWidth="1"/>
    <col min="6678" max="6681" width="7.6640625" customWidth="1"/>
    <col min="6682" max="6684" width="10.6640625" customWidth="1"/>
    <col min="6685" max="6690" width="10" customWidth="1"/>
    <col min="6691" max="6691" width="7.6640625" customWidth="1"/>
    <col min="6692" max="6693" width="10.6640625" customWidth="1"/>
    <col min="6694" max="6694" width="7.6640625" customWidth="1"/>
    <col min="6695" max="6700" width="10.6640625" customWidth="1"/>
    <col min="6701" max="6702" width="11.6640625" customWidth="1"/>
    <col min="6703" max="6704" width="10.6640625" customWidth="1"/>
    <col min="6705" max="6707" width="9.6640625" customWidth="1"/>
    <col min="6708" max="6708" width="12.5546875" bestFit="1" customWidth="1"/>
    <col min="6709" max="6709" width="9" customWidth="1"/>
    <col min="6710" max="6711" width="10.109375" bestFit="1" customWidth="1"/>
    <col min="6813" max="6813" width="5.6640625" customWidth="1"/>
    <col min="6814" max="6815" width="8.6640625" customWidth="1"/>
    <col min="6816" max="6816" width="4.6640625" customWidth="1"/>
    <col min="6817" max="6818" width="15.6640625" customWidth="1"/>
    <col min="6819" max="6819" width="5.6640625" customWidth="1"/>
    <col min="6820" max="6820" width="4.6640625" customWidth="1"/>
    <col min="6821" max="6821" width="20.6640625" customWidth="1"/>
    <col min="6822" max="6822" width="4.6640625" customWidth="1"/>
    <col min="6823" max="6823" width="5.6640625" customWidth="1"/>
    <col min="6824" max="6824" width="8.6640625" customWidth="1"/>
    <col min="6825" max="6825" width="4.6640625" customWidth="1"/>
    <col min="6826" max="6826" width="10.6640625" customWidth="1"/>
    <col min="6827" max="6827" width="4.6640625" customWidth="1"/>
    <col min="6828" max="6828" width="20.6640625" customWidth="1"/>
    <col min="6829" max="6830" width="5.6640625" customWidth="1"/>
    <col min="6831" max="6831" width="8.6640625" customWidth="1"/>
    <col min="6832" max="6832" width="4.6640625" customWidth="1"/>
    <col min="6833" max="6833" width="10.6640625" customWidth="1"/>
    <col min="6834" max="6834" width="4.6640625" customWidth="1"/>
    <col min="6835" max="6835" width="20.6640625" customWidth="1"/>
    <col min="6836" max="6837" width="5.6640625" customWidth="1"/>
    <col min="6838" max="6838" width="8.6640625" customWidth="1"/>
    <col min="6839" max="6839" width="4.6640625" customWidth="1"/>
    <col min="6840" max="6840" width="10.6640625" customWidth="1"/>
    <col min="6841" max="6841" width="4.6640625" customWidth="1"/>
    <col min="6842" max="6842" width="20.6640625" customWidth="1"/>
    <col min="6843" max="6844" width="5.6640625" customWidth="1"/>
    <col min="6845" max="6845" width="8.6640625" customWidth="1"/>
    <col min="6846" max="6846" width="4.6640625" customWidth="1"/>
    <col min="6847" max="6847" width="10.6640625" customWidth="1"/>
    <col min="6848" max="6848" width="4.6640625" customWidth="1"/>
    <col min="6849" max="6849" width="20.6640625" customWidth="1"/>
    <col min="6850" max="6851" width="5.6640625" customWidth="1"/>
    <col min="6852" max="6852" width="8.6640625" customWidth="1"/>
    <col min="6853" max="6853" width="4.6640625" customWidth="1"/>
    <col min="6854" max="6854" width="10.6640625" customWidth="1"/>
    <col min="6855" max="6855" width="5.6640625" customWidth="1"/>
    <col min="6856" max="6856" width="20.6640625" customWidth="1"/>
    <col min="6857" max="6857" width="7.6640625" customWidth="1"/>
    <col min="6858" max="6858" width="8.6640625" customWidth="1"/>
    <col min="6859" max="6859" width="7.6640625" customWidth="1"/>
    <col min="6860" max="6860" width="5.6640625" customWidth="1"/>
    <col min="6861" max="6861" width="20.6640625" customWidth="1"/>
    <col min="6862" max="6862" width="7.6640625" customWidth="1"/>
    <col min="6863" max="6863" width="8.6640625" customWidth="1"/>
    <col min="6864" max="6864" width="7.6640625" customWidth="1"/>
    <col min="6865" max="6865" width="8.6640625" customWidth="1"/>
    <col min="6866" max="6867" width="10.6640625" customWidth="1"/>
    <col min="6868" max="6868" width="4.6640625" customWidth="1"/>
    <col min="6869" max="6869" width="20.6640625" customWidth="1"/>
    <col min="6870" max="6873" width="5.6640625" customWidth="1"/>
    <col min="6874" max="6875" width="4.6640625" customWidth="1"/>
    <col min="6876" max="6876" width="20.6640625" customWidth="1"/>
    <col min="6877" max="6877" width="4.6640625" customWidth="1"/>
    <col min="6878" max="6878" width="20.6640625" customWidth="1"/>
    <col min="6879" max="6879" width="5.6640625" customWidth="1"/>
    <col min="6880" max="6880" width="20.6640625" customWidth="1"/>
    <col min="6881" max="6881" width="15.6640625" customWidth="1"/>
    <col min="6882" max="6885" width="8.6640625" customWidth="1"/>
    <col min="6886" max="6887" width="10.6640625" customWidth="1"/>
    <col min="6888" max="6890" width="8.6640625" customWidth="1"/>
    <col min="6891" max="6891" width="9.6640625" customWidth="1"/>
    <col min="6892" max="6892" width="8.6640625" customWidth="1"/>
    <col min="6893" max="6894" width="20.6640625" customWidth="1"/>
    <col min="6895" max="6898" width="8.6640625" customWidth="1"/>
    <col min="6899" max="6901" width="10.6640625" customWidth="1"/>
    <col min="6902" max="6905" width="10" customWidth="1"/>
    <col min="6906" max="6907" width="20.6640625" customWidth="1"/>
    <col min="6908" max="6911" width="7.6640625" customWidth="1"/>
    <col min="6912" max="6914" width="10.6640625" customWidth="1"/>
    <col min="6915" max="6918" width="10" customWidth="1"/>
    <col min="6919" max="6920" width="20.6640625" customWidth="1"/>
    <col min="6921" max="6924" width="7.6640625" customWidth="1"/>
    <col min="6925" max="6927" width="10.6640625" customWidth="1"/>
    <col min="6928" max="6931" width="10" customWidth="1"/>
    <col min="6932" max="6933" width="20.6640625" customWidth="1"/>
    <col min="6934" max="6937" width="7.6640625" customWidth="1"/>
    <col min="6938" max="6940" width="10.6640625" customWidth="1"/>
    <col min="6941" max="6946" width="10" customWidth="1"/>
    <col min="6947" max="6947" width="7.6640625" customWidth="1"/>
    <col min="6948" max="6949" width="10.6640625" customWidth="1"/>
    <col min="6950" max="6950" width="7.6640625" customWidth="1"/>
    <col min="6951" max="6956" width="10.6640625" customWidth="1"/>
    <col min="6957" max="6958" width="11.6640625" customWidth="1"/>
    <col min="6959" max="6960" width="10.6640625" customWidth="1"/>
    <col min="6961" max="6963" width="9.6640625" customWidth="1"/>
    <col min="6964" max="6964" width="12.5546875" bestFit="1" customWidth="1"/>
    <col min="6965" max="6965" width="9" customWidth="1"/>
    <col min="6966" max="6967" width="10.109375" bestFit="1" customWidth="1"/>
    <col min="7069" max="7069" width="5.6640625" customWidth="1"/>
    <col min="7070" max="7071" width="8.6640625" customWidth="1"/>
    <col min="7072" max="7072" width="4.6640625" customWidth="1"/>
    <col min="7073" max="7074" width="15.6640625" customWidth="1"/>
    <col min="7075" max="7075" width="5.6640625" customWidth="1"/>
    <col min="7076" max="7076" width="4.6640625" customWidth="1"/>
    <col min="7077" max="7077" width="20.6640625" customWidth="1"/>
    <col min="7078" max="7078" width="4.6640625" customWidth="1"/>
    <col min="7079" max="7079" width="5.6640625" customWidth="1"/>
    <col min="7080" max="7080" width="8.6640625" customWidth="1"/>
    <col min="7081" max="7081" width="4.6640625" customWidth="1"/>
    <col min="7082" max="7082" width="10.6640625" customWidth="1"/>
    <col min="7083" max="7083" width="4.6640625" customWidth="1"/>
    <col min="7084" max="7084" width="20.6640625" customWidth="1"/>
    <col min="7085" max="7086" width="5.6640625" customWidth="1"/>
    <col min="7087" max="7087" width="8.6640625" customWidth="1"/>
    <col min="7088" max="7088" width="4.6640625" customWidth="1"/>
    <col min="7089" max="7089" width="10.6640625" customWidth="1"/>
    <col min="7090" max="7090" width="4.6640625" customWidth="1"/>
    <col min="7091" max="7091" width="20.6640625" customWidth="1"/>
    <col min="7092" max="7093" width="5.6640625" customWidth="1"/>
    <col min="7094" max="7094" width="8.6640625" customWidth="1"/>
    <col min="7095" max="7095" width="4.6640625" customWidth="1"/>
    <col min="7096" max="7096" width="10.6640625" customWidth="1"/>
    <col min="7097" max="7097" width="4.6640625" customWidth="1"/>
    <col min="7098" max="7098" width="20.6640625" customWidth="1"/>
    <col min="7099" max="7100" width="5.6640625" customWidth="1"/>
    <col min="7101" max="7101" width="8.6640625" customWidth="1"/>
    <col min="7102" max="7102" width="4.6640625" customWidth="1"/>
    <col min="7103" max="7103" width="10.6640625" customWidth="1"/>
    <col min="7104" max="7104" width="4.6640625" customWidth="1"/>
    <col min="7105" max="7105" width="20.6640625" customWidth="1"/>
    <col min="7106" max="7107" width="5.6640625" customWidth="1"/>
    <col min="7108" max="7108" width="8.6640625" customWidth="1"/>
    <col min="7109" max="7109" width="4.6640625" customWidth="1"/>
    <col min="7110" max="7110" width="10.6640625" customWidth="1"/>
    <col min="7111" max="7111" width="5.6640625" customWidth="1"/>
    <col min="7112" max="7112" width="20.6640625" customWidth="1"/>
    <col min="7113" max="7113" width="7.6640625" customWidth="1"/>
    <col min="7114" max="7114" width="8.6640625" customWidth="1"/>
    <col min="7115" max="7115" width="7.6640625" customWidth="1"/>
    <col min="7116" max="7116" width="5.6640625" customWidth="1"/>
    <col min="7117" max="7117" width="20.6640625" customWidth="1"/>
    <col min="7118" max="7118" width="7.6640625" customWidth="1"/>
    <col min="7119" max="7119" width="8.6640625" customWidth="1"/>
    <col min="7120" max="7120" width="7.6640625" customWidth="1"/>
    <col min="7121" max="7121" width="8.6640625" customWidth="1"/>
    <col min="7122" max="7123" width="10.6640625" customWidth="1"/>
    <col min="7124" max="7124" width="4.6640625" customWidth="1"/>
    <col min="7125" max="7125" width="20.6640625" customWidth="1"/>
    <col min="7126" max="7129" width="5.6640625" customWidth="1"/>
    <col min="7130" max="7131" width="4.6640625" customWidth="1"/>
    <col min="7132" max="7132" width="20.6640625" customWidth="1"/>
    <col min="7133" max="7133" width="4.6640625" customWidth="1"/>
    <col min="7134" max="7134" width="20.6640625" customWidth="1"/>
    <col min="7135" max="7135" width="5.6640625" customWidth="1"/>
    <col min="7136" max="7136" width="20.6640625" customWidth="1"/>
    <col min="7137" max="7137" width="15.6640625" customWidth="1"/>
    <col min="7138" max="7141" width="8.6640625" customWidth="1"/>
    <col min="7142" max="7143" width="10.6640625" customWidth="1"/>
    <col min="7144" max="7146" width="8.6640625" customWidth="1"/>
    <col min="7147" max="7147" width="9.6640625" customWidth="1"/>
    <col min="7148" max="7148" width="8.6640625" customWidth="1"/>
    <col min="7149" max="7150" width="20.6640625" customWidth="1"/>
    <col min="7151" max="7154" width="8.6640625" customWidth="1"/>
    <col min="7155" max="7157" width="10.6640625" customWidth="1"/>
    <col min="7158" max="7161" width="10" customWidth="1"/>
    <col min="7162" max="7163" width="20.6640625" customWidth="1"/>
    <col min="7164" max="7167" width="7.6640625" customWidth="1"/>
    <col min="7168" max="7170" width="10.6640625" customWidth="1"/>
    <col min="7171" max="7174" width="10" customWidth="1"/>
    <col min="7175" max="7176" width="20.6640625" customWidth="1"/>
    <col min="7177" max="7180" width="7.6640625" customWidth="1"/>
    <col min="7181" max="7183" width="10.6640625" customWidth="1"/>
    <col min="7184" max="7187" width="10" customWidth="1"/>
    <col min="7188" max="7189" width="20.6640625" customWidth="1"/>
    <col min="7190" max="7193" width="7.6640625" customWidth="1"/>
    <col min="7194" max="7196" width="10.6640625" customWidth="1"/>
    <col min="7197" max="7202" width="10" customWidth="1"/>
    <col min="7203" max="7203" width="7.6640625" customWidth="1"/>
    <col min="7204" max="7205" width="10.6640625" customWidth="1"/>
    <col min="7206" max="7206" width="7.6640625" customWidth="1"/>
    <col min="7207" max="7212" width="10.6640625" customWidth="1"/>
    <col min="7213" max="7214" width="11.6640625" customWidth="1"/>
    <col min="7215" max="7216" width="10.6640625" customWidth="1"/>
    <col min="7217" max="7219" width="9.6640625" customWidth="1"/>
    <col min="7220" max="7220" width="12.5546875" bestFit="1" customWidth="1"/>
    <col min="7221" max="7221" width="9" customWidth="1"/>
    <col min="7222" max="7223" width="10.109375" bestFit="1" customWidth="1"/>
    <col min="7325" max="7325" width="5.6640625" customWidth="1"/>
    <col min="7326" max="7327" width="8.6640625" customWidth="1"/>
    <col min="7328" max="7328" width="4.6640625" customWidth="1"/>
    <col min="7329" max="7330" width="15.6640625" customWidth="1"/>
    <col min="7331" max="7331" width="5.6640625" customWidth="1"/>
    <col min="7332" max="7332" width="4.6640625" customWidth="1"/>
    <col min="7333" max="7333" width="20.6640625" customWidth="1"/>
    <col min="7334" max="7334" width="4.6640625" customWidth="1"/>
    <col min="7335" max="7335" width="5.6640625" customWidth="1"/>
    <col min="7336" max="7336" width="8.6640625" customWidth="1"/>
    <col min="7337" max="7337" width="4.6640625" customWidth="1"/>
    <col min="7338" max="7338" width="10.6640625" customWidth="1"/>
    <col min="7339" max="7339" width="4.6640625" customWidth="1"/>
    <col min="7340" max="7340" width="20.6640625" customWidth="1"/>
    <col min="7341" max="7342" width="5.6640625" customWidth="1"/>
    <col min="7343" max="7343" width="8.6640625" customWidth="1"/>
    <col min="7344" max="7344" width="4.6640625" customWidth="1"/>
    <col min="7345" max="7345" width="10.6640625" customWidth="1"/>
    <col min="7346" max="7346" width="4.6640625" customWidth="1"/>
    <col min="7347" max="7347" width="20.6640625" customWidth="1"/>
    <col min="7348" max="7349" width="5.6640625" customWidth="1"/>
    <col min="7350" max="7350" width="8.6640625" customWidth="1"/>
    <col min="7351" max="7351" width="4.6640625" customWidth="1"/>
    <col min="7352" max="7352" width="10.6640625" customWidth="1"/>
    <col min="7353" max="7353" width="4.6640625" customWidth="1"/>
    <col min="7354" max="7354" width="20.6640625" customWidth="1"/>
    <col min="7355" max="7356" width="5.6640625" customWidth="1"/>
    <col min="7357" max="7357" width="8.6640625" customWidth="1"/>
    <col min="7358" max="7358" width="4.6640625" customWidth="1"/>
    <col min="7359" max="7359" width="10.6640625" customWidth="1"/>
    <col min="7360" max="7360" width="4.6640625" customWidth="1"/>
    <col min="7361" max="7361" width="20.6640625" customWidth="1"/>
    <col min="7362" max="7363" width="5.6640625" customWidth="1"/>
    <col min="7364" max="7364" width="8.6640625" customWidth="1"/>
    <col min="7365" max="7365" width="4.6640625" customWidth="1"/>
    <col min="7366" max="7366" width="10.6640625" customWidth="1"/>
    <col min="7367" max="7367" width="5.6640625" customWidth="1"/>
    <col min="7368" max="7368" width="20.6640625" customWidth="1"/>
    <col min="7369" max="7369" width="7.6640625" customWidth="1"/>
    <col min="7370" max="7370" width="8.6640625" customWidth="1"/>
    <col min="7371" max="7371" width="7.6640625" customWidth="1"/>
    <col min="7372" max="7372" width="5.6640625" customWidth="1"/>
    <col min="7373" max="7373" width="20.6640625" customWidth="1"/>
    <col min="7374" max="7374" width="7.6640625" customWidth="1"/>
    <col min="7375" max="7375" width="8.6640625" customWidth="1"/>
    <col min="7376" max="7376" width="7.6640625" customWidth="1"/>
    <col min="7377" max="7377" width="8.6640625" customWidth="1"/>
    <col min="7378" max="7379" width="10.6640625" customWidth="1"/>
    <col min="7380" max="7380" width="4.6640625" customWidth="1"/>
    <col min="7381" max="7381" width="20.6640625" customWidth="1"/>
    <col min="7382" max="7385" width="5.6640625" customWidth="1"/>
    <col min="7386" max="7387" width="4.6640625" customWidth="1"/>
    <col min="7388" max="7388" width="20.6640625" customWidth="1"/>
    <col min="7389" max="7389" width="4.6640625" customWidth="1"/>
    <col min="7390" max="7390" width="20.6640625" customWidth="1"/>
    <col min="7391" max="7391" width="5.6640625" customWidth="1"/>
    <col min="7392" max="7392" width="20.6640625" customWidth="1"/>
    <col min="7393" max="7393" width="15.6640625" customWidth="1"/>
    <col min="7394" max="7397" width="8.6640625" customWidth="1"/>
    <col min="7398" max="7399" width="10.6640625" customWidth="1"/>
    <col min="7400" max="7402" width="8.6640625" customWidth="1"/>
    <col min="7403" max="7403" width="9.6640625" customWidth="1"/>
    <col min="7404" max="7404" width="8.6640625" customWidth="1"/>
    <col min="7405" max="7406" width="20.6640625" customWidth="1"/>
    <col min="7407" max="7410" width="8.6640625" customWidth="1"/>
    <col min="7411" max="7413" width="10.6640625" customWidth="1"/>
    <col min="7414" max="7417" width="10" customWidth="1"/>
    <col min="7418" max="7419" width="20.6640625" customWidth="1"/>
    <col min="7420" max="7423" width="7.6640625" customWidth="1"/>
    <col min="7424" max="7426" width="10.6640625" customWidth="1"/>
    <col min="7427" max="7430" width="10" customWidth="1"/>
    <col min="7431" max="7432" width="20.6640625" customWidth="1"/>
    <col min="7433" max="7436" width="7.6640625" customWidth="1"/>
    <col min="7437" max="7439" width="10.6640625" customWidth="1"/>
    <col min="7440" max="7443" width="10" customWidth="1"/>
    <col min="7444" max="7445" width="20.6640625" customWidth="1"/>
    <col min="7446" max="7449" width="7.6640625" customWidth="1"/>
    <col min="7450" max="7452" width="10.6640625" customWidth="1"/>
    <col min="7453" max="7458" width="10" customWidth="1"/>
    <col min="7459" max="7459" width="7.6640625" customWidth="1"/>
    <col min="7460" max="7461" width="10.6640625" customWidth="1"/>
    <col min="7462" max="7462" width="7.6640625" customWidth="1"/>
    <col min="7463" max="7468" width="10.6640625" customWidth="1"/>
    <col min="7469" max="7470" width="11.6640625" customWidth="1"/>
    <col min="7471" max="7472" width="10.6640625" customWidth="1"/>
    <col min="7473" max="7475" width="9.6640625" customWidth="1"/>
    <col min="7476" max="7476" width="12.5546875" bestFit="1" customWidth="1"/>
    <col min="7477" max="7477" width="9" customWidth="1"/>
    <col min="7478" max="7479" width="10.109375" bestFit="1" customWidth="1"/>
    <col min="7581" max="7581" width="5.6640625" customWidth="1"/>
    <col min="7582" max="7583" width="8.6640625" customWidth="1"/>
    <col min="7584" max="7584" width="4.6640625" customWidth="1"/>
    <col min="7585" max="7586" width="15.6640625" customWidth="1"/>
    <col min="7587" max="7587" width="5.6640625" customWidth="1"/>
    <col min="7588" max="7588" width="4.6640625" customWidth="1"/>
    <col min="7589" max="7589" width="20.6640625" customWidth="1"/>
    <col min="7590" max="7590" width="4.6640625" customWidth="1"/>
    <col min="7591" max="7591" width="5.6640625" customWidth="1"/>
    <col min="7592" max="7592" width="8.6640625" customWidth="1"/>
    <col min="7593" max="7593" width="4.6640625" customWidth="1"/>
    <col min="7594" max="7594" width="10.6640625" customWidth="1"/>
    <col min="7595" max="7595" width="4.6640625" customWidth="1"/>
    <col min="7596" max="7596" width="20.6640625" customWidth="1"/>
    <col min="7597" max="7598" width="5.6640625" customWidth="1"/>
    <col min="7599" max="7599" width="8.6640625" customWidth="1"/>
    <col min="7600" max="7600" width="4.6640625" customWidth="1"/>
    <col min="7601" max="7601" width="10.6640625" customWidth="1"/>
    <col min="7602" max="7602" width="4.6640625" customWidth="1"/>
    <col min="7603" max="7603" width="20.6640625" customWidth="1"/>
    <col min="7604" max="7605" width="5.6640625" customWidth="1"/>
    <col min="7606" max="7606" width="8.6640625" customWidth="1"/>
    <col min="7607" max="7607" width="4.6640625" customWidth="1"/>
    <col min="7608" max="7608" width="10.6640625" customWidth="1"/>
    <col min="7609" max="7609" width="4.6640625" customWidth="1"/>
    <col min="7610" max="7610" width="20.6640625" customWidth="1"/>
    <col min="7611" max="7612" width="5.6640625" customWidth="1"/>
    <col min="7613" max="7613" width="8.6640625" customWidth="1"/>
    <col min="7614" max="7614" width="4.6640625" customWidth="1"/>
    <col min="7615" max="7615" width="10.6640625" customWidth="1"/>
    <col min="7616" max="7616" width="4.6640625" customWidth="1"/>
    <col min="7617" max="7617" width="20.6640625" customWidth="1"/>
    <col min="7618" max="7619" width="5.6640625" customWidth="1"/>
    <col min="7620" max="7620" width="8.6640625" customWidth="1"/>
    <col min="7621" max="7621" width="4.6640625" customWidth="1"/>
    <col min="7622" max="7622" width="10.6640625" customWidth="1"/>
    <col min="7623" max="7623" width="5.6640625" customWidth="1"/>
    <col min="7624" max="7624" width="20.6640625" customWidth="1"/>
    <col min="7625" max="7625" width="7.6640625" customWidth="1"/>
    <col min="7626" max="7626" width="8.6640625" customWidth="1"/>
    <col min="7627" max="7627" width="7.6640625" customWidth="1"/>
    <col min="7628" max="7628" width="5.6640625" customWidth="1"/>
    <col min="7629" max="7629" width="20.6640625" customWidth="1"/>
    <col min="7630" max="7630" width="7.6640625" customWidth="1"/>
    <col min="7631" max="7631" width="8.6640625" customWidth="1"/>
    <col min="7632" max="7632" width="7.6640625" customWidth="1"/>
    <col min="7633" max="7633" width="8.6640625" customWidth="1"/>
    <col min="7634" max="7635" width="10.6640625" customWidth="1"/>
    <col min="7636" max="7636" width="4.6640625" customWidth="1"/>
    <col min="7637" max="7637" width="20.6640625" customWidth="1"/>
    <col min="7638" max="7641" width="5.6640625" customWidth="1"/>
    <col min="7642" max="7643" width="4.6640625" customWidth="1"/>
    <col min="7644" max="7644" width="20.6640625" customWidth="1"/>
    <col min="7645" max="7645" width="4.6640625" customWidth="1"/>
    <col min="7646" max="7646" width="20.6640625" customWidth="1"/>
    <col min="7647" max="7647" width="5.6640625" customWidth="1"/>
    <col min="7648" max="7648" width="20.6640625" customWidth="1"/>
    <col min="7649" max="7649" width="15.6640625" customWidth="1"/>
    <col min="7650" max="7653" width="8.6640625" customWidth="1"/>
    <col min="7654" max="7655" width="10.6640625" customWidth="1"/>
    <col min="7656" max="7658" width="8.6640625" customWidth="1"/>
    <col min="7659" max="7659" width="9.6640625" customWidth="1"/>
    <col min="7660" max="7660" width="8.6640625" customWidth="1"/>
    <col min="7661" max="7662" width="20.6640625" customWidth="1"/>
    <col min="7663" max="7666" width="8.6640625" customWidth="1"/>
    <col min="7667" max="7669" width="10.6640625" customWidth="1"/>
    <col min="7670" max="7673" width="10" customWidth="1"/>
    <col min="7674" max="7675" width="20.6640625" customWidth="1"/>
    <col min="7676" max="7679" width="7.6640625" customWidth="1"/>
    <col min="7680" max="7682" width="10.6640625" customWidth="1"/>
    <col min="7683" max="7686" width="10" customWidth="1"/>
    <col min="7687" max="7688" width="20.6640625" customWidth="1"/>
    <col min="7689" max="7692" width="7.6640625" customWidth="1"/>
    <col min="7693" max="7695" width="10.6640625" customWidth="1"/>
    <col min="7696" max="7699" width="10" customWidth="1"/>
    <col min="7700" max="7701" width="20.6640625" customWidth="1"/>
    <col min="7702" max="7705" width="7.6640625" customWidth="1"/>
    <col min="7706" max="7708" width="10.6640625" customWidth="1"/>
    <col min="7709" max="7714" width="10" customWidth="1"/>
    <col min="7715" max="7715" width="7.6640625" customWidth="1"/>
    <col min="7716" max="7717" width="10.6640625" customWidth="1"/>
    <col min="7718" max="7718" width="7.6640625" customWidth="1"/>
    <col min="7719" max="7724" width="10.6640625" customWidth="1"/>
    <col min="7725" max="7726" width="11.6640625" customWidth="1"/>
    <col min="7727" max="7728" width="10.6640625" customWidth="1"/>
    <col min="7729" max="7731" width="9.6640625" customWidth="1"/>
    <col min="7732" max="7732" width="12.5546875" bestFit="1" customWidth="1"/>
    <col min="7733" max="7733" width="9" customWidth="1"/>
    <col min="7734" max="7735" width="10.109375" bestFit="1" customWidth="1"/>
    <col min="7837" max="7837" width="5.6640625" customWidth="1"/>
    <col min="7838" max="7839" width="8.6640625" customWidth="1"/>
    <col min="7840" max="7840" width="4.6640625" customWidth="1"/>
    <col min="7841" max="7842" width="15.6640625" customWidth="1"/>
    <col min="7843" max="7843" width="5.6640625" customWidth="1"/>
    <col min="7844" max="7844" width="4.6640625" customWidth="1"/>
    <col min="7845" max="7845" width="20.6640625" customWidth="1"/>
    <col min="7846" max="7846" width="4.6640625" customWidth="1"/>
    <col min="7847" max="7847" width="5.6640625" customWidth="1"/>
    <col min="7848" max="7848" width="8.6640625" customWidth="1"/>
    <col min="7849" max="7849" width="4.6640625" customWidth="1"/>
    <col min="7850" max="7850" width="10.6640625" customWidth="1"/>
    <col min="7851" max="7851" width="4.6640625" customWidth="1"/>
    <col min="7852" max="7852" width="20.6640625" customWidth="1"/>
    <col min="7853" max="7854" width="5.6640625" customWidth="1"/>
    <col min="7855" max="7855" width="8.6640625" customWidth="1"/>
    <col min="7856" max="7856" width="4.6640625" customWidth="1"/>
    <col min="7857" max="7857" width="10.6640625" customWidth="1"/>
    <col min="7858" max="7858" width="4.6640625" customWidth="1"/>
    <col min="7859" max="7859" width="20.6640625" customWidth="1"/>
    <col min="7860" max="7861" width="5.6640625" customWidth="1"/>
    <col min="7862" max="7862" width="8.6640625" customWidth="1"/>
    <col min="7863" max="7863" width="4.6640625" customWidth="1"/>
    <col min="7864" max="7864" width="10.6640625" customWidth="1"/>
    <col min="7865" max="7865" width="4.6640625" customWidth="1"/>
    <col min="7866" max="7866" width="20.6640625" customWidth="1"/>
    <col min="7867" max="7868" width="5.6640625" customWidth="1"/>
    <col min="7869" max="7869" width="8.6640625" customWidth="1"/>
    <col min="7870" max="7870" width="4.6640625" customWidth="1"/>
    <col min="7871" max="7871" width="10.6640625" customWidth="1"/>
    <col min="7872" max="7872" width="4.6640625" customWidth="1"/>
    <col min="7873" max="7873" width="20.6640625" customWidth="1"/>
    <col min="7874" max="7875" width="5.6640625" customWidth="1"/>
    <col min="7876" max="7876" width="8.6640625" customWidth="1"/>
    <col min="7877" max="7877" width="4.6640625" customWidth="1"/>
    <col min="7878" max="7878" width="10.6640625" customWidth="1"/>
    <col min="7879" max="7879" width="5.6640625" customWidth="1"/>
    <col min="7880" max="7880" width="20.6640625" customWidth="1"/>
    <col min="7881" max="7881" width="7.6640625" customWidth="1"/>
    <col min="7882" max="7882" width="8.6640625" customWidth="1"/>
    <col min="7883" max="7883" width="7.6640625" customWidth="1"/>
    <col min="7884" max="7884" width="5.6640625" customWidth="1"/>
    <col min="7885" max="7885" width="20.6640625" customWidth="1"/>
    <col min="7886" max="7886" width="7.6640625" customWidth="1"/>
    <col min="7887" max="7887" width="8.6640625" customWidth="1"/>
    <col min="7888" max="7888" width="7.6640625" customWidth="1"/>
    <col min="7889" max="7889" width="8.6640625" customWidth="1"/>
    <col min="7890" max="7891" width="10.6640625" customWidth="1"/>
    <col min="7892" max="7892" width="4.6640625" customWidth="1"/>
    <col min="7893" max="7893" width="20.6640625" customWidth="1"/>
    <col min="7894" max="7897" width="5.6640625" customWidth="1"/>
    <col min="7898" max="7899" width="4.6640625" customWidth="1"/>
    <col min="7900" max="7900" width="20.6640625" customWidth="1"/>
    <col min="7901" max="7901" width="4.6640625" customWidth="1"/>
    <col min="7902" max="7902" width="20.6640625" customWidth="1"/>
    <col min="7903" max="7903" width="5.6640625" customWidth="1"/>
    <col min="7904" max="7904" width="20.6640625" customWidth="1"/>
    <col min="7905" max="7905" width="15.6640625" customWidth="1"/>
    <col min="7906" max="7909" width="8.6640625" customWidth="1"/>
    <col min="7910" max="7911" width="10.6640625" customWidth="1"/>
    <col min="7912" max="7914" width="8.6640625" customWidth="1"/>
    <col min="7915" max="7915" width="9.6640625" customWidth="1"/>
    <col min="7916" max="7916" width="8.6640625" customWidth="1"/>
    <col min="7917" max="7918" width="20.6640625" customWidth="1"/>
    <col min="7919" max="7922" width="8.6640625" customWidth="1"/>
    <col min="7923" max="7925" width="10.6640625" customWidth="1"/>
    <col min="7926" max="7929" width="10" customWidth="1"/>
    <col min="7930" max="7931" width="20.6640625" customWidth="1"/>
    <col min="7932" max="7935" width="7.6640625" customWidth="1"/>
    <col min="7936" max="7938" width="10.6640625" customWidth="1"/>
    <col min="7939" max="7942" width="10" customWidth="1"/>
    <col min="7943" max="7944" width="20.6640625" customWidth="1"/>
    <col min="7945" max="7948" width="7.6640625" customWidth="1"/>
    <col min="7949" max="7951" width="10.6640625" customWidth="1"/>
    <col min="7952" max="7955" width="10" customWidth="1"/>
    <col min="7956" max="7957" width="20.6640625" customWidth="1"/>
    <col min="7958" max="7961" width="7.6640625" customWidth="1"/>
    <col min="7962" max="7964" width="10.6640625" customWidth="1"/>
    <col min="7965" max="7970" width="10" customWidth="1"/>
    <col min="7971" max="7971" width="7.6640625" customWidth="1"/>
    <col min="7972" max="7973" width="10.6640625" customWidth="1"/>
    <col min="7974" max="7974" width="7.6640625" customWidth="1"/>
    <col min="7975" max="7980" width="10.6640625" customWidth="1"/>
    <col min="7981" max="7982" width="11.6640625" customWidth="1"/>
    <col min="7983" max="7984" width="10.6640625" customWidth="1"/>
    <col min="7985" max="7987" width="9.6640625" customWidth="1"/>
    <col min="7988" max="7988" width="12.5546875" bestFit="1" customWidth="1"/>
    <col min="7989" max="7989" width="9" customWidth="1"/>
    <col min="7990" max="7991" width="10.109375" bestFit="1" customWidth="1"/>
    <col min="8093" max="8093" width="5.6640625" customWidth="1"/>
    <col min="8094" max="8095" width="8.6640625" customWidth="1"/>
    <col min="8096" max="8096" width="4.6640625" customWidth="1"/>
    <col min="8097" max="8098" width="15.6640625" customWidth="1"/>
    <col min="8099" max="8099" width="5.6640625" customWidth="1"/>
    <col min="8100" max="8100" width="4.6640625" customWidth="1"/>
    <col min="8101" max="8101" width="20.6640625" customWidth="1"/>
    <col min="8102" max="8102" width="4.6640625" customWidth="1"/>
    <col min="8103" max="8103" width="5.6640625" customWidth="1"/>
    <col min="8104" max="8104" width="8.6640625" customWidth="1"/>
    <col min="8105" max="8105" width="4.6640625" customWidth="1"/>
    <col min="8106" max="8106" width="10.6640625" customWidth="1"/>
    <col min="8107" max="8107" width="4.6640625" customWidth="1"/>
    <col min="8108" max="8108" width="20.6640625" customWidth="1"/>
    <col min="8109" max="8110" width="5.6640625" customWidth="1"/>
    <col min="8111" max="8111" width="8.6640625" customWidth="1"/>
    <col min="8112" max="8112" width="4.6640625" customWidth="1"/>
    <col min="8113" max="8113" width="10.6640625" customWidth="1"/>
    <col min="8114" max="8114" width="4.6640625" customWidth="1"/>
    <col min="8115" max="8115" width="20.6640625" customWidth="1"/>
    <col min="8116" max="8117" width="5.6640625" customWidth="1"/>
    <col min="8118" max="8118" width="8.6640625" customWidth="1"/>
    <col min="8119" max="8119" width="4.6640625" customWidth="1"/>
    <col min="8120" max="8120" width="10.6640625" customWidth="1"/>
    <col min="8121" max="8121" width="4.6640625" customWidth="1"/>
    <col min="8122" max="8122" width="20.6640625" customWidth="1"/>
    <col min="8123" max="8124" width="5.6640625" customWidth="1"/>
    <col min="8125" max="8125" width="8.6640625" customWidth="1"/>
    <col min="8126" max="8126" width="4.6640625" customWidth="1"/>
    <col min="8127" max="8127" width="10.6640625" customWidth="1"/>
    <col min="8128" max="8128" width="4.6640625" customWidth="1"/>
    <col min="8129" max="8129" width="20.6640625" customWidth="1"/>
    <col min="8130" max="8131" width="5.6640625" customWidth="1"/>
    <col min="8132" max="8132" width="8.6640625" customWidth="1"/>
    <col min="8133" max="8133" width="4.6640625" customWidth="1"/>
    <col min="8134" max="8134" width="10.6640625" customWidth="1"/>
    <col min="8135" max="8135" width="5.6640625" customWidth="1"/>
    <col min="8136" max="8136" width="20.6640625" customWidth="1"/>
    <col min="8137" max="8137" width="7.6640625" customWidth="1"/>
    <col min="8138" max="8138" width="8.6640625" customWidth="1"/>
    <col min="8139" max="8139" width="7.6640625" customWidth="1"/>
    <col min="8140" max="8140" width="5.6640625" customWidth="1"/>
    <col min="8141" max="8141" width="20.6640625" customWidth="1"/>
    <col min="8142" max="8142" width="7.6640625" customWidth="1"/>
    <col min="8143" max="8143" width="8.6640625" customWidth="1"/>
    <col min="8144" max="8144" width="7.6640625" customWidth="1"/>
    <col min="8145" max="8145" width="8.6640625" customWidth="1"/>
    <col min="8146" max="8147" width="10.6640625" customWidth="1"/>
    <col min="8148" max="8148" width="4.6640625" customWidth="1"/>
    <col min="8149" max="8149" width="20.6640625" customWidth="1"/>
    <col min="8150" max="8153" width="5.6640625" customWidth="1"/>
    <col min="8154" max="8155" width="4.6640625" customWidth="1"/>
    <col min="8156" max="8156" width="20.6640625" customWidth="1"/>
    <col min="8157" max="8157" width="4.6640625" customWidth="1"/>
    <col min="8158" max="8158" width="20.6640625" customWidth="1"/>
    <col min="8159" max="8159" width="5.6640625" customWidth="1"/>
    <col min="8160" max="8160" width="20.6640625" customWidth="1"/>
    <col min="8161" max="8161" width="15.6640625" customWidth="1"/>
    <col min="8162" max="8165" width="8.6640625" customWidth="1"/>
    <col min="8166" max="8167" width="10.6640625" customWidth="1"/>
    <col min="8168" max="8170" width="8.6640625" customWidth="1"/>
    <col min="8171" max="8171" width="9.6640625" customWidth="1"/>
    <col min="8172" max="8172" width="8.6640625" customWidth="1"/>
    <col min="8173" max="8174" width="20.6640625" customWidth="1"/>
    <col min="8175" max="8178" width="8.6640625" customWidth="1"/>
    <col min="8179" max="8181" width="10.6640625" customWidth="1"/>
    <col min="8182" max="8185" width="10" customWidth="1"/>
    <col min="8186" max="8187" width="20.6640625" customWidth="1"/>
    <col min="8188" max="8191" width="7.6640625" customWidth="1"/>
    <col min="8192" max="8194" width="10.6640625" customWidth="1"/>
    <col min="8195" max="8198" width="10" customWidth="1"/>
    <col min="8199" max="8200" width="20.6640625" customWidth="1"/>
    <col min="8201" max="8204" width="7.6640625" customWidth="1"/>
    <col min="8205" max="8207" width="10.6640625" customWidth="1"/>
    <col min="8208" max="8211" width="10" customWidth="1"/>
    <col min="8212" max="8213" width="20.6640625" customWidth="1"/>
    <col min="8214" max="8217" width="7.6640625" customWidth="1"/>
    <col min="8218" max="8220" width="10.6640625" customWidth="1"/>
    <col min="8221" max="8226" width="10" customWidth="1"/>
    <col min="8227" max="8227" width="7.6640625" customWidth="1"/>
    <col min="8228" max="8229" width="10.6640625" customWidth="1"/>
    <col min="8230" max="8230" width="7.6640625" customWidth="1"/>
    <col min="8231" max="8236" width="10.6640625" customWidth="1"/>
    <col min="8237" max="8238" width="11.6640625" customWidth="1"/>
    <col min="8239" max="8240" width="10.6640625" customWidth="1"/>
    <col min="8241" max="8243" width="9.6640625" customWidth="1"/>
    <col min="8244" max="8244" width="12.5546875" bestFit="1" customWidth="1"/>
    <col min="8245" max="8245" width="9" customWidth="1"/>
    <col min="8246" max="8247" width="10.109375" bestFit="1" customWidth="1"/>
    <col min="8349" max="8349" width="5.6640625" customWidth="1"/>
    <col min="8350" max="8351" width="8.6640625" customWidth="1"/>
    <col min="8352" max="8352" width="4.6640625" customWidth="1"/>
    <col min="8353" max="8354" width="15.6640625" customWidth="1"/>
    <col min="8355" max="8355" width="5.6640625" customWidth="1"/>
    <col min="8356" max="8356" width="4.6640625" customWidth="1"/>
    <col min="8357" max="8357" width="20.6640625" customWidth="1"/>
    <col min="8358" max="8358" width="4.6640625" customWidth="1"/>
    <col min="8359" max="8359" width="5.6640625" customWidth="1"/>
    <col min="8360" max="8360" width="8.6640625" customWidth="1"/>
    <col min="8361" max="8361" width="4.6640625" customWidth="1"/>
    <col min="8362" max="8362" width="10.6640625" customWidth="1"/>
    <col min="8363" max="8363" width="4.6640625" customWidth="1"/>
    <col min="8364" max="8364" width="20.6640625" customWidth="1"/>
    <col min="8365" max="8366" width="5.6640625" customWidth="1"/>
    <col min="8367" max="8367" width="8.6640625" customWidth="1"/>
    <col min="8368" max="8368" width="4.6640625" customWidth="1"/>
    <col min="8369" max="8369" width="10.6640625" customWidth="1"/>
    <col min="8370" max="8370" width="4.6640625" customWidth="1"/>
    <col min="8371" max="8371" width="20.6640625" customWidth="1"/>
    <col min="8372" max="8373" width="5.6640625" customWidth="1"/>
    <col min="8374" max="8374" width="8.6640625" customWidth="1"/>
    <col min="8375" max="8375" width="4.6640625" customWidth="1"/>
    <col min="8376" max="8376" width="10.6640625" customWidth="1"/>
    <col min="8377" max="8377" width="4.6640625" customWidth="1"/>
    <col min="8378" max="8378" width="20.6640625" customWidth="1"/>
    <col min="8379" max="8380" width="5.6640625" customWidth="1"/>
    <col min="8381" max="8381" width="8.6640625" customWidth="1"/>
    <col min="8382" max="8382" width="4.6640625" customWidth="1"/>
    <col min="8383" max="8383" width="10.6640625" customWidth="1"/>
    <col min="8384" max="8384" width="4.6640625" customWidth="1"/>
    <col min="8385" max="8385" width="20.6640625" customWidth="1"/>
    <col min="8386" max="8387" width="5.6640625" customWidth="1"/>
    <col min="8388" max="8388" width="8.6640625" customWidth="1"/>
    <col min="8389" max="8389" width="4.6640625" customWidth="1"/>
    <col min="8390" max="8390" width="10.6640625" customWidth="1"/>
    <col min="8391" max="8391" width="5.6640625" customWidth="1"/>
    <col min="8392" max="8392" width="20.6640625" customWidth="1"/>
    <col min="8393" max="8393" width="7.6640625" customWidth="1"/>
    <col min="8394" max="8394" width="8.6640625" customWidth="1"/>
    <col min="8395" max="8395" width="7.6640625" customWidth="1"/>
    <col min="8396" max="8396" width="5.6640625" customWidth="1"/>
    <col min="8397" max="8397" width="20.6640625" customWidth="1"/>
    <col min="8398" max="8398" width="7.6640625" customWidth="1"/>
    <col min="8399" max="8399" width="8.6640625" customWidth="1"/>
    <col min="8400" max="8400" width="7.6640625" customWidth="1"/>
    <col min="8401" max="8401" width="8.6640625" customWidth="1"/>
    <col min="8402" max="8403" width="10.6640625" customWidth="1"/>
    <col min="8404" max="8404" width="4.6640625" customWidth="1"/>
    <col min="8405" max="8405" width="20.6640625" customWidth="1"/>
    <col min="8406" max="8409" width="5.6640625" customWidth="1"/>
    <col min="8410" max="8411" width="4.6640625" customWidth="1"/>
    <col min="8412" max="8412" width="20.6640625" customWidth="1"/>
    <col min="8413" max="8413" width="4.6640625" customWidth="1"/>
    <col min="8414" max="8414" width="20.6640625" customWidth="1"/>
    <col min="8415" max="8415" width="5.6640625" customWidth="1"/>
    <col min="8416" max="8416" width="20.6640625" customWidth="1"/>
    <col min="8417" max="8417" width="15.6640625" customWidth="1"/>
    <col min="8418" max="8421" width="8.6640625" customWidth="1"/>
    <col min="8422" max="8423" width="10.6640625" customWidth="1"/>
    <col min="8424" max="8426" width="8.6640625" customWidth="1"/>
    <col min="8427" max="8427" width="9.6640625" customWidth="1"/>
    <col min="8428" max="8428" width="8.6640625" customWidth="1"/>
    <col min="8429" max="8430" width="20.6640625" customWidth="1"/>
    <col min="8431" max="8434" width="8.6640625" customWidth="1"/>
    <col min="8435" max="8437" width="10.6640625" customWidth="1"/>
    <col min="8438" max="8441" width="10" customWidth="1"/>
    <col min="8442" max="8443" width="20.6640625" customWidth="1"/>
    <col min="8444" max="8447" width="7.6640625" customWidth="1"/>
    <col min="8448" max="8450" width="10.6640625" customWidth="1"/>
    <col min="8451" max="8454" width="10" customWidth="1"/>
    <col min="8455" max="8456" width="20.6640625" customWidth="1"/>
    <col min="8457" max="8460" width="7.6640625" customWidth="1"/>
    <col min="8461" max="8463" width="10.6640625" customWidth="1"/>
    <col min="8464" max="8467" width="10" customWidth="1"/>
    <col min="8468" max="8469" width="20.6640625" customWidth="1"/>
    <col min="8470" max="8473" width="7.6640625" customWidth="1"/>
    <col min="8474" max="8476" width="10.6640625" customWidth="1"/>
    <col min="8477" max="8482" width="10" customWidth="1"/>
    <col min="8483" max="8483" width="7.6640625" customWidth="1"/>
    <col min="8484" max="8485" width="10.6640625" customWidth="1"/>
    <col min="8486" max="8486" width="7.6640625" customWidth="1"/>
    <col min="8487" max="8492" width="10.6640625" customWidth="1"/>
    <col min="8493" max="8494" width="11.6640625" customWidth="1"/>
    <col min="8495" max="8496" width="10.6640625" customWidth="1"/>
    <col min="8497" max="8499" width="9.6640625" customWidth="1"/>
    <col min="8500" max="8500" width="12.5546875" bestFit="1" customWidth="1"/>
    <col min="8501" max="8501" width="9" customWidth="1"/>
    <col min="8502" max="8503" width="10.109375" bestFit="1" customWidth="1"/>
    <col min="8605" max="8605" width="5.6640625" customWidth="1"/>
    <col min="8606" max="8607" width="8.6640625" customWidth="1"/>
    <col min="8608" max="8608" width="4.6640625" customWidth="1"/>
    <col min="8609" max="8610" width="15.6640625" customWidth="1"/>
    <col min="8611" max="8611" width="5.6640625" customWidth="1"/>
    <col min="8612" max="8612" width="4.6640625" customWidth="1"/>
    <col min="8613" max="8613" width="20.6640625" customWidth="1"/>
    <col min="8614" max="8614" width="4.6640625" customWidth="1"/>
    <col min="8615" max="8615" width="5.6640625" customWidth="1"/>
    <col min="8616" max="8616" width="8.6640625" customWidth="1"/>
    <col min="8617" max="8617" width="4.6640625" customWidth="1"/>
    <col min="8618" max="8618" width="10.6640625" customWidth="1"/>
    <col min="8619" max="8619" width="4.6640625" customWidth="1"/>
    <col min="8620" max="8620" width="20.6640625" customWidth="1"/>
    <col min="8621" max="8622" width="5.6640625" customWidth="1"/>
    <col min="8623" max="8623" width="8.6640625" customWidth="1"/>
    <col min="8624" max="8624" width="4.6640625" customWidth="1"/>
    <col min="8625" max="8625" width="10.6640625" customWidth="1"/>
    <col min="8626" max="8626" width="4.6640625" customWidth="1"/>
    <col min="8627" max="8627" width="20.6640625" customWidth="1"/>
    <col min="8628" max="8629" width="5.6640625" customWidth="1"/>
    <col min="8630" max="8630" width="8.6640625" customWidth="1"/>
    <col min="8631" max="8631" width="4.6640625" customWidth="1"/>
    <col min="8632" max="8632" width="10.6640625" customWidth="1"/>
    <col min="8633" max="8633" width="4.6640625" customWidth="1"/>
    <col min="8634" max="8634" width="20.6640625" customWidth="1"/>
    <col min="8635" max="8636" width="5.6640625" customWidth="1"/>
    <col min="8637" max="8637" width="8.6640625" customWidth="1"/>
    <col min="8638" max="8638" width="4.6640625" customWidth="1"/>
    <col min="8639" max="8639" width="10.6640625" customWidth="1"/>
    <col min="8640" max="8640" width="4.6640625" customWidth="1"/>
    <col min="8641" max="8641" width="20.6640625" customWidth="1"/>
    <col min="8642" max="8643" width="5.6640625" customWidth="1"/>
    <col min="8644" max="8644" width="8.6640625" customWidth="1"/>
    <col min="8645" max="8645" width="4.6640625" customWidth="1"/>
    <col min="8646" max="8646" width="10.6640625" customWidth="1"/>
    <col min="8647" max="8647" width="5.6640625" customWidth="1"/>
    <col min="8648" max="8648" width="20.6640625" customWidth="1"/>
    <col min="8649" max="8649" width="7.6640625" customWidth="1"/>
    <col min="8650" max="8650" width="8.6640625" customWidth="1"/>
    <col min="8651" max="8651" width="7.6640625" customWidth="1"/>
    <col min="8652" max="8652" width="5.6640625" customWidth="1"/>
    <col min="8653" max="8653" width="20.6640625" customWidth="1"/>
    <col min="8654" max="8654" width="7.6640625" customWidth="1"/>
    <col min="8655" max="8655" width="8.6640625" customWidth="1"/>
    <col min="8656" max="8656" width="7.6640625" customWidth="1"/>
    <col min="8657" max="8657" width="8.6640625" customWidth="1"/>
    <col min="8658" max="8659" width="10.6640625" customWidth="1"/>
    <col min="8660" max="8660" width="4.6640625" customWidth="1"/>
    <col min="8661" max="8661" width="20.6640625" customWidth="1"/>
    <col min="8662" max="8665" width="5.6640625" customWidth="1"/>
    <col min="8666" max="8667" width="4.6640625" customWidth="1"/>
    <col min="8668" max="8668" width="20.6640625" customWidth="1"/>
    <col min="8669" max="8669" width="4.6640625" customWidth="1"/>
    <col min="8670" max="8670" width="20.6640625" customWidth="1"/>
    <col min="8671" max="8671" width="5.6640625" customWidth="1"/>
    <col min="8672" max="8672" width="20.6640625" customWidth="1"/>
    <col min="8673" max="8673" width="15.6640625" customWidth="1"/>
    <col min="8674" max="8677" width="8.6640625" customWidth="1"/>
    <col min="8678" max="8679" width="10.6640625" customWidth="1"/>
    <col min="8680" max="8682" width="8.6640625" customWidth="1"/>
    <col min="8683" max="8683" width="9.6640625" customWidth="1"/>
    <col min="8684" max="8684" width="8.6640625" customWidth="1"/>
    <col min="8685" max="8686" width="20.6640625" customWidth="1"/>
    <col min="8687" max="8690" width="8.6640625" customWidth="1"/>
    <col min="8691" max="8693" width="10.6640625" customWidth="1"/>
    <col min="8694" max="8697" width="10" customWidth="1"/>
    <col min="8698" max="8699" width="20.6640625" customWidth="1"/>
    <col min="8700" max="8703" width="7.6640625" customWidth="1"/>
    <col min="8704" max="8706" width="10.6640625" customWidth="1"/>
    <col min="8707" max="8710" width="10" customWidth="1"/>
    <col min="8711" max="8712" width="20.6640625" customWidth="1"/>
    <col min="8713" max="8716" width="7.6640625" customWidth="1"/>
    <col min="8717" max="8719" width="10.6640625" customWidth="1"/>
    <col min="8720" max="8723" width="10" customWidth="1"/>
    <col min="8724" max="8725" width="20.6640625" customWidth="1"/>
    <col min="8726" max="8729" width="7.6640625" customWidth="1"/>
    <col min="8730" max="8732" width="10.6640625" customWidth="1"/>
    <col min="8733" max="8738" width="10" customWidth="1"/>
    <col min="8739" max="8739" width="7.6640625" customWidth="1"/>
    <col min="8740" max="8741" width="10.6640625" customWidth="1"/>
    <col min="8742" max="8742" width="7.6640625" customWidth="1"/>
    <col min="8743" max="8748" width="10.6640625" customWidth="1"/>
    <col min="8749" max="8750" width="11.6640625" customWidth="1"/>
    <col min="8751" max="8752" width="10.6640625" customWidth="1"/>
    <col min="8753" max="8755" width="9.6640625" customWidth="1"/>
    <col min="8756" max="8756" width="12.5546875" bestFit="1" customWidth="1"/>
    <col min="8757" max="8757" width="9" customWidth="1"/>
    <col min="8758" max="8759" width="10.109375" bestFit="1" customWidth="1"/>
    <col min="8861" max="8861" width="5.6640625" customWidth="1"/>
    <col min="8862" max="8863" width="8.6640625" customWidth="1"/>
    <col min="8864" max="8864" width="4.6640625" customWidth="1"/>
    <col min="8865" max="8866" width="15.6640625" customWidth="1"/>
    <col min="8867" max="8867" width="5.6640625" customWidth="1"/>
    <col min="8868" max="8868" width="4.6640625" customWidth="1"/>
    <col min="8869" max="8869" width="20.6640625" customWidth="1"/>
    <col min="8870" max="8870" width="4.6640625" customWidth="1"/>
    <col min="8871" max="8871" width="5.6640625" customWidth="1"/>
    <col min="8872" max="8872" width="8.6640625" customWidth="1"/>
    <col min="8873" max="8873" width="4.6640625" customWidth="1"/>
    <col min="8874" max="8874" width="10.6640625" customWidth="1"/>
    <col min="8875" max="8875" width="4.6640625" customWidth="1"/>
    <col min="8876" max="8876" width="20.6640625" customWidth="1"/>
    <col min="8877" max="8878" width="5.6640625" customWidth="1"/>
    <col min="8879" max="8879" width="8.6640625" customWidth="1"/>
    <col min="8880" max="8880" width="4.6640625" customWidth="1"/>
    <col min="8881" max="8881" width="10.6640625" customWidth="1"/>
    <col min="8882" max="8882" width="4.6640625" customWidth="1"/>
    <col min="8883" max="8883" width="20.6640625" customWidth="1"/>
    <col min="8884" max="8885" width="5.6640625" customWidth="1"/>
    <col min="8886" max="8886" width="8.6640625" customWidth="1"/>
    <col min="8887" max="8887" width="4.6640625" customWidth="1"/>
    <col min="8888" max="8888" width="10.6640625" customWidth="1"/>
    <col min="8889" max="8889" width="4.6640625" customWidth="1"/>
    <col min="8890" max="8890" width="20.6640625" customWidth="1"/>
    <col min="8891" max="8892" width="5.6640625" customWidth="1"/>
    <col min="8893" max="8893" width="8.6640625" customWidth="1"/>
    <col min="8894" max="8894" width="4.6640625" customWidth="1"/>
    <col min="8895" max="8895" width="10.6640625" customWidth="1"/>
    <col min="8896" max="8896" width="4.6640625" customWidth="1"/>
    <col min="8897" max="8897" width="20.6640625" customWidth="1"/>
    <col min="8898" max="8899" width="5.6640625" customWidth="1"/>
    <col min="8900" max="8900" width="8.6640625" customWidth="1"/>
    <col min="8901" max="8901" width="4.6640625" customWidth="1"/>
    <col min="8902" max="8902" width="10.6640625" customWidth="1"/>
    <col min="8903" max="8903" width="5.6640625" customWidth="1"/>
    <col min="8904" max="8904" width="20.6640625" customWidth="1"/>
    <col min="8905" max="8905" width="7.6640625" customWidth="1"/>
    <col min="8906" max="8906" width="8.6640625" customWidth="1"/>
    <col min="8907" max="8907" width="7.6640625" customWidth="1"/>
    <col min="8908" max="8908" width="5.6640625" customWidth="1"/>
    <col min="8909" max="8909" width="20.6640625" customWidth="1"/>
    <col min="8910" max="8910" width="7.6640625" customWidth="1"/>
    <col min="8911" max="8911" width="8.6640625" customWidth="1"/>
    <col min="8912" max="8912" width="7.6640625" customWidth="1"/>
    <col min="8913" max="8913" width="8.6640625" customWidth="1"/>
    <col min="8914" max="8915" width="10.6640625" customWidth="1"/>
    <col min="8916" max="8916" width="4.6640625" customWidth="1"/>
    <col min="8917" max="8917" width="20.6640625" customWidth="1"/>
    <col min="8918" max="8921" width="5.6640625" customWidth="1"/>
    <col min="8922" max="8923" width="4.6640625" customWidth="1"/>
    <col min="8924" max="8924" width="20.6640625" customWidth="1"/>
    <col min="8925" max="8925" width="4.6640625" customWidth="1"/>
    <col min="8926" max="8926" width="20.6640625" customWidth="1"/>
    <col min="8927" max="8927" width="5.6640625" customWidth="1"/>
    <col min="8928" max="8928" width="20.6640625" customWidth="1"/>
    <col min="8929" max="8929" width="15.6640625" customWidth="1"/>
    <col min="8930" max="8933" width="8.6640625" customWidth="1"/>
    <col min="8934" max="8935" width="10.6640625" customWidth="1"/>
    <col min="8936" max="8938" width="8.6640625" customWidth="1"/>
    <col min="8939" max="8939" width="9.6640625" customWidth="1"/>
    <col min="8940" max="8940" width="8.6640625" customWidth="1"/>
    <col min="8941" max="8942" width="20.6640625" customWidth="1"/>
    <col min="8943" max="8946" width="8.6640625" customWidth="1"/>
    <col min="8947" max="8949" width="10.6640625" customWidth="1"/>
    <col min="8950" max="8953" width="10" customWidth="1"/>
    <col min="8954" max="8955" width="20.6640625" customWidth="1"/>
    <col min="8956" max="8959" width="7.6640625" customWidth="1"/>
    <col min="8960" max="8962" width="10.6640625" customWidth="1"/>
    <col min="8963" max="8966" width="10" customWidth="1"/>
    <col min="8967" max="8968" width="20.6640625" customWidth="1"/>
    <col min="8969" max="8972" width="7.6640625" customWidth="1"/>
    <col min="8973" max="8975" width="10.6640625" customWidth="1"/>
    <col min="8976" max="8979" width="10" customWidth="1"/>
    <col min="8980" max="8981" width="20.6640625" customWidth="1"/>
    <col min="8982" max="8985" width="7.6640625" customWidth="1"/>
    <col min="8986" max="8988" width="10.6640625" customWidth="1"/>
    <col min="8989" max="8994" width="10" customWidth="1"/>
    <col min="8995" max="8995" width="7.6640625" customWidth="1"/>
    <col min="8996" max="8997" width="10.6640625" customWidth="1"/>
    <col min="8998" max="8998" width="7.6640625" customWidth="1"/>
    <col min="8999" max="9004" width="10.6640625" customWidth="1"/>
    <col min="9005" max="9006" width="11.6640625" customWidth="1"/>
    <col min="9007" max="9008" width="10.6640625" customWidth="1"/>
    <col min="9009" max="9011" width="9.6640625" customWidth="1"/>
    <col min="9012" max="9012" width="12.5546875" bestFit="1" customWidth="1"/>
    <col min="9013" max="9013" width="9" customWidth="1"/>
    <col min="9014" max="9015" width="10.109375" bestFit="1" customWidth="1"/>
    <col min="9117" max="9117" width="5.6640625" customWidth="1"/>
    <col min="9118" max="9119" width="8.6640625" customWidth="1"/>
    <col min="9120" max="9120" width="4.6640625" customWidth="1"/>
    <col min="9121" max="9122" width="15.6640625" customWidth="1"/>
    <col min="9123" max="9123" width="5.6640625" customWidth="1"/>
    <col min="9124" max="9124" width="4.6640625" customWidth="1"/>
    <col min="9125" max="9125" width="20.6640625" customWidth="1"/>
    <col min="9126" max="9126" width="4.6640625" customWidth="1"/>
    <col min="9127" max="9127" width="5.6640625" customWidth="1"/>
    <col min="9128" max="9128" width="8.6640625" customWidth="1"/>
    <col min="9129" max="9129" width="4.6640625" customWidth="1"/>
    <col min="9130" max="9130" width="10.6640625" customWidth="1"/>
    <col min="9131" max="9131" width="4.6640625" customWidth="1"/>
    <col min="9132" max="9132" width="20.6640625" customWidth="1"/>
    <col min="9133" max="9134" width="5.6640625" customWidth="1"/>
    <col min="9135" max="9135" width="8.6640625" customWidth="1"/>
    <col min="9136" max="9136" width="4.6640625" customWidth="1"/>
    <col min="9137" max="9137" width="10.6640625" customWidth="1"/>
    <col min="9138" max="9138" width="4.6640625" customWidth="1"/>
    <col min="9139" max="9139" width="20.6640625" customWidth="1"/>
    <col min="9140" max="9141" width="5.6640625" customWidth="1"/>
    <col min="9142" max="9142" width="8.6640625" customWidth="1"/>
    <col min="9143" max="9143" width="4.6640625" customWidth="1"/>
    <col min="9144" max="9144" width="10.6640625" customWidth="1"/>
    <col min="9145" max="9145" width="4.6640625" customWidth="1"/>
    <col min="9146" max="9146" width="20.6640625" customWidth="1"/>
    <col min="9147" max="9148" width="5.6640625" customWidth="1"/>
    <col min="9149" max="9149" width="8.6640625" customWidth="1"/>
    <col min="9150" max="9150" width="4.6640625" customWidth="1"/>
    <col min="9151" max="9151" width="10.6640625" customWidth="1"/>
    <col min="9152" max="9152" width="4.6640625" customWidth="1"/>
    <col min="9153" max="9153" width="20.6640625" customWidth="1"/>
    <col min="9154" max="9155" width="5.6640625" customWidth="1"/>
    <col min="9156" max="9156" width="8.6640625" customWidth="1"/>
    <col min="9157" max="9157" width="4.6640625" customWidth="1"/>
    <col min="9158" max="9158" width="10.6640625" customWidth="1"/>
    <col min="9159" max="9159" width="5.6640625" customWidth="1"/>
    <col min="9160" max="9160" width="20.6640625" customWidth="1"/>
    <col min="9161" max="9161" width="7.6640625" customWidth="1"/>
    <col min="9162" max="9162" width="8.6640625" customWidth="1"/>
    <col min="9163" max="9163" width="7.6640625" customWidth="1"/>
    <col min="9164" max="9164" width="5.6640625" customWidth="1"/>
    <col min="9165" max="9165" width="20.6640625" customWidth="1"/>
    <col min="9166" max="9166" width="7.6640625" customWidth="1"/>
    <col min="9167" max="9167" width="8.6640625" customWidth="1"/>
    <col min="9168" max="9168" width="7.6640625" customWidth="1"/>
    <col min="9169" max="9169" width="8.6640625" customWidth="1"/>
    <col min="9170" max="9171" width="10.6640625" customWidth="1"/>
    <col min="9172" max="9172" width="4.6640625" customWidth="1"/>
    <col min="9173" max="9173" width="20.6640625" customWidth="1"/>
    <col min="9174" max="9177" width="5.6640625" customWidth="1"/>
    <col min="9178" max="9179" width="4.6640625" customWidth="1"/>
    <col min="9180" max="9180" width="20.6640625" customWidth="1"/>
    <col min="9181" max="9181" width="4.6640625" customWidth="1"/>
    <col min="9182" max="9182" width="20.6640625" customWidth="1"/>
    <col min="9183" max="9183" width="5.6640625" customWidth="1"/>
    <col min="9184" max="9184" width="20.6640625" customWidth="1"/>
    <col min="9185" max="9185" width="15.6640625" customWidth="1"/>
    <col min="9186" max="9189" width="8.6640625" customWidth="1"/>
    <col min="9190" max="9191" width="10.6640625" customWidth="1"/>
    <col min="9192" max="9194" width="8.6640625" customWidth="1"/>
    <col min="9195" max="9195" width="9.6640625" customWidth="1"/>
    <col min="9196" max="9196" width="8.6640625" customWidth="1"/>
    <col min="9197" max="9198" width="20.6640625" customWidth="1"/>
    <col min="9199" max="9202" width="8.6640625" customWidth="1"/>
    <col min="9203" max="9205" width="10.6640625" customWidth="1"/>
    <col min="9206" max="9209" width="10" customWidth="1"/>
    <col min="9210" max="9211" width="20.6640625" customWidth="1"/>
    <col min="9212" max="9215" width="7.6640625" customWidth="1"/>
    <col min="9216" max="9218" width="10.6640625" customWidth="1"/>
    <col min="9219" max="9222" width="10" customWidth="1"/>
    <col min="9223" max="9224" width="20.6640625" customWidth="1"/>
    <col min="9225" max="9228" width="7.6640625" customWidth="1"/>
    <col min="9229" max="9231" width="10.6640625" customWidth="1"/>
    <col min="9232" max="9235" width="10" customWidth="1"/>
    <col min="9236" max="9237" width="20.6640625" customWidth="1"/>
    <col min="9238" max="9241" width="7.6640625" customWidth="1"/>
    <col min="9242" max="9244" width="10.6640625" customWidth="1"/>
    <col min="9245" max="9250" width="10" customWidth="1"/>
    <col min="9251" max="9251" width="7.6640625" customWidth="1"/>
    <col min="9252" max="9253" width="10.6640625" customWidth="1"/>
    <col min="9254" max="9254" width="7.6640625" customWidth="1"/>
    <col min="9255" max="9260" width="10.6640625" customWidth="1"/>
    <col min="9261" max="9262" width="11.6640625" customWidth="1"/>
    <col min="9263" max="9264" width="10.6640625" customWidth="1"/>
    <col min="9265" max="9267" width="9.6640625" customWidth="1"/>
    <col min="9268" max="9268" width="12.5546875" bestFit="1" customWidth="1"/>
    <col min="9269" max="9269" width="9" customWidth="1"/>
    <col min="9270" max="9271" width="10.109375" bestFit="1" customWidth="1"/>
    <col min="9373" max="9373" width="5.6640625" customWidth="1"/>
    <col min="9374" max="9375" width="8.6640625" customWidth="1"/>
    <col min="9376" max="9376" width="4.6640625" customWidth="1"/>
    <col min="9377" max="9378" width="15.6640625" customWidth="1"/>
    <col min="9379" max="9379" width="5.6640625" customWidth="1"/>
    <col min="9380" max="9380" width="4.6640625" customWidth="1"/>
    <col min="9381" max="9381" width="20.6640625" customWidth="1"/>
    <col min="9382" max="9382" width="4.6640625" customWidth="1"/>
    <col min="9383" max="9383" width="5.6640625" customWidth="1"/>
    <col min="9384" max="9384" width="8.6640625" customWidth="1"/>
    <col min="9385" max="9385" width="4.6640625" customWidth="1"/>
    <col min="9386" max="9386" width="10.6640625" customWidth="1"/>
    <col min="9387" max="9387" width="4.6640625" customWidth="1"/>
    <col min="9388" max="9388" width="20.6640625" customWidth="1"/>
    <col min="9389" max="9390" width="5.6640625" customWidth="1"/>
    <col min="9391" max="9391" width="8.6640625" customWidth="1"/>
    <col min="9392" max="9392" width="4.6640625" customWidth="1"/>
    <col min="9393" max="9393" width="10.6640625" customWidth="1"/>
    <col min="9394" max="9394" width="4.6640625" customWidth="1"/>
    <col min="9395" max="9395" width="20.6640625" customWidth="1"/>
    <col min="9396" max="9397" width="5.6640625" customWidth="1"/>
    <col min="9398" max="9398" width="8.6640625" customWidth="1"/>
    <col min="9399" max="9399" width="4.6640625" customWidth="1"/>
    <col min="9400" max="9400" width="10.6640625" customWidth="1"/>
    <col min="9401" max="9401" width="4.6640625" customWidth="1"/>
    <col min="9402" max="9402" width="20.6640625" customWidth="1"/>
    <col min="9403" max="9404" width="5.6640625" customWidth="1"/>
    <col min="9405" max="9405" width="8.6640625" customWidth="1"/>
    <col min="9406" max="9406" width="4.6640625" customWidth="1"/>
    <col min="9407" max="9407" width="10.6640625" customWidth="1"/>
    <col min="9408" max="9408" width="4.6640625" customWidth="1"/>
    <col min="9409" max="9409" width="20.6640625" customWidth="1"/>
    <col min="9410" max="9411" width="5.6640625" customWidth="1"/>
    <col min="9412" max="9412" width="8.6640625" customWidth="1"/>
    <col min="9413" max="9413" width="4.6640625" customWidth="1"/>
    <col min="9414" max="9414" width="10.6640625" customWidth="1"/>
    <col min="9415" max="9415" width="5.6640625" customWidth="1"/>
    <col min="9416" max="9416" width="20.6640625" customWidth="1"/>
    <col min="9417" max="9417" width="7.6640625" customWidth="1"/>
    <col min="9418" max="9418" width="8.6640625" customWidth="1"/>
    <col min="9419" max="9419" width="7.6640625" customWidth="1"/>
    <col min="9420" max="9420" width="5.6640625" customWidth="1"/>
    <col min="9421" max="9421" width="20.6640625" customWidth="1"/>
    <col min="9422" max="9422" width="7.6640625" customWidth="1"/>
    <col min="9423" max="9423" width="8.6640625" customWidth="1"/>
    <col min="9424" max="9424" width="7.6640625" customWidth="1"/>
    <col min="9425" max="9425" width="8.6640625" customWidth="1"/>
    <col min="9426" max="9427" width="10.6640625" customWidth="1"/>
    <col min="9428" max="9428" width="4.6640625" customWidth="1"/>
    <col min="9429" max="9429" width="20.6640625" customWidth="1"/>
    <col min="9430" max="9433" width="5.6640625" customWidth="1"/>
    <col min="9434" max="9435" width="4.6640625" customWidth="1"/>
    <col min="9436" max="9436" width="20.6640625" customWidth="1"/>
    <col min="9437" max="9437" width="4.6640625" customWidth="1"/>
    <col min="9438" max="9438" width="20.6640625" customWidth="1"/>
    <col min="9439" max="9439" width="5.6640625" customWidth="1"/>
    <col min="9440" max="9440" width="20.6640625" customWidth="1"/>
    <col min="9441" max="9441" width="15.6640625" customWidth="1"/>
    <col min="9442" max="9445" width="8.6640625" customWidth="1"/>
    <col min="9446" max="9447" width="10.6640625" customWidth="1"/>
    <col min="9448" max="9450" width="8.6640625" customWidth="1"/>
    <col min="9451" max="9451" width="9.6640625" customWidth="1"/>
    <col min="9452" max="9452" width="8.6640625" customWidth="1"/>
    <col min="9453" max="9454" width="20.6640625" customWidth="1"/>
    <col min="9455" max="9458" width="8.6640625" customWidth="1"/>
    <col min="9459" max="9461" width="10.6640625" customWidth="1"/>
    <col min="9462" max="9465" width="10" customWidth="1"/>
    <col min="9466" max="9467" width="20.6640625" customWidth="1"/>
    <col min="9468" max="9471" width="7.6640625" customWidth="1"/>
    <col min="9472" max="9474" width="10.6640625" customWidth="1"/>
    <col min="9475" max="9478" width="10" customWidth="1"/>
    <col min="9479" max="9480" width="20.6640625" customWidth="1"/>
    <col min="9481" max="9484" width="7.6640625" customWidth="1"/>
    <col min="9485" max="9487" width="10.6640625" customWidth="1"/>
    <col min="9488" max="9491" width="10" customWidth="1"/>
    <col min="9492" max="9493" width="20.6640625" customWidth="1"/>
    <col min="9494" max="9497" width="7.6640625" customWidth="1"/>
    <col min="9498" max="9500" width="10.6640625" customWidth="1"/>
    <col min="9501" max="9506" width="10" customWidth="1"/>
    <col min="9507" max="9507" width="7.6640625" customWidth="1"/>
    <col min="9508" max="9509" width="10.6640625" customWidth="1"/>
    <col min="9510" max="9510" width="7.6640625" customWidth="1"/>
    <col min="9511" max="9516" width="10.6640625" customWidth="1"/>
    <col min="9517" max="9518" width="11.6640625" customWidth="1"/>
    <col min="9519" max="9520" width="10.6640625" customWidth="1"/>
    <col min="9521" max="9523" width="9.6640625" customWidth="1"/>
    <col min="9524" max="9524" width="12.5546875" bestFit="1" customWidth="1"/>
    <col min="9525" max="9525" width="9" customWidth="1"/>
    <col min="9526" max="9527" width="10.109375" bestFit="1" customWidth="1"/>
    <col min="9629" max="9629" width="5.6640625" customWidth="1"/>
    <col min="9630" max="9631" width="8.6640625" customWidth="1"/>
    <col min="9632" max="9632" width="4.6640625" customWidth="1"/>
    <col min="9633" max="9634" width="15.6640625" customWidth="1"/>
    <col min="9635" max="9635" width="5.6640625" customWidth="1"/>
    <col min="9636" max="9636" width="4.6640625" customWidth="1"/>
    <col min="9637" max="9637" width="20.6640625" customWidth="1"/>
    <col min="9638" max="9638" width="4.6640625" customWidth="1"/>
    <col min="9639" max="9639" width="5.6640625" customWidth="1"/>
    <col min="9640" max="9640" width="8.6640625" customWidth="1"/>
    <col min="9641" max="9641" width="4.6640625" customWidth="1"/>
    <col min="9642" max="9642" width="10.6640625" customWidth="1"/>
    <col min="9643" max="9643" width="4.6640625" customWidth="1"/>
    <col min="9644" max="9644" width="20.6640625" customWidth="1"/>
    <col min="9645" max="9646" width="5.6640625" customWidth="1"/>
    <col min="9647" max="9647" width="8.6640625" customWidth="1"/>
    <col min="9648" max="9648" width="4.6640625" customWidth="1"/>
    <col min="9649" max="9649" width="10.6640625" customWidth="1"/>
    <col min="9650" max="9650" width="4.6640625" customWidth="1"/>
    <col min="9651" max="9651" width="20.6640625" customWidth="1"/>
    <col min="9652" max="9653" width="5.6640625" customWidth="1"/>
    <col min="9654" max="9654" width="8.6640625" customWidth="1"/>
    <col min="9655" max="9655" width="4.6640625" customWidth="1"/>
    <col min="9656" max="9656" width="10.6640625" customWidth="1"/>
    <col min="9657" max="9657" width="4.6640625" customWidth="1"/>
    <col min="9658" max="9658" width="20.6640625" customWidth="1"/>
    <col min="9659" max="9660" width="5.6640625" customWidth="1"/>
    <col min="9661" max="9661" width="8.6640625" customWidth="1"/>
    <col min="9662" max="9662" width="4.6640625" customWidth="1"/>
    <col min="9663" max="9663" width="10.6640625" customWidth="1"/>
    <col min="9664" max="9664" width="4.6640625" customWidth="1"/>
    <col min="9665" max="9665" width="20.6640625" customWidth="1"/>
    <col min="9666" max="9667" width="5.6640625" customWidth="1"/>
    <col min="9668" max="9668" width="8.6640625" customWidth="1"/>
    <col min="9669" max="9669" width="4.6640625" customWidth="1"/>
    <col min="9670" max="9670" width="10.6640625" customWidth="1"/>
    <col min="9671" max="9671" width="5.6640625" customWidth="1"/>
    <col min="9672" max="9672" width="20.6640625" customWidth="1"/>
    <col min="9673" max="9673" width="7.6640625" customWidth="1"/>
    <col min="9674" max="9674" width="8.6640625" customWidth="1"/>
    <col min="9675" max="9675" width="7.6640625" customWidth="1"/>
    <col min="9676" max="9676" width="5.6640625" customWidth="1"/>
    <col min="9677" max="9677" width="20.6640625" customWidth="1"/>
    <col min="9678" max="9678" width="7.6640625" customWidth="1"/>
    <col min="9679" max="9679" width="8.6640625" customWidth="1"/>
    <col min="9680" max="9680" width="7.6640625" customWidth="1"/>
    <col min="9681" max="9681" width="8.6640625" customWidth="1"/>
    <col min="9682" max="9683" width="10.6640625" customWidth="1"/>
    <col min="9684" max="9684" width="4.6640625" customWidth="1"/>
    <col min="9685" max="9685" width="20.6640625" customWidth="1"/>
    <col min="9686" max="9689" width="5.6640625" customWidth="1"/>
    <col min="9690" max="9691" width="4.6640625" customWidth="1"/>
    <col min="9692" max="9692" width="20.6640625" customWidth="1"/>
    <col min="9693" max="9693" width="4.6640625" customWidth="1"/>
    <col min="9694" max="9694" width="20.6640625" customWidth="1"/>
    <col min="9695" max="9695" width="5.6640625" customWidth="1"/>
    <col min="9696" max="9696" width="20.6640625" customWidth="1"/>
    <col min="9697" max="9697" width="15.6640625" customWidth="1"/>
    <col min="9698" max="9701" width="8.6640625" customWidth="1"/>
    <col min="9702" max="9703" width="10.6640625" customWidth="1"/>
    <col min="9704" max="9706" width="8.6640625" customWidth="1"/>
    <col min="9707" max="9707" width="9.6640625" customWidth="1"/>
    <col min="9708" max="9708" width="8.6640625" customWidth="1"/>
    <col min="9709" max="9710" width="20.6640625" customWidth="1"/>
    <col min="9711" max="9714" width="8.6640625" customWidth="1"/>
    <col min="9715" max="9717" width="10.6640625" customWidth="1"/>
    <col min="9718" max="9721" width="10" customWidth="1"/>
    <col min="9722" max="9723" width="20.6640625" customWidth="1"/>
    <col min="9724" max="9727" width="7.6640625" customWidth="1"/>
    <col min="9728" max="9730" width="10.6640625" customWidth="1"/>
    <col min="9731" max="9734" width="10" customWidth="1"/>
    <col min="9735" max="9736" width="20.6640625" customWidth="1"/>
    <col min="9737" max="9740" width="7.6640625" customWidth="1"/>
    <col min="9741" max="9743" width="10.6640625" customWidth="1"/>
    <col min="9744" max="9747" width="10" customWidth="1"/>
    <col min="9748" max="9749" width="20.6640625" customWidth="1"/>
    <col min="9750" max="9753" width="7.6640625" customWidth="1"/>
    <col min="9754" max="9756" width="10.6640625" customWidth="1"/>
    <col min="9757" max="9762" width="10" customWidth="1"/>
    <col min="9763" max="9763" width="7.6640625" customWidth="1"/>
    <col min="9764" max="9765" width="10.6640625" customWidth="1"/>
    <col min="9766" max="9766" width="7.6640625" customWidth="1"/>
    <col min="9767" max="9772" width="10.6640625" customWidth="1"/>
    <col min="9773" max="9774" width="11.6640625" customWidth="1"/>
    <col min="9775" max="9776" width="10.6640625" customWidth="1"/>
    <col min="9777" max="9779" width="9.6640625" customWidth="1"/>
    <col min="9780" max="9780" width="12.5546875" bestFit="1" customWidth="1"/>
    <col min="9781" max="9781" width="9" customWidth="1"/>
    <col min="9782" max="9783" width="10.109375" bestFit="1" customWidth="1"/>
    <col min="9885" max="9885" width="5.6640625" customWidth="1"/>
    <col min="9886" max="9887" width="8.6640625" customWidth="1"/>
    <col min="9888" max="9888" width="4.6640625" customWidth="1"/>
    <col min="9889" max="9890" width="15.6640625" customWidth="1"/>
    <col min="9891" max="9891" width="5.6640625" customWidth="1"/>
    <col min="9892" max="9892" width="4.6640625" customWidth="1"/>
    <col min="9893" max="9893" width="20.6640625" customWidth="1"/>
    <col min="9894" max="9894" width="4.6640625" customWidth="1"/>
    <col min="9895" max="9895" width="5.6640625" customWidth="1"/>
    <col min="9896" max="9896" width="8.6640625" customWidth="1"/>
    <col min="9897" max="9897" width="4.6640625" customWidth="1"/>
    <col min="9898" max="9898" width="10.6640625" customWidth="1"/>
    <col min="9899" max="9899" width="4.6640625" customWidth="1"/>
    <col min="9900" max="9900" width="20.6640625" customWidth="1"/>
    <col min="9901" max="9902" width="5.6640625" customWidth="1"/>
    <col min="9903" max="9903" width="8.6640625" customWidth="1"/>
    <col min="9904" max="9904" width="4.6640625" customWidth="1"/>
    <col min="9905" max="9905" width="10.6640625" customWidth="1"/>
    <col min="9906" max="9906" width="4.6640625" customWidth="1"/>
    <col min="9907" max="9907" width="20.6640625" customWidth="1"/>
    <col min="9908" max="9909" width="5.6640625" customWidth="1"/>
    <col min="9910" max="9910" width="8.6640625" customWidth="1"/>
    <col min="9911" max="9911" width="4.6640625" customWidth="1"/>
    <col min="9912" max="9912" width="10.6640625" customWidth="1"/>
    <col min="9913" max="9913" width="4.6640625" customWidth="1"/>
    <col min="9914" max="9914" width="20.6640625" customWidth="1"/>
    <col min="9915" max="9916" width="5.6640625" customWidth="1"/>
    <col min="9917" max="9917" width="8.6640625" customWidth="1"/>
    <col min="9918" max="9918" width="4.6640625" customWidth="1"/>
    <col min="9919" max="9919" width="10.6640625" customWidth="1"/>
    <col min="9920" max="9920" width="4.6640625" customWidth="1"/>
    <col min="9921" max="9921" width="20.6640625" customWidth="1"/>
    <col min="9922" max="9923" width="5.6640625" customWidth="1"/>
    <col min="9924" max="9924" width="8.6640625" customWidth="1"/>
    <col min="9925" max="9925" width="4.6640625" customWidth="1"/>
    <col min="9926" max="9926" width="10.6640625" customWidth="1"/>
    <col min="9927" max="9927" width="5.6640625" customWidth="1"/>
    <col min="9928" max="9928" width="20.6640625" customWidth="1"/>
    <col min="9929" max="9929" width="7.6640625" customWidth="1"/>
    <col min="9930" max="9930" width="8.6640625" customWidth="1"/>
    <col min="9931" max="9931" width="7.6640625" customWidth="1"/>
    <col min="9932" max="9932" width="5.6640625" customWidth="1"/>
    <col min="9933" max="9933" width="20.6640625" customWidth="1"/>
    <col min="9934" max="9934" width="7.6640625" customWidth="1"/>
    <col min="9935" max="9935" width="8.6640625" customWidth="1"/>
    <col min="9936" max="9936" width="7.6640625" customWidth="1"/>
    <col min="9937" max="9937" width="8.6640625" customWidth="1"/>
    <col min="9938" max="9939" width="10.6640625" customWidth="1"/>
    <col min="9940" max="9940" width="4.6640625" customWidth="1"/>
    <col min="9941" max="9941" width="20.6640625" customWidth="1"/>
    <col min="9942" max="9945" width="5.6640625" customWidth="1"/>
    <col min="9946" max="9947" width="4.6640625" customWidth="1"/>
    <col min="9948" max="9948" width="20.6640625" customWidth="1"/>
    <col min="9949" max="9949" width="4.6640625" customWidth="1"/>
    <col min="9950" max="9950" width="20.6640625" customWidth="1"/>
    <col min="9951" max="9951" width="5.6640625" customWidth="1"/>
    <col min="9952" max="9952" width="20.6640625" customWidth="1"/>
    <col min="9953" max="9953" width="15.6640625" customWidth="1"/>
    <col min="9954" max="9957" width="8.6640625" customWidth="1"/>
    <col min="9958" max="9959" width="10.6640625" customWidth="1"/>
    <col min="9960" max="9962" width="8.6640625" customWidth="1"/>
    <col min="9963" max="9963" width="9.6640625" customWidth="1"/>
    <col min="9964" max="9964" width="8.6640625" customWidth="1"/>
    <col min="9965" max="9966" width="20.6640625" customWidth="1"/>
    <col min="9967" max="9970" width="8.6640625" customWidth="1"/>
    <col min="9971" max="9973" width="10.6640625" customWidth="1"/>
    <col min="9974" max="9977" width="10" customWidth="1"/>
    <col min="9978" max="9979" width="20.6640625" customWidth="1"/>
    <col min="9980" max="9983" width="7.6640625" customWidth="1"/>
    <col min="9984" max="9986" width="10.6640625" customWidth="1"/>
    <col min="9987" max="9990" width="10" customWidth="1"/>
    <col min="9991" max="9992" width="20.6640625" customWidth="1"/>
    <col min="9993" max="9996" width="7.6640625" customWidth="1"/>
    <col min="9997" max="9999" width="10.6640625" customWidth="1"/>
    <col min="10000" max="10003" width="10" customWidth="1"/>
    <col min="10004" max="10005" width="20.6640625" customWidth="1"/>
    <col min="10006" max="10009" width="7.6640625" customWidth="1"/>
    <col min="10010" max="10012" width="10.6640625" customWidth="1"/>
    <col min="10013" max="10018" width="10" customWidth="1"/>
    <col min="10019" max="10019" width="7.6640625" customWidth="1"/>
    <col min="10020" max="10021" width="10.6640625" customWidth="1"/>
    <col min="10022" max="10022" width="7.6640625" customWidth="1"/>
    <col min="10023" max="10028" width="10.6640625" customWidth="1"/>
    <col min="10029" max="10030" width="11.6640625" customWidth="1"/>
    <col min="10031" max="10032" width="10.6640625" customWidth="1"/>
    <col min="10033" max="10035" width="9.6640625" customWidth="1"/>
    <col min="10036" max="10036" width="12.5546875" bestFit="1" customWidth="1"/>
    <col min="10037" max="10037" width="9" customWidth="1"/>
    <col min="10038" max="10039" width="10.109375" bestFit="1" customWidth="1"/>
    <col min="10141" max="10141" width="5.6640625" customWidth="1"/>
    <col min="10142" max="10143" width="8.6640625" customWidth="1"/>
    <col min="10144" max="10144" width="4.6640625" customWidth="1"/>
    <col min="10145" max="10146" width="15.6640625" customWidth="1"/>
    <col min="10147" max="10147" width="5.6640625" customWidth="1"/>
    <col min="10148" max="10148" width="4.6640625" customWidth="1"/>
    <col min="10149" max="10149" width="20.6640625" customWidth="1"/>
    <col min="10150" max="10150" width="4.6640625" customWidth="1"/>
    <col min="10151" max="10151" width="5.6640625" customWidth="1"/>
    <col min="10152" max="10152" width="8.6640625" customWidth="1"/>
    <col min="10153" max="10153" width="4.6640625" customWidth="1"/>
    <col min="10154" max="10154" width="10.6640625" customWidth="1"/>
    <col min="10155" max="10155" width="4.6640625" customWidth="1"/>
    <col min="10156" max="10156" width="20.6640625" customWidth="1"/>
    <col min="10157" max="10158" width="5.6640625" customWidth="1"/>
    <col min="10159" max="10159" width="8.6640625" customWidth="1"/>
    <col min="10160" max="10160" width="4.6640625" customWidth="1"/>
    <col min="10161" max="10161" width="10.6640625" customWidth="1"/>
    <col min="10162" max="10162" width="4.6640625" customWidth="1"/>
    <col min="10163" max="10163" width="20.6640625" customWidth="1"/>
    <col min="10164" max="10165" width="5.6640625" customWidth="1"/>
    <col min="10166" max="10166" width="8.6640625" customWidth="1"/>
    <col min="10167" max="10167" width="4.6640625" customWidth="1"/>
    <col min="10168" max="10168" width="10.6640625" customWidth="1"/>
    <col min="10169" max="10169" width="4.6640625" customWidth="1"/>
    <col min="10170" max="10170" width="20.6640625" customWidth="1"/>
    <col min="10171" max="10172" width="5.6640625" customWidth="1"/>
    <col min="10173" max="10173" width="8.6640625" customWidth="1"/>
    <col min="10174" max="10174" width="4.6640625" customWidth="1"/>
    <col min="10175" max="10175" width="10.6640625" customWidth="1"/>
    <col min="10176" max="10176" width="4.6640625" customWidth="1"/>
    <col min="10177" max="10177" width="20.6640625" customWidth="1"/>
    <col min="10178" max="10179" width="5.6640625" customWidth="1"/>
    <col min="10180" max="10180" width="8.6640625" customWidth="1"/>
    <col min="10181" max="10181" width="4.6640625" customWidth="1"/>
    <col min="10182" max="10182" width="10.6640625" customWidth="1"/>
    <col min="10183" max="10183" width="5.6640625" customWidth="1"/>
    <col min="10184" max="10184" width="20.6640625" customWidth="1"/>
    <col min="10185" max="10185" width="7.6640625" customWidth="1"/>
    <col min="10186" max="10186" width="8.6640625" customWidth="1"/>
    <col min="10187" max="10187" width="7.6640625" customWidth="1"/>
    <col min="10188" max="10188" width="5.6640625" customWidth="1"/>
    <col min="10189" max="10189" width="20.6640625" customWidth="1"/>
    <col min="10190" max="10190" width="7.6640625" customWidth="1"/>
    <col min="10191" max="10191" width="8.6640625" customWidth="1"/>
    <col min="10192" max="10192" width="7.6640625" customWidth="1"/>
    <col min="10193" max="10193" width="8.6640625" customWidth="1"/>
    <col min="10194" max="10195" width="10.6640625" customWidth="1"/>
    <col min="10196" max="10196" width="4.6640625" customWidth="1"/>
    <col min="10197" max="10197" width="20.6640625" customWidth="1"/>
    <col min="10198" max="10201" width="5.6640625" customWidth="1"/>
    <col min="10202" max="10203" width="4.6640625" customWidth="1"/>
    <col min="10204" max="10204" width="20.6640625" customWidth="1"/>
    <col min="10205" max="10205" width="4.6640625" customWidth="1"/>
    <col min="10206" max="10206" width="20.6640625" customWidth="1"/>
    <col min="10207" max="10207" width="5.6640625" customWidth="1"/>
    <col min="10208" max="10208" width="20.6640625" customWidth="1"/>
    <col min="10209" max="10209" width="15.6640625" customWidth="1"/>
    <col min="10210" max="10213" width="8.6640625" customWidth="1"/>
    <col min="10214" max="10215" width="10.6640625" customWidth="1"/>
    <col min="10216" max="10218" width="8.6640625" customWidth="1"/>
    <col min="10219" max="10219" width="9.6640625" customWidth="1"/>
    <col min="10220" max="10220" width="8.6640625" customWidth="1"/>
    <col min="10221" max="10222" width="20.6640625" customWidth="1"/>
    <col min="10223" max="10226" width="8.6640625" customWidth="1"/>
    <col min="10227" max="10229" width="10.6640625" customWidth="1"/>
    <col min="10230" max="10233" width="10" customWidth="1"/>
    <col min="10234" max="10235" width="20.6640625" customWidth="1"/>
    <col min="10236" max="10239" width="7.6640625" customWidth="1"/>
    <col min="10240" max="10242" width="10.6640625" customWidth="1"/>
    <col min="10243" max="10246" width="10" customWidth="1"/>
    <col min="10247" max="10248" width="20.6640625" customWidth="1"/>
    <col min="10249" max="10252" width="7.6640625" customWidth="1"/>
    <col min="10253" max="10255" width="10.6640625" customWidth="1"/>
    <col min="10256" max="10259" width="10" customWidth="1"/>
    <col min="10260" max="10261" width="20.6640625" customWidth="1"/>
    <col min="10262" max="10265" width="7.6640625" customWidth="1"/>
    <col min="10266" max="10268" width="10.6640625" customWidth="1"/>
    <col min="10269" max="10274" width="10" customWidth="1"/>
    <col min="10275" max="10275" width="7.6640625" customWidth="1"/>
    <col min="10276" max="10277" width="10.6640625" customWidth="1"/>
    <col min="10278" max="10278" width="7.6640625" customWidth="1"/>
    <col min="10279" max="10284" width="10.6640625" customWidth="1"/>
    <col min="10285" max="10286" width="11.6640625" customWidth="1"/>
    <col min="10287" max="10288" width="10.6640625" customWidth="1"/>
    <col min="10289" max="10291" width="9.6640625" customWidth="1"/>
    <col min="10292" max="10292" width="12.5546875" bestFit="1" customWidth="1"/>
    <col min="10293" max="10293" width="9" customWidth="1"/>
    <col min="10294" max="10295" width="10.109375" bestFit="1" customWidth="1"/>
    <col min="10397" max="10397" width="5.6640625" customWidth="1"/>
    <col min="10398" max="10399" width="8.6640625" customWidth="1"/>
    <col min="10400" max="10400" width="4.6640625" customWidth="1"/>
    <col min="10401" max="10402" width="15.6640625" customWidth="1"/>
    <col min="10403" max="10403" width="5.6640625" customWidth="1"/>
    <col min="10404" max="10404" width="4.6640625" customWidth="1"/>
    <col min="10405" max="10405" width="20.6640625" customWidth="1"/>
    <col min="10406" max="10406" width="4.6640625" customWidth="1"/>
    <col min="10407" max="10407" width="5.6640625" customWidth="1"/>
    <col min="10408" max="10408" width="8.6640625" customWidth="1"/>
    <col min="10409" max="10409" width="4.6640625" customWidth="1"/>
    <col min="10410" max="10410" width="10.6640625" customWidth="1"/>
    <col min="10411" max="10411" width="4.6640625" customWidth="1"/>
    <col min="10412" max="10412" width="20.6640625" customWidth="1"/>
    <col min="10413" max="10414" width="5.6640625" customWidth="1"/>
    <col min="10415" max="10415" width="8.6640625" customWidth="1"/>
    <col min="10416" max="10416" width="4.6640625" customWidth="1"/>
    <col min="10417" max="10417" width="10.6640625" customWidth="1"/>
    <col min="10418" max="10418" width="4.6640625" customWidth="1"/>
    <col min="10419" max="10419" width="20.6640625" customWidth="1"/>
    <col min="10420" max="10421" width="5.6640625" customWidth="1"/>
    <col min="10422" max="10422" width="8.6640625" customWidth="1"/>
    <col min="10423" max="10423" width="4.6640625" customWidth="1"/>
    <col min="10424" max="10424" width="10.6640625" customWidth="1"/>
    <col min="10425" max="10425" width="4.6640625" customWidth="1"/>
    <col min="10426" max="10426" width="20.6640625" customWidth="1"/>
    <col min="10427" max="10428" width="5.6640625" customWidth="1"/>
    <col min="10429" max="10429" width="8.6640625" customWidth="1"/>
    <col min="10430" max="10430" width="4.6640625" customWidth="1"/>
    <col min="10431" max="10431" width="10.6640625" customWidth="1"/>
    <col min="10432" max="10432" width="4.6640625" customWidth="1"/>
    <col min="10433" max="10433" width="20.6640625" customWidth="1"/>
    <col min="10434" max="10435" width="5.6640625" customWidth="1"/>
    <col min="10436" max="10436" width="8.6640625" customWidth="1"/>
    <col min="10437" max="10437" width="4.6640625" customWidth="1"/>
    <col min="10438" max="10438" width="10.6640625" customWidth="1"/>
    <col min="10439" max="10439" width="5.6640625" customWidth="1"/>
    <col min="10440" max="10440" width="20.6640625" customWidth="1"/>
    <col min="10441" max="10441" width="7.6640625" customWidth="1"/>
    <col min="10442" max="10442" width="8.6640625" customWidth="1"/>
    <col min="10443" max="10443" width="7.6640625" customWidth="1"/>
    <col min="10444" max="10444" width="5.6640625" customWidth="1"/>
    <col min="10445" max="10445" width="20.6640625" customWidth="1"/>
    <col min="10446" max="10446" width="7.6640625" customWidth="1"/>
    <col min="10447" max="10447" width="8.6640625" customWidth="1"/>
    <col min="10448" max="10448" width="7.6640625" customWidth="1"/>
    <col min="10449" max="10449" width="8.6640625" customWidth="1"/>
    <col min="10450" max="10451" width="10.6640625" customWidth="1"/>
    <col min="10452" max="10452" width="4.6640625" customWidth="1"/>
    <col min="10453" max="10453" width="20.6640625" customWidth="1"/>
    <col min="10454" max="10457" width="5.6640625" customWidth="1"/>
    <col min="10458" max="10459" width="4.6640625" customWidth="1"/>
    <col min="10460" max="10460" width="20.6640625" customWidth="1"/>
    <col min="10461" max="10461" width="4.6640625" customWidth="1"/>
    <col min="10462" max="10462" width="20.6640625" customWidth="1"/>
    <col min="10463" max="10463" width="5.6640625" customWidth="1"/>
    <col min="10464" max="10464" width="20.6640625" customWidth="1"/>
    <col min="10465" max="10465" width="15.6640625" customWidth="1"/>
    <col min="10466" max="10469" width="8.6640625" customWidth="1"/>
    <col min="10470" max="10471" width="10.6640625" customWidth="1"/>
    <col min="10472" max="10474" width="8.6640625" customWidth="1"/>
    <col min="10475" max="10475" width="9.6640625" customWidth="1"/>
    <col min="10476" max="10476" width="8.6640625" customWidth="1"/>
    <col min="10477" max="10478" width="20.6640625" customWidth="1"/>
    <col min="10479" max="10482" width="8.6640625" customWidth="1"/>
    <col min="10483" max="10485" width="10.6640625" customWidth="1"/>
    <col min="10486" max="10489" width="10" customWidth="1"/>
    <col min="10490" max="10491" width="20.6640625" customWidth="1"/>
    <col min="10492" max="10495" width="7.6640625" customWidth="1"/>
    <col min="10496" max="10498" width="10.6640625" customWidth="1"/>
    <col min="10499" max="10502" width="10" customWidth="1"/>
    <col min="10503" max="10504" width="20.6640625" customWidth="1"/>
    <col min="10505" max="10508" width="7.6640625" customWidth="1"/>
    <col min="10509" max="10511" width="10.6640625" customWidth="1"/>
    <col min="10512" max="10515" width="10" customWidth="1"/>
    <col min="10516" max="10517" width="20.6640625" customWidth="1"/>
    <col min="10518" max="10521" width="7.6640625" customWidth="1"/>
    <col min="10522" max="10524" width="10.6640625" customWidth="1"/>
    <col min="10525" max="10530" width="10" customWidth="1"/>
    <col min="10531" max="10531" width="7.6640625" customWidth="1"/>
    <col min="10532" max="10533" width="10.6640625" customWidth="1"/>
    <col min="10534" max="10534" width="7.6640625" customWidth="1"/>
    <col min="10535" max="10540" width="10.6640625" customWidth="1"/>
    <col min="10541" max="10542" width="11.6640625" customWidth="1"/>
    <col min="10543" max="10544" width="10.6640625" customWidth="1"/>
    <col min="10545" max="10547" width="9.6640625" customWidth="1"/>
    <col min="10548" max="10548" width="12.5546875" bestFit="1" customWidth="1"/>
    <col min="10549" max="10549" width="9" customWidth="1"/>
    <col min="10550" max="10551" width="10.109375" bestFit="1" customWidth="1"/>
    <col min="10653" max="10653" width="5.6640625" customWidth="1"/>
    <col min="10654" max="10655" width="8.6640625" customWidth="1"/>
    <col min="10656" max="10656" width="4.6640625" customWidth="1"/>
    <col min="10657" max="10658" width="15.6640625" customWidth="1"/>
    <col min="10659" max="10659" width="5.6640625" customWidth="1"/>
    <col min="10660" max="10660" width="4.6640625" customWidth="1"/>
    <col min="10661" max="10661" width="20.6640625" customWidth="1"/>
    <col min="10662" max="10662" width="4.6640625" customWidth="1"/>
    <col min="10663" max="10663" width="5.6640625" customWidth="1"/>
    <col min="10664" max="10664" width="8.6640625" customWidth="1"/>
    <col min="10665" max="10665" width="4.6640625" customWidth="1"/>
    <col min="10666" max="10666" width="10.6640625" customWidth="1"/>
    <col min="10667" max="10667" width="4.6640625" customWidth="1"/>
    <col min="10668" max="10668" width="20.6640625" customWidth="1"/>
    <col min="10669" max="10670" width="5.6640625" customWidth="1"/>
    <col min="10671" max="10671" width="8.6640625" customWidth="1"/>
    <col min="10672" max="10672" width="4.6640625" customWidth="1"/>
    <col min="10673" max="10673" width="10.6640625" customWidth="1"/>
    <col min="10674" max="10674" width="4.6640625" customWidth="1"/>
    <col min="10675" max="10675" width="20.6640625" customWidth="1"/>
    <col min="10676" max="10677" width="5.6640625" customWidth="1"/>
    <col min="10678" max="10678" width="8.6640625" customWidth="1"/>
    <col min="10679" max="10679" width="4.6640625" customWidth="1"/>
    <col min="10680" max="10680" width="10.6640625" customWidth="1"/>
    <col min="10681" max="10681" width="4.6640625" customWidth="1"/>
    <col min="10682" max="10682" width="20.6640625" customWidth="1"/>
    <col min="10683" max="10684" width="5.6640625" customWidth="1"/>
    <col min="10685" max="10685" width="8.6640625" customWidth="1"/>
    <col min="10686" max="10686" width="4.6640625" customWidth="1"/>
    <col min="10687" max="10687" width="10.6640625" customWidth="1"/>
    <col min="10688" max="10688" width="4.6640625" customWidth="1"/>
    <col min="10689" max="10689" width="20.6640625" customWidth="1"/>
    <col min="10690" max="10691" width="5.6640625" customWidth="1"/>
    <col min="10692" max="10692" width="8.6640625" customWidth="1"/>
    <col min="10693" max="10693" width="4.6640625" customWidth="1"/>
    <col min="10694" max="10694" width="10.6640625" customWidth="1"/>
    <col min="10695" max="10695" width="5.6640625" customWidth="1"/>
    <col min="10696" max="10696" width="20.6640625" customWidth="1"/>
    <col min="10697" max="10697" width="7.6640625" customWidth="1"/>
    <col min="10698" max="10698" width="8.6640625" customWidth="1"/>
    <col min="10699" max="10699" width="7.6640625" customWidth="1"/>
    <col min="10700" max="10700" width="5.6640625" customWidth="1"/>
    <col min="10701" max="10701" width="20.6640625" customWidth="1"/>
    <col min="10702" max="10702" width="7.6640625" customWidth="1"/>
    <col min="10703" max="10703" width="8.6640625" customWidth="1"/>
    <col min="10704" max="10704" width="7.6640625" customWidth="1"/>
    <col min="10705" max="10705" width="8.6640625" customWidth="1"/>
    <col min="10706" max="10707" width="10.6640625" customWidth="1"/>
    <col min="10708" max="10708" width="4.6640625" customWidth="1"/>
    <col min="10709" max="10709" width="20.6640625" customWidth="1"/>
    <col min="10710" max="10713" width="5.6640625" customWidth="1"/>
    <col min="10714" max="10715" width="4.6640625" customWidth="1"/>
    <col min="10716" max="10716" width="20.6640625" customWidth="1"/>
    <col min="10717" max="10717" width="4.6640625" customWidth="1"/>
    <col min="10718" max="10718" width="20.6640625" customWidth="1"/>
    <col min="10719" max="10719" width="5.6640625" customWidth="1"/>
    <col min="10720" max="10720" width="20.6640625" customWidth="1"/>
    <col min="10721" max="10721" width="15.6640625" customWidth="1"/>
    <col min="10722" max="10725" width="8.6640625" customWidth="1"/>
    <col min="10726" max="10727" width="10.6640625" customWidth="1"/>
    <col min="10728" max="10730" width="8.6640625" customWidth="1"/>
    <col min="10731" max="10731" width="9.6640625" customWidth="1"/>
    <col min="10732" max="10732" width="8.6640625" customWidth="1"/>
    <col min="10733" max="10734" width="20.6640625" customWidth="1"/>
    <col min="10735" max="10738" width="8.6640625" customWidth="1"/>
    <col min="10739" max="10741" width="10.6640625" customWidth="1"/>
    <col min="10742" max="10745" width="10" customWidth="1"/>
    <col min="10746" max="10747" width="20.6640625" customWidth="1"/>
    <col min="10748" max="10751" width="7.6640625" customWidth="1"/>
    <col min="10752" max="10754" width="10.6640625" customWidth="1"/>
    <col min="10755" max="10758" width="10" customWidth="1"/>
    <col min="10759" max="10760" width="20.6640625" customWidth="1"/>
    <col min="10761" max="10764" width="7.6640625" customWidth="1"/>
    <col min="10765" max="10767" width="10.6640625" customWidth="1"/>
    <col min="10768" max="10771" width="10" customWidth="1"/>
    <col min="10772" max="10773" width="20.6640625" customWidth="1"/>
    <col min="10774" max="10777" width="7.6640625" customWidth="1"/>
    <col min="10778" max="10780" width="10.6640625" customWidth="1"/>
    <col min="10781" max="10786" width="10" customWidth="1"/>
    <col min="10787" max="10787" width="7.6640625" customWidth="1"/>
    <col min="10788" max="10789" width="10.6640625" customWidth="1"/>
    <col min="10790" max="10790" width="7.6640625" customWidth="1"/>
    <col min="10791" max="10796" width="10.6640625" customWidth="1"/>
    <col min="10797" max="10798" width="11.6640625" customWidth="1"/>
    <col min="10799" max="10800" width="10.6640625" customWidth="1"/>
    <col min="10801" max="10803" width="9.6640625" customWidth="1"/>
    <col min="10804" max="10804" width="12.5546875" bestFit="1" customWidth="1"/>
    <col min="10805" max="10805" width="9" customWidth="1"/>
    <col min="10806" max="10807" width="10.109375" bestFit="1" customWidth="1"/>
    <col min="10909" max="10909" width="5.6640625" customWidth="1"/>
    <col min="10910" max="10911" width="8.6640625" customWidth="1"/>
    <col min="10912" max="10912" width="4.6640625" customWidth="1"/>
    <col min="10913" max="10914" width="15.6640625" customWidth="1"/>
    <col min="10915" max="10915" width="5.6640625" customWidth="1"/>
    <col min="10916" max="10916" width="4.6640625" customWidth="1"/>
    <col min="10917" max="10917" width="20.6640625" customWidth="1"/>
    <col min="10918" max="10918" width="4.6640625" customWidth="1"/>
    <col min="10919" max="10919" width="5.6640625" customWidth="1"/>
    <col min="10920" max="10920" width="8.6640625" customWidth="1"/>
    <col min="10921" max="10921" width="4.6640625" customWidth="1"/>
    <col min="10922" max="10922" width="10.6640625" customWidth="1"/>
    <col min="10923" max="10923" width="4.6640625" customWidth="1"/>
    <col min="10924" max="10924" width="20.6640625" customWidth="1"/>
    <col min="10925" max="10926" width="5.6640625" customWidth="1"/>
    <col min="10927" max="10927" width="8.6640625" customWidth="1"/>
    <col min="10928" max="10928" width="4.6640625" customWidth="1"/>
    <col min="10929" max="10929" width="10.6640625" customWidth="1"/>
    <col min="10930" max="10930" width="4.6640625" customWidth="1"/>
    <col min="10931" max="10931" width="20.6640625" customWidth="1"/>
    <col min="10932" max="10933" width="5.6640625" customWidth="1"/>
    <col min="10934" max="10934" width="8.6640625" customWidth="1"/>
    <col min="10935" max="10935" width="4.6640625" customWidth="1"/>
    <col min="10936" max="10936" width="10.6640625" customWidth="1"/>
    <col min="10937" max="10937" width="4.6640625" customWidth="1"/>
    <col min="10938" max="10938" width="20.6640625" customWidth="1"/>
    <col min="10939" max="10940" width="5.6640625" customWidth="1"/>
    <col min="10941" max="10941" width="8.6640625" customWidth="1"/>
    <col min="10942" max="10942" width="4.6640625" customWidth="1"/>
    <col min="10943" max="10943" width="10.6640625" customWidth="1"/>
    <col min="10944" max="10944" width="4.6640625" customWidth="1"/>
    <col min="10945" max="10945" width="20.6640625" customWidth="1"/>
    <col min="10946" max="10947" width="5.6640625" customWidth="1"/>
    <col min="10948" max="10948" width="8.6640625" customWidth="1"/>
    <col min="10949" max="10949" width="4.6640625" customWidth="1"/>
    <col min="10950" max="10950" width="10.6640625" customWidth="1"/>
    <col min="10951" max="10951" width="5.6640625" customWidth="1"/>
    <col min="10952" max="10952" width="20.6640625" customWidth="1"/>
    <col min="10953" max="10953" width="7.6640625" customWidth="1"/>
    <col min="10954" max="10954" width="8.6640625" customWidth="1"/>
    <col min="10955" max="10955" width="7.6640625" customWidth="1"/>
    <col min="10956" max="10956" width="5.6640625" customWidth="1"/>
    <col min="10957" max="10957" width="20.6640625" customWidth="1"/>
    <col min="10958" max="10958" width="7.6640625" customWidth="1"/>
    <col min="10959" max="10959" width="8.6640625" customWidth="1"/>
    <col min="10960" max="10960" width="7.6640625" customWidth="1"/>
    <col min="10961" max="10961" width="8.6640625" customWidth="1"/>
    <col min="10962" max="10963" width="10.6640625" customWidth="1"/>
    <col min="10964" max="10964" width="4.6640625" customWidth="1"/>
    <col min="10965" max="10965" width="20.6640625" customWidth="1"/>
    <col min="10966" max="10969" width="5.6640625" customWidth="1"/>
    <col min="10970" max="10971" width="4.6640625" customWidth="1"/>
    <col min="10972" max="10972" width="20.6640625" customWidth="1"/>
    <col min="10973" max="10973" width="4.6640625" customWidth="1"/>
    <col min="10974" max="10974" width="20.6640625" customWidth="1"/>
    <col min="10975" max="10975" width="5.6640625" customWidth="1"/>
    <col min="10976" max="10976" width="20.6640625" customWidth="1"/>
    <col min="10977" max="10977" width="15.6640625" customWidth="1"/>
    <col min="10978" max="10981" width="8.6640625" customWidth="1"/>
    <col min="10982" max="10983" width="10.6640625" customWidth="1"/>
    <col min="10984" max="10986" width="8.6640625" customWidth="1"/>
    <col min="10987" max="10987" width="9.6640625" customWidth="1"/>
    <col min="10988" max="10988" width="8.6640625" customWidth="1"/>
    <col min="10989" max="10990" width="20.6640625" customWidth="1"/>
    <col min="10991" max="10994" width="8.6640625" customWidth="1"/>
    <col min="10995" max="10997" width="10.6640625" customWidth="1"/>
    <col min="10998" max="11001" width="10" customWidth="1"/>
    <col min="11002" max="11003" width="20.6640625" customWidth="1"/>
    <col min="11004" max="11007" width="7.6640625" customWidth="1"/>
    <col min="11008" max="11010" width="10.6640625" customWidth="1"/>
    <col min="11011" max="11014" width="10" customWidth="1"/>
    <col min="11015" max="11016" width="20.6640625" customWidth="1"/>
    <col min="11017" max="11020" width="7.6640625" customWidth="1"/>
    <col min="11021" max="11023" width="10.6640625" customWidth="1"/>
    <col min="11024" max="11027" width="10" customWidth="1"/>
    <col min="11028" max="11029" width="20.6640625" customWidth="1"/>
    <col min="11030" max="11033" width="7.6640625" customWidth="1"/>
    <col min="11034" max="11036" width="10.6640625" customWidth="1"/>
    <col min="11037" max="11042" width="10" customWidth="1"/>
    <col min="11043" max="11043" width="7.6640625" customWidth="1"/>
    <col min="11044" max="11045" width="10.6640625" customWidth="1"/>
    <col min="11046" max="11046" width="7.6640625" customWidth="1"/>
    <col min="11047" max="11052" width="10.6640625" customWidth="1"/>
    <col min="11053" max="11054" width="11.6640625" customWidth="1"/>
    <col min="11055" max="11056" width="10.6640625" customWidth="1"/>
    <col min="11057" max="11059" width="9.6640625" customWidth="1"/>
    <col min="11060" max="11060" width="12.5546875" bestFit="1" customWidth="1"/>
    <col min="11061" max="11061" width="9" customWidth="1"/>
    <col min="11062" max="11063" width="10.109375" bestFit="1" customWidth="1"/>
    <col min="11165" max="11165" width="5.6640625" customWidth="1"/>
    <col min="11166" max="11167" width="8.6640625" customWidth="1"/>
    <col min="11168" max="11168" width="4.6640625" customWidth="1"/>
    <col min="11169" max="11170" width="15.6640625" customWidth="1"/>
    <col min="11171" max="11171" width="5.6640625" customWidth="1"/>
    <col min="11172" max="11172" width="4.6640625" customWidth="1"/>
    <col min="11173" max="11173" width="20.6640625" customWidth="1"/>
    <col min="11174" max="11174" width="4.6640625" customWidth="1"/>
    <col min="11175" max="11175" width="5.6640625" customWidth="1"/>
    <col min="11176" max="11176" width="8.6640625" customWidth="1"/>
    <col min="11177" max="11177" width="4.6640625" customWidth="1"/>
    <col min="11178" max="11178" width="10.6640625" customWidth="1"/>
    <col min="11179" max="11179" width="4.6640625" customWidth="1"/>
    <col min="11180" max="11180" width="20.6640625" customWidth="1"/>
    <col min="11181" max="11182" width="5.6640625" customWidth="1"/>
    <col min="11183" max="11183" width="8.6640625" customWidth="1"/>
    <col min="11184" max="11184" width="4.6640625" customWidth="1"/>
    <col min="11185" max="11185" width="10.6640625" customWidth="1"/>
    <col min="11186" max="11186" width="4.6640625" customWidth="1"/>
    <col min="11187" max="11187" width="20.6640625" customWidth="1"/>
    <col min="11188" max="11189" width="5.6640625" customWidth="1"/>
    <col min="11190" max="11190" width="8.6640625" customWidth="1"/>
    <col min="11191" max="11191" width="4.6640625" customWidth="1"/>
    <col min="11192" max="11192" width="10.6640625" customWidth="1"/>
    <col min="11193" max="11193" width="4.6640625" customWidth="1"/>
    <col min="11194" max="11194" width="20.6640625" customWidth="1"/>
    <col min="11195" max="11196" width="5.6640625" customWidth="1"/>
    <col min="11197" max="11197" width="8.6640625" customWidth="1"/>
    <col min="11198" max="11198" width="4.6640625" customWidth="1"/>
    <col min="11199" max="11199" width="10.6640625" customWidth="1"/>
    <col min="11200" max="11200" width="4.6640625" customWidth="1"/>
    <col min="11201" max="11201" width="20.6640625" customWidth="1"/>
    <col min="11202" max="11203" width="5.6640625" customWidth="1"/>
    <col min="11204" max="11204" width="8.6640625" customWidth="1"/>
    <col min="11205" max="11205" width="4.6640625" customWidth="1"/>
    <col min="11206" max="11206" width="10.6640625" customWidth="1"/>
    <col min="11207" max="11207" width="5.6640625" customWidth="1"/>
    <col min="11208" max="11208" width="20.6640625" customWidth="1"/>
    <col min="11209" max="11209" width="7.6640625" customWidth="1"/>
    <col min="11210" max="11210" width="8.6640625" customWidth="1"/>
    <col min="11211" max="11211" width="7.6640625" customWidth="1"/>
    <col min="11212" max="11212" width="5.6640625" customWidth="1"/>
    <col min="11213" max="11213" width="20.6640625" customWidth="1"/>
    <col min="11214" max="11214" width="7.6640625" customWidth="1"/>
    <col min="11215" max="11215" width="8.6640625" customWidth="1"/>
    <col min="11216" max="11216" width="7.6640625" customWidth="1"/>
    <col min="11217" max="11217" width="8.6640625" customWidth="1"/>
    <col min="11218" max="11219" width="10.6640625" customWidth="1"/>
    <col min="11220" max="11220" width="4.6640625" customWidth="1"/>
    <col min="11221" max="11221" width="20.6640625" customWidth="1"/>
    <col min="11222" max="11225" width="5.6640625" customWidth="1"/>
    <col min="11226" max="11227" width="4.6640625" customWidth="1"/>
    <col min="11228" max="11228" width="20.6640625" customWidth="1"/>
    <col min="11229" max="11229" width="4.6640625" customWidth="1"/>
    <col min="11230" max="11230" width="20.6640625" customWidth="1"/>
    <col min="11231" max="11231" width="5.6640625" customWidth="1"/>
    <col min="11232" max="11232" width="20.6640625" customWidth="1"/>
    <col min="11233" max="11233" width="15.6640625" customWidth="1"/>
    <col min="11234" max="11237" width="8.6640625" customWidth="1"/>
    <col min="11238" max="11239" width="10.6640625" customWidth="1"/>
    <col min="11240" max="11242" width="8.6640625" customWidth="1"/>
    <col min="11243" max="11243" width="9.6640625" customWidth="1"/>
    <col min="11244" max="11244" width="8.6640625" customWidth="1"/>
    <col min="11245" max="11246" width="20.6640625" customWidth="1"/>
    <col min="11247" max="11250" width="8.6640625" customWidth="1"/>
    <col min="11251" max="11253" width="10.6640625" customWidth="1"/>
    <col min="11254" max="11257" width="10" customWidth="1"/>
    <col min="11258" max="11259" width="20.6640625" customWidth="1"/>
    <col min="11260" max="11263" width="7.6640625" customWidth="1"/>
    <col min="11264" max="11266" width="10.6640625" customWidth="1"/>
    <col min="11267" max="11270" width="10" customWidth="1"/>
    <col min="11271" max="11272" width="20.6640625" customWidth="1"/>
    <col min="11273" max="11276" width="7.6640625" customWidth="1"/>
    <col min="11277" max="11279" width="10.6640625" customWidth="1"/>
    <col min="11280" max="11283" width="10" customWidth="1"/>
    <col min="11284" max="11285" width="20.6640625" customWidth="1"/>
    <col min="11286" max="11289" width="7.6640625" customWidth="1"/>
    <col min="11290" max="11292" width="10.6640625" customWidth="1"/>
    <col min="11293" max="11298" width="10" customWidth="1"/>
    <col min="11299" max="11299" width="7.6640625" customWidth="1"/>
    <col min="11300" max="11301" width="10.6640625" customWidth="1"/>
    <col min="11302" max="11302" width="7.6640625" customWidth="1"/>
    <col min="11303" max="11308" width="10.6640625" customWidth="1"/>
    <col min="11309" max="11310" width="11.6640625" customWidth="1"/>
    <col min="11311" max="11312" width="10.6640625" customWidth="1"/>
    <col min="11313" max="11315" width="9.6640625" customWidth="1"/>
    <col min="11316" max="11316" width="12.5546875" bestFit="1" customWidth="1"/>
    <col min="11317" max="11317" width="9" customWidth="1"/>
    <col min="11318" max="11319" width="10.109375" bestFit="1" customWidth="1"/>
    <col min="11421" max="11421" width="5.6640625" customWidth="1"/>
    <col min="11422" max="11423" width="8.6640625" customWidth="1"/>
    <col min="11424" max="11424" width="4.6640625" customWidth="1"/>
    <col min="11425" max="11426" width="15.6640625" customWidth="1"/>
    <col min="11427" max="11427" width="5.6640625" customWidth="1"/>
    <col min="11428" max="11428" width="4.6640625" customWidth="1"/>
    <col min="11429" max="11429" width="20.6640625" customWidth="1"/>
    <col min="11430" max="11430" width="4.6640625" customWidth="1"/>
    <col min="11431" max="11431" width="5.6640625" customWidth="1"/>
    <col min="11432" max="11432" width="8.6640625" customWidth="1"/>
    <col min="11433" max="11433" width="4.6640625" customWidth="1"/>
    <col min="11434" max="11434" width="10.6640625" customWidth="1"/>
    <col min="11435" max="11435" width="4.6640625" customWidth="1"/>
    <col min="11436" max="11436" width="20.6640625" customWidth="1"/>
    <col min="11437" max="11438" width="5.6640625" customWidth="1"/>
    <col min="11439" max="11439" width="8.6640625" customWidth="1"/>
    <col min="11440" max="11440" width="4.6640625" customWidth="1"/>
    <col min="11441" max="11441" width="10.6640625" customWidth="1"/>
    <col min="11442" max="11442" width="4.6640625" customWidth="1"/>
    <col min="11443" max="11443" width="20.6640625" customWidth="1"/>
    <col min="11444" max="11445" width="5.6640625" customWidth="1"/>
    <col min="11446" max="11446" width="8.6640625" customWidth="1"/>
    <col min="11447" max="11447" width="4.6640625" customWidth="1"/>
    <col min="11448" max="11448" width="10.6640625" customWidth="1"/>
    <col min="11449" max="11449" width="4.6640625" customWidth="1"/>
    <col min="11450" max="11450" width="20.6640625" customWidth="1"/>
    <col min="11451" max="11452" width="5.6640625" customWidth="1"/>
    <col min="11453" max="11453" width="8.6640625" customWidth="1"/>
    <col min="11454" max="11454" width="4.6640625" customWidth="1"/>
    <col min="11455" max="11455" width="10.6640625" customWidth="1"/>
    <col min="11456" max="11456" width="4.6640625" customWidth="1"/>
    <col min="11457" max="11457" width="20.6640625" customWidth="1"/>
    <col min="11458" max="11459" width="5.6640625" customWidth="1"/>
    <col min="11460" max="11460" width="8.6640625" customWidth="1"/>
    <col min="11461" max="11461" width="4.6640625" customWidth="1"/>
    <col min="11462" max="11462" width="10.6640625" customWidth="1"/>
    <col min="11463" max="11463" width="5.6640625" customWidth="1"/>
    <col min="11464" max="11464" width="20.6640625" customWidth="1"/>
    <col min="11465" max="11465" width="7.6640625" customWidth="1"/>
    <col min="11466" max="11466" width="8.6640625" customWidth="1"/>
    <col min="11467" max="11467" width="7.6640625" customWidth="1"/>
    <col min="11468" max="11468" width="5.6640625" customWidth="1"/>
    <col min="11469" max="11469" width="20.6640625" customWidth="1"/>
    <col min="11470" max="11470" width="7.6640625" customWidth="1"/>
    <col min="11471" max="11471" width="8.6640625" customWidth="1"/>
    <col min="11472" max="11472" width="7.6640625" customWidth="1"/>
    <col min="11473" max="11473" width="8.6640625" customWidth="1"/>
    <col min="11474" max="11475" width="10.6640625" customWidth="1"/>
    <col min="11476" max="11476" width="4.6640625" customWidth="1"/>
    <col min="11477" max="11477" width="20.6640625" customWidth="1"/>
    <col min="11478" max="11481" width="5.6640625" customWidth="1"/>
    <col min="11482" max="11483" width="4.6640625" customWidth="1"/>
    <col min="11484" max="11484" width="20.6640625" customWidth="1"/>
    <col min="11485" max="11485" width="4.6640625" customWidth="1"/>
    <col min="11486" max="11486" width="20.6640625" customWidth="1"/>
    <col min="11487" max="11487" width="5.6640625" customWidth="1"/>
    <col min="11488" max="11488" width="20.6640625" customWidth="1"/>
    <col min="11489" max="11489" width="15.6640625" customWidth="1"/>
    <col min="11490" max="11493" width="8.6640625" customWidth="1"/>
    <col min="11494" max="11495" width="10.6640625" customWidth="1"/>
    <col min="11496" max="11498" width="8.6640625" customWidth="1"/>
    <col min="11499" max="11499" width="9.6640625" customWidth="1"/>
    <col min="11500" max="11500" width="8.6640625" customWidth="1"/>
    <col min="11501" max="11502" width="20.6640625" customWidth="1"/>
    <col min="11503" max="11506" width="8.6640625" customWidth="1"/>
    <col min="11507" max="11509" width="10.6640625" customWidth="1"/>
    <col min="11510" max="11513" width="10" customWidth="1"/>
    <col min="11514" max="11515" width="20.6640625" customWidth="1"/>
    <col min="11516" max="11519" width="7.6640625" customWidth="1"/>
    <col min="11520" max="11522" width="10.6640625" customWidth="1"/>
    <col min="11523" max="11526" width="10" customWidth="1"/>
    <col min="11527" max="11528" width="20.6640625" customWidth="1"/>
    <col min="11529" max="11532" width="7.6640625" customWidth="1"/>
    <col min="11533" max="11535" width="10.6640625" customWidth="1"/>
    <col min="11536" max="11539" width="10" customWidth="1"/>
    <col min="11540" max="11541" width="20.6640625" customWidth="1"/>
    <col min="11542" max="11545" width="7.6640625" customWidth="1"/>
    <col min="11546" max="11548" width="10.6640625" customWidth="1"/>
    <col min="11549" max="11554" width="10" customWidth="1"/>
    <col min="11555" max="11555" width="7.6640625" customWidth="1"/>
    <col min="11556" max="11557" width="10.6640625" customWidth="1"/>
    <col min="11558" max="11558" width="7.6640625" customWidth="1"/>
    <col min="11559" max="11564" width="10.6640625" customWidth="1"/>
    <col min="11565" max="11566" width="11.6640625" customWidth="1"/>
    <col min="11567" max="11568" width="10.6640625" customWidth="1"/>
    <col min="11569" max="11571" width="9.6640625" customWidth="1"/>
    <col min="11572" max="11572" width="12.5546875" bestFit="1" customWidth="1"/>
    <col min="11573" max="11573" width="9" customWidth="1"/>
    <col min="11574" max="11575" width="10.109375" bestFit="1" customWidth="1"/>
    <col min="11677" max="11677" width="5.6640625" customWidth="1"/>
    <col min="11678" max="11679" width="8.6640625" customWidth="1"/>
    <col min="11680" max="11680" width="4.6640625" customWidth="1"/>
    <col min="11681" max="11682" width="15.6640625" customWidth="1"/>
    <col min="11683" max="11683" width="5.6640625" customWidth="1"/>
    <col min="11684" max="11684" width="4.6640625" customWidth="1"/>
    <col min="11685" max="11685" width="20.6640625" customWidth="1"/>
    <col min="11686" max="11686" width="4.6640625" customWidth="1"/>
    <col min="11687" max="11687" width="5.6640625" customWidth="1"/>
    <col min="11688" max="11688" width="8.6640625" customWidth="1"/>
    <col min="11689" max="11689" width="4.6640625" customWidth="1"/>
    <col min="11690" max="11690" width="10.6640625" customWidth="1"/>
    <col min="11691" max="11691" width="4.6640625" customWidth="1"/>
    <col min="11692" max="11692" width="20.6640625" customWidth="1"/>
    <col min="11693" max="11694" width="5.6640625" customWidth="1"/>
    <col min="11695" max="11695" width="8.6640625" customWidth="1"/>
    <col min="11696" max="11696" width="4.6640625" customWidth="1"/>
    <col min="11697" max="11697" width="10.6640625" customWidth="1"/>
    <col min="11698" max="11698" width="4.6640625" customWidth="1"/>
    <col min="11699" max="11699" width="20.6640625" customWidth="1"/>
    <col min="11700" max="11701" width="5.6640625" customWidth="1"/>
    <col min="11702" max="11702" width="8.6640625" customWidth="1"/>
    <col min="11703" max="11703" width="4.6640625" customWidth="1"/>
    <col min="11704" max="11704" width="10.6640625" customWidth="1"/>
    <col min="11705" max="11705" width="4.6640625" customWidth="1"/>
    <col min="11706" max="11706" width="20.6640625" customWidth="1"/>
    <col min="11707" max="11708" width="5.6640625" customWidth="1"/>
    <col min="11709" max="11709" width="8.6640625" customWidth="1"/>
    <col min="11710" max="11710" width="4.6640625" customWidth="1"/>
    <col min="11711" max="11711" width="10.6640625" customWidth="1"/>
    <col min="11712" max="11712" width="4.6640625" customWidth="1"/>
    <col min="11713" max="11713" width="20.6640625" customWidth="1"/>
    <col min="11714" max="11715" width="5.6640625" customWidth="1"/>
    <col min="11716" max="11716" width="8.6640625" customWidth="1"/>
    <col min="11717" max="11717" width="4.6640625" customWidth="1"/>
    <col min="11718" max="11718" width="10.6640625" customWidth="1"/>
    <col min="11719" max="11719" width="5.6640625" customWidth="1"/>
    <col min="11720" max="11720" width="20.6640625" customWidth="1"/>
    <col min="11721" max="11721" width="7.6640625" customWidth="1"/>
    <col min="11722" max="11722" width="8.6640625" customWidth="1"/>
    <col min="11723" max="11723" width="7.6640625" customWidth="1"/>
    <col min="11724" max="11724" width="5.6640625" customWidth="1"/>
    <col min="11725" max="11725" width="20.6640625" customWidth="1"/>
    <col min="11726" max="11726" width="7.6640625" customWidth="1"/>
    <col min="11727" max="11727" width="8.6640625" customWidth="1"/>
    <col min="11728" max="11728" width="7.6640625" customWidth="1"/>
    <col min="11729" max="11729" width="8.6640625" customWidth="1"/>
    <col min="11730" max="11731" width="10.6640625" customWidth="1"/>
    <col min="11732" max="11732" width="4.6640625" customWidth="1"/>
    <col min="11733" max="11733" width="20.6640625" customWidth="1"/>
    <col min="11734" max="11737" width="5.6640625" customWidth="1"/>
    <col min="11738" max="11739" width="4.6640625" customWidth="1"/>
    <col min="11740" max="11740" width="20.6640625" customWidth="1"/>
    <col min="11741" max="11741" width="4.6640625" customWidth="1"/>
    <col min="11742" max="11742" width="20.6640625" customWidth="1"/>
    <col min="11743" max="11743" width="5.6640625" customWidth="1"/>
    <col min="11744" max="11744" width="20.6640625" customWidth="1"/>
    <col min="11745" max="11745" width="15.6640625" customWidth="1"/>
    <col min="11746" max="11749" width="8.6640625" customWidth="1"/>
    <col min="11750" max="11751" width="10.6640625" customWidth="1"/>
    <col min="11752" max="11754" width="8.6640625" customWidth="1"/>
    <col min="11755" max="11755" width="9.6640625" customWidth="1"/>
    <col min="11756" max="11756" width="8.6640625" customWidth="1"/>
    <col min="11757" max="11758" width="20.6640625" customWidth="1"/>
    <col min="11759" max="11762" width="8.6640625" customWidth="1"/>
    <col min="11763" max="11765" width="10.6640625" customWidth="1"/>
    <col min="11766" max="11769" width="10" customWidth="1"/>
    <col min="11770" max="11771" width="20.6640625" customWidth="1"/>
    <col min="11772" max="11775" width="7.6640625" customWidth="1"/>
    <col min="11776" max="11778" width="10.6640625" customWidth="1"/>
    <col min="11779" max="11782" width="10" customWidth="1"/>
    <col min="11783" max="11784" width="20.6640625" customWidth="1"/>
    <col min="11785" max="11788" width="7.6640625" customWidth="1"/>
    <col min="11789" max="11791" width="10.6640625" customWidth="1"/>
    <col min="11792" max="11795" width="10" customWidth="1"/>
    <col min="11796" max="11797" width="20.6640625" customWidth="1"/>
    <col min="11798" max="11801" width="7.6640625" customWidth="1"/>
    <col min="11802" max="11804" width="10.6640625" customWidth="1"/>
    <col min="11805" max="11810" width="10" customWidth="1"/>
    <col min="11811" max="11811" width="7.6640625" customWidth="1"/>
    <col min="11812" max="11813" width="10.6640625" customWidth="1"/>
    <col min="11814" max="11814" width="7.6640625" customWidth="1"/>
    <col min="11815" max="11820" width="10.6640625" customWidth="1"/>
    <col min="11821" max="11822" width="11.6640625" customWidth="1"/>
    <col min="11823" max="11824" width="10.6640625" customWidth="1"/>
    <col min="11825" max="11827" width="9.6640625" customWidth="1"/>
    <col min="11828" max="11828" width="12.5546875" bestFit="1" customWidth="1"/>
    <col min="11829" max="11829" width="9" customWidth="1"/>
    <col min="11830" max="11831" width="10.109375" bestFit="1" customWidth="1"/>
    <col min="11933" max="11933" width="5.6640625" customWidth="1"/>
    <col min="11934" max="11935" width="8.6640625" customWidth="1"/>
    <col min="11936" max="11936" width="4.6640625" customWidth="1"/>
    <col min="11937" max="11938" width="15.6640625" customWidth="1"/>
    <col min="11939" max="11939" width="5.6640625" customWidth="1"/>
    <col min="11940" max="11940" width="4.6640625" customWidth="1"/>
    <col min="11941" max="11941" width="20.6640625" customWidth="1"/>
    <col min="11942" max="11942" width="4.6640625" customWidth="1"/>
    <col min="11943" max="11943" width="5.6640625" customWidth="1"/>
    <col min="11944" max="11944" width="8.6640625" customWidth="1"/>
    <col min="11945" max="11945" width="4.6640625" customWidth="1"/>
    <col min="11946" max="11946" width="10.6640625" customWidth="1"/>
    <col min="11947" max="11947" width="4.6640625" customWidth="1"/>
    <col min="11948" max="11948" width="20.6640625" customWidth="1"/>
    <col min="11949" max="11950" width="5.6640625" customWidth="1"/>
    <col min="11951" max="11951" width="8.6640625" customWidth="1"/>
    <col min="11952" max="11952" width="4.6640625" customWidth="1"/>
    <col min="11953" max="11953" width="10.6640625" customWidth="1"/>
    <col min="11954" max="11954" width="4.6640625" customWidth="1"/>
    <col min="11955" max="11955" width="20.6640625" customWidth="1"/>
    <col min="11956" max="11957" width="5.6640625" customWidth="1"/>
    <col min="11958" max="11958" width="8.6640625" customWidth="1"/>
    <col min="11959" max="11959" width="4.6640625" customWidth="1"/>
    <col min="11960" max="11960" width="10.6640625" customWidth="1"/>
    <col min="11961" max="11961" width="4.6640625" customWidth="1"/>
    <col min="11962" max="11962" width="20.6640625" customWidth="1"/>
    <col min="11963" max="11964" width="5.6640625" customWidth="1"/>
    <col min="11965" max="11965" width="8.6640625" customWidth="1"/>
    <col min="11966" max="11966" width="4.6640625" customWidth="1"/>
    <col min="11967" max="11967" width="10.6640625" customWidth="1"/>
    <col min="11968" max="11968" width="4.6640625" customWidth="1"/>
    <col min="11969" max="11969" width="20.6640625" customWidth="1"/>
    <col min="11970" max="11971" width="5.6640625" customWidth="1"/>
    <col min="11972" max="11972" width="8.6640625" customWidth="1"/>
    <col min="11973" max="11973" width="4.6640625" customWidth="1"/>
    <col min="11974" max="11974" width="10.6640625" customWidth="1"/>
    <col min="11975" max="11975" width="5.6640625" customWidth="1"/>
    <col min="11976" max="11976" width="20.6640625" customWidth="1"/>
    <col min="11977" max="11977" width="7.6640625" customWidth="1"/>
    <col min="11978" max="11978" width="8.6640625" customWidth="1"/>
    <col min="11979" max="11979" width="7.6640625" customWidth="1"/>
    <col min="11980" max="11980" width="5.6640625" customWidth="1"/>
    <col min="11981" max="11981" width="20.6640625" customWidth="1"/>
    <col min="11982" max="11982" width="7.6640625" customWidth="1"/>
    <col min="11983" max="11983" width="8.6640625" customWidth="1"/>
    <col min="11984" max="11984" width="7.6640625" customWidth="1"/>
    <col min="11985" max="11985" width="8.6640625" customWidth="1"/>
    <col min="11986" max="11987" width="10.6640625" customWidth="1"/>
    <col min="11988" max="11988" width="4.6640625" customWidth="1"/>
    <col min="11989" max="11989" width="20.6640625" customWidth="1"/>
    <col min="11990" max="11993" width="5.6640625" customWidth="1"/>
    <col min="11994" max="11995" width="4.6640625" customWidth="1"/>
    <col min="11996" max="11996" width="20.6640625" customWidth="1"/>
    <col min="11997" max="11997" width="4.6640625" customWidth="1"/>
    <col min="11998" max="11998" width="20.6640625" customWidth="1"/>
    <col min="11999" max="11999" width="5.6640625" customWidth="1"/>
    <col min="12000" max="12000" width="20.6640625" customWidth="1"/>
    <col min="12001" max="12001" width="15.6640625" customWidth="1"/>
    <col min="12002" max="12005" width="8.6640625" customWidth="1"/>
    <col min="12006" max="12007" width="10.6640625" customWidth="1"/>
    <col min="12008" max="12010" width="8.6640625" customWidth="1"/>
    <col min="12011" max="12011" width="9.6640625" customWidth="1"/>
    <col min="12012" max="12012" width="8.6640625" customWidth="1"/>
    <col min="12013" max="12014" width="20.6640625" customWidth="1"/>
    <col min="12015" max="12018" width="8.6640625" customWidth="1"/>
    <col min="12019" max="12021" width="10.6640625" customWidth="1"/>
    <col min="12022" max="12025" width="10" customWidth="1"/>
    <col min="12026" max="12027" width="20.6640625" customWidth="1"/>
    <col min="12028" max="12031" width="7.6640625" customWidth="1"/>
    <col min="12032" max="12034" width="10.6640625" customWidth="1"/>
    <col min="12035" max="12038" width="10" customWidth="1"/>
    <col min="12039" max="12040" width="20.6640625" customWidth="1"/>
    <col min="12041" max="12044" width="7.6640625" customWidth="1"/>
    <col min="12045" max="12047" width="10.6640625" customWidth="1"/>
    <col min="12048" max="12051" width="10" customWidth="1"/>
    <col min="12052" max="12053" width="20.6640625" customWidth="1"/>
    <col min="12054" max="12057" width="7.6640625" customWidth="1"/>
    <col min="12058" max="12060" width="10.6640625" customWidth="1"/>
    <col min="12061" max="12066" width="10" customWidth="1"/>
    <col min="12067" max="12067" width="7.6640625" customWidth="1"/>
    <col min="12068" max="12069" width="10.6640625" customWidth="1"/>
    <col min="12070" max="12070" width="7.6640625" customWidth="1"/>
    <col min="12071" max="12076" width="10.6640625" customWidth="1"/>
    <col min="12077" max="12078" width="11.6640625" customWidth="1"/>
    <col min="12079" max="12080" width="10.6640625" customWidth="1"/>
    <col min="12081" max="12083" width="9.6640625" customWidth="1"/>
    <col min="12084" max="12084" width="12.5546875" bestFit="1" customWidth="1"/>
    <col min="12085" max="12085" width="9" customWidth="1"/>
    <col min="12086" max="12087" width="10.109375" bestFit="1" customWidth="1"/>
    <col min="12189" max="12189" width="5.6640625" customWidth="1"/>
    <col min="12190" max="12191" width="8.6640625" customWidth="1"/>
    <col min="12192" max="12192" width="4.6640625" customWidth="1"/>
    <col min="12193" max="12194" width="15.6640625" customWidth="1"/>
    <col min="12195" max="12195" width="5.6640625" customWidth="1"/>
    <col min="12196" max="12196" width="4.6640625" customWidth="1"/>
    <col min="12197" max="12197" width="20.6640625" customWidth="1"/>
    <col min="12198" max="12198" width="4.6640625" customWidth="1"/>
    <col min="12199" max="12199" width="5.6640625" customWidth="1"/>
    <col min="12200" max="12200" width="8.6640625" customWidth="1"/>
    <col min="12201" max="12201" width="4.6640625" customWidth="1"/>
    <col min="12202" max="12202" width="10.6640625" customWidth="1"/>
    <col min="12203" max="12203" width="4.6640625" customWidth="1"/>
    <col min="12204" max="12204" width="20.6640625" customWidth="1"/>
    <col min="12205" max="12206" width="5.6640625" customWidth="1"/>
    <col min="12207" max="12207" width="8.6640625" customWidth="1"/>
    <col min="12208" max="12208" width="4.6640625" customWidth="1"/>
    <col min="12209" max="12209" width="10.6640625" customWidth="1"/>
    <col min="12210" max="12210" width="4.6640625" customWidth="1"/>
    <col min="12211" max="12211" width="20.6640625" customWidth="1"/>
    <col min="12212" max="12213" width="5.6640625" customWidth="1"/>
    <col min="12214" max="12214" width="8.6640625" customWidth="1"/>
    <col min="12215" max="12215" width="4.6640625" customWidth="1"/>
    <col min="12216" max="12216" width="10.6640625" customWidth="1"/>
    <col min="12217" max="12217" width="4.6640625" customWidth="1"/>
    <col min="12218" max="12218" width="20.6640625" customWidth="1"/>
    <col min="12219" max="12220" width="5.6640625" customWidth="1"/>
    <col min="12221" max="12221" width="8.6640625" customWidth="1"/>
    <col min="12222" max="12222" width="4.6640625" customWidth="1"/>
    <col min="12223" max="12223" width="10.6640625" customWidth="1"/>
    <col min="12224" max="12224" width="4.6640625" customWidth="1"/>
    <col min="12225" max="12225" width="20.6640625" customWidth="1"/>
    <col min="12226" max="12227" width="5.6640625" customWidth="1"/>
    <col min="12228" max="12228" width="8.6640625" customWidth="1"/>
    <col min="12229" max="12229" width="4.6640625" customWidth="1"/>
    <col min="12230" max="12230" width="10.6640625" customWidth="1"/>
    <col min="12231" max="12231" width="5.6640625" customWidth="1"/>
    <col min="12232" max="12232" width="20.6640625" customWidth="1"/>
    <col min="12233" max="12233" width="7.6640625" customWidth="1"/>
    <col min="12234" max="12234" width="8.6640625" customWidth="1"/>
    <col min="12235" max="12235" width="7.6640625" customWidth="1"/>
    <col min="12236" max="12236" width="5.6640625" customWidth="1"/>
    <col min="12237" max="12237" width="20.6640625" customWidth="1"/>
    <col min="12238" max="12238" width="7.6640625" customWidth="1"/>
    <col min="12239" max="12239" width="8.6640625" customWidth="1"/>
    <col min="12240" max="12240" width="7.6640625" customWidth="1"/>
    <col min="12241" max="12241" width="8.6640625" customWidth="1"/>
    <col min="12242" max="12243" width="10.6640625" customWidth="1"/>
    <col min="12244" max="12244" width="4.6640625" customWidth="1"/>
    <col min="12245" max="12245" width="20.6640625" customWidth="1"/>
    <col min="12246" max="12249" width="5.6640625" customWidth="1"/>
    <col min="12250" max="12251" width="4.6640625" customWidth="1"/>
    <col min="12252" max="12252" width="20.6640625" customWidth="1"/>
    <col min="12253" max="12253" width="4.6640625" customWidth="1"/>
    <col min="12254" max="12254" width="20.6640625" customWidth="1"/>
    <col min="12255" max="12255" width="5.6640625" customWidth="1"/>
    <col min="12256" max="12256" width="20.6640625" customWidth="1"/>
    <col min="12257" max="12257" width="15.6640625" customWidth="1"/>
    <col min="12258" max="12261" width="8.6640625" customWidth="1"/>
    <col min="12262" max="12263" width="10.6640625" customWidth="1"/>
    <col min="12264" max="12266" width="8.6640625" customWidth="1"/>
    <col min="12267" max="12267" width="9.6640625" customWidth="1"/>
    <col min="12268" max="12268" width="8.6640625" customWidth="1"/>
    <col min="12269" max="12270" width="20.6640625" customWidth="1"/>
    <col min="12271" max="12274" width="8.6640625" customWidth="1"/>
    <col min="12275" max="12277" width="10.6640625" customWidth="1"/>
    <col min="12278" max="12281" width="10" customWidth="1"/>
    <col min="12282" max="12283" width="20.6640625" customWidth="1"/>
    <col min="12284" max="12287" width="7.6640625" customWidth="1"/>
    <col min="12288" max="12290" width="10.6640625" customWidth="1"/>
    <col min="12291" max="12294" width="10" customWidth="1"/>
    <col min="12295" max="12296" width="20.6640625" customWidth="1"/>
    <col min="12297" max="12300" width="7.6640625" customWidth="1"/>
    <col min="12301" max="12303" width="10.6640625" customWidth="1"/>
    <col min="12304" max="12307" width="10" customWidth="1"/>
    <col min="12308" max="12309" width="20.6640625" customWidth="1"/>
    <col min="12310" max="12313" width="7.6640625" customWidth="1"/>
    <col min="12314" max="12316" width="10.6640625" customWidth="1"/>
    <col min="12317" max="12322" width="10" customWidth="1"/>
    <col min="12323" max="12323" width="7.6640625" customWidth="1"/>
    <col min="12324" max="12325" width="10.6640625" customWidth="1"/>
    <col min="12326" max="12326" width="7.6640625" customWidth="1"/>
    <col min="12327" max="12332" width="10.6640625" customWidth="1"/>
    <col min="12333" max="12334" width="11.6640625" customWidth="1"/>
    <col min="12335" max="12336" width="10.6640625" customWidth="1"/>
    <col min="12337" max="12339" width="9.6640625" customWidth="1"/>
    <col min="12340" max="12340" width="12.5546875" bestFit="1" customWidth="1"/>
    <col min="12341" max="12341" width="9" customWidth="1"/>
    <col min="12342" max="12343" width="10.109375" bestFit="1" customWidth="1"/>
    <col min="12445" max="12445" width="5.6640625" customWidth="1"/>
    <col min="12446" max="12447" width="8.6640625" customWidth="1"/>
    <col min="12448" max="12448" width="4.6640625" customWidth="1"/>
    <col min="12449" max="12450" width="15.6640625" customWidth="1"/>
    <col min="12451" max="12451" width="5.6640625" customWidth="1"/>
    <col min="12452" max="12452" width="4.6640625" customWidth="1"/>
    <col min="12453" max="12453" width="20.6640625" customWidth="1"/>
    <col min="12454" max="12454" width="4.6640625" customWidth="1"/>
    <col min="12455" max="12455" width="5.6640625" customWidth="1"/>
    <col min="12456" max="12456" width="8.6640625" customWidth="1"/>
    <col min="12457" max="12457" width="4.6640625" customWidth="1"/>
    <col min="12458" max="12458" width="10.6640625" customWidth="1"/>
    <col min="12459" max="12459" width="4.6640625" customWidth="1"/>
    <col min="12460" max="12460" width="20.6640625" customWidth="1"/>
    <col min="12461" max="12462" width="5.6640625" customWidth="1"/>
    <col min="12463" max="12463" width="8.6640625" customWidth="1"/>
    <col min="12464" max="12464" width="4.6640625" customWidth="1"/>
    <col min="12465" max="12465" width="10.6640625" customWidth="1"/>
    <col min="12466" max="12466" width="4.6640625" customWidth="1"/>
    <col min="12467" max="12467" width="20.6640625" customWidth="1"/>
    <col min="12468" max="12469" width="5.6640625" customWidth="1"/>
    <col min="12470" max="12470" width="8.6640625" customWidth="1"/>
    <col min="12471" max="12471" width="4.6640625" customWidth="1"/>
    <col min="12472" max="12472" width="10.6640625" customWidth="1"/>
    <col min="12473" max="12473" width="4.6640625" customWidth="1"/>
    <col min="12474" max="12474" width="20.6640625" customWidth="1"/>
    <col min="12475" max="12476" width="5.6640625" customWidth="1"/>
    <col min="12477" max="12477" width="8.6640625" customWidth="1"/>
    <col min="12478" max="12478" width="4.6640625" customWidth="1"/>
    <col min="12479" max="12479" width="10.6640625" customWidth="1"/>
    <col min="12480" max="12480" width="4.6640625" customWidth="1"/>
    <col min="12481" max="12481" width="20.6640625" customWidth="1"/>
    <col min="12482" max="12483" width="5.6640625" customWidth="1"/>
    <col min="12484" max="12484" width="8.6640625" customWidth="1"/>
    <col min="12485" max="12485" width="4.6640625" customWidth="1"/>
    <col min="12486" max="12486" width="10.6640625" customWidth="1"/>
    <col min="12487" max="12487" width="5.6640625" customWidth="1"/>
    <col min="12488" max="12488" width="20.6640625" customWidth="1"/>
    <col min="12489" max="12489" width="7.6640625" customWidth="1"/>
    <col min="12490" max="12490" width="8.6640625" customWidth="1"/>
    <col min="12491" max="12491" width="7.6640625" customWidth="1"/>
    <col min="12492" max="12492" width="5.6640625" customWidth="1"/>
    <col min="12493" max="12493" width="20.6640625" customWidth="1"/>
    <col min="12494" max="12494" width="7.6640625" customWidth="1"/>
    <col min="12495" max="12495" width="8.6640625" customWidth="1"/>
    <col min="12496" max="12496" width="7.6640625" customWidth="1"/>
    <col min="12497" max="12497" width="8.6640625" customWidth="1"/>
    <col min="12498" max="12499" width="10.6640625" customWidth="1"/>
    <col min="12500" max="12500" width="4.6640625" customWidth="1"/>
    <col min="12501" max="12501" width="20.6640625" customWidth="1"/>
    <col min="12502" max="12505" width="5.6640625" customWidth="1"/>
    <col min="12506" max="12507" width="4.6640625" customWidth="1"/>
    <col min="12508" max="12508" width="20.6640625" customWidth="1"/>
    <col min="12509" max="12509" width="4.6640625" customWidth="1"/>
    <col min="12510" max="12510" width="20.6640625" customWidth="1"/>
    <col min="12511" max="12511" width="5.6640625" customWidth="1"/>
    <col min="12512" max="12512" width="20.6640625" customWidth="1"/>
    <col min="12513" max="12513" width="15.6640625" customWidth="1"/>
    <col min="12514" max="12517" width="8.6640625" customWidth="1"/>
    <col min="12518" max="12519" width="10.6640625" customWidth="1"/>
    <col min="12520" max="12522" width="8.6640625" customWidth="1"/>
    <col min="12523" max="12523" width="9.6640625" customWidth="1"/>
    <col min="12524" max="12524" width="8.6640625" customWidth="1"/>
    <col min="12525" max="12526" width="20.6640625" customWidth="1"/>
    <col min="12527" max="12530" width="8.6640625" customWidth="1"/>
    <col min="12531" max="12533" width="10.6640625" customWidth="1"/>
    <col min="12534" max="12537" width="10" customWidth="1"/>
    <col min="12538" max="12539" width="20.6640625" customWidth="1"/>
    <col min="12540" max="12543" width="7.6640625" customWidth="1"/>
    <col min="12544" max="12546" width="10.6640625" customWidth="1"/>
    <col min="12547" max="12550" width="10" customWidth="1"/>
    <col min="12551" max="12552" width="20.6640625" customWidth="1"/>
    <col min="12553" max="12556" width="7.6640625" customWidth="1"/>
    <col min="12557" max="12559" width="10.6640625" customWidth="1"/>
    <col min="12560" max="12563" width="10" customWidth="1"/>
    <col min="12564" max="12565" width="20.6640625" customWidth="1"/>
    <col min="12566" max="12569" width="7.6640625" customWidth="1"/>
    <col min="12570" max="12572" width="10.6640625" customWidth="1"/>
    <col min="12573" max="12578" width="10" customWidth="1"/>
    <col min="12579" max="12579" width="7.6640625" customWidth="1"/>
    <col min="12580" max="12581" width="10.6640625" customWidth="1"/>
    <col min="12582" max="12582" width="7.6640625" customWidth="1"/>
    <col min="12583" max="12588" width="10.6640625" customWidth="1"/>
    <col min="12589" max="12590" width="11.6640625" customWidth="1"/>
    <col min="12591" max="12592" width="10.6640625" customWidth="1"/>
    <col min="12593" max="12595" width="9.6640625" customWidth="1"/>
    <col min="12596" max="12596" width="12.5546875" bestFit="1" customWidth="1"/>
    <col min="12597" max="12597" width="9" customWidth="1"/>
    <col min="12598" max="12599" width="10.109375" bestFit="1" customWidth="1"/>
    <col min="12701" max="12701" width="5.6640625" customWidth="1"/>
    <col min="12702" max="12703" width="8.6640625" customWidth="1"/>
    <col min="12704" max="12704" width="4.6640625" customWidth="1"/>
    <col min="12705" max="12706" width="15.6640625" customWidth="1"/>
    <col min="12707" max="12707" width="5.6640625" customWidth="1"/>
    <col min="12708" max="12708" width="4.6640625" customWidth="1"/>
    <col min="12709" max="12709" width="20.6640625" customWidth="1"/>
    <col min="12710" max="12710" width="4.6640625" customWidth="1"/>
    <col min="12711" max="12711" width="5.6640625" customWidth="1"/>
    <col min="12712" max="12712" width="8.6640625" customWidth="1"/>
    <col min="12713" max="12713" width="4.6640625" customWidth="1"/>
    <col min="12714" max="12714" width="10.6640625" customWidth="1"/>
    <col min="12715" max="12715" width="4.6640625" customWidth="1"/>
    <col min="12716" max="12716" width="20.6640625" customWidth="1"/>
    <col min="12717" max="12718" width="5.6640625" customWidth="1"/>
    <col min="12719" max="12719" width="8.6640625" customWidth="1"/>
    <col min="12720" max="12720" width="4.6640625" customWidth="1"/>
    <col min="12721" max="12721" width="10.6640625" customWidth="1"/>
    <col min="12722" max="12722" width="4.6640625" customWidth="1"/>
    <col min="12723" max="12723" width="20.6640625" customWidth="1"/>
    <col min="12724" max="12725" width="5.6640625" customWidth="1"/>
    <col min="12726" max="12726" width="8.6640625" customWidth="1"/>
    <col min="12727" max="12727" width="4.6640625" customWidth="1"/>
    <col min="12728" max="12728" width="10.6640625" customWidth="1"/>
    <col min="12729" max="12729" width="4.6640625" customWidth="1"/>
    <col min="12730" max="12730" width="20.6640625" customWidth="1"/>
    <col min="12731" max="12732" width="5.6640625" customWidth="1"/>
    <col min="12733" max="12733" width="8.6640625" customWidth="1"/>
    <col min="12734" max="12734" width="4.6640625" customWidth="1"/>
    <col min="12735" max="12735" width="10.6640625" customWidth="1"/>
    <col min="12736" max="12736" width="4.6640625" customWidth="1"/>
    <col min="12737" max="12737" width="20.6640625" customWidth="1"/>
    <col min="12738" max="12739" width="5.6640625" customWidth="1"/>
    <col min="12740" max="12740" width="8.6640625" customWidth="1"/>
    <col min="12741" max="12741" width="4.6640625" customWidth="1"/>
    <col min="12742" max="12742" width="10.6640625" customWidth="1"/>
    <col min="12743" max="12743" width="5.6640625" customWidth="1"/>
    <col min="12744" max="12744" width="20.6640625" customWidth="1"/>
    <col min="12745" max="12745" width="7.6640625" customWidth="1"/>
    <col min="12746" max="12746" width="8.6640625" customWidth="1"/>
    <col min="12747" max="12747" width="7.6640625" customWidth="1"/>
    <col min="12748" max="12748" width="5.6640625" customWidth="1"/>
    <col min="12749" max="12749" width="20.6640625" customWidth="1"/>
    <col min="12750" max="12750" width="7.6640625" customWidth="1"/>
    <col min="12751" max="12751" width="8.6640625" customWidth="1"/>
    <col min="12752" max="12752" width="7.6640625" customWidth="1"/>
    <col min="12753" max="12753" width="8.6640625" customWidth="1"/>
    <col min="12754" max="12755" width="10.6640625" customWidth="1"/>
    <col min="12756" max="12756" width="4.6640625" customWidth="1"/>
    <col min="12757" max="12757" width="20.6640625" customWidth="1"/>
    <col min="12758" max="12761" width="5.6640625" customWidth="1"/>
    <col min="12762" max="12763" width="4.6640625" customWidth="1"/>
    <col min="12764" max="12764" width="20.6640625" customWidth="1"/>
    <col min="12765" max="12765" width="4.6640625" customWidth="1"/>
    <col min="12766" max="12766" width="20.6640625" customWidth="1"/>
    <col min="12767" max="12767" width="5.6640625" customWidth="1"/>
    <col min="12768" max="12768" width="20.6640625" customWidth="1"/>
    <col min="12769" max="12769" width="15.6640625" customWidth="1"/>
    <col min="12770" max="12773" width="8.6640625" customWidth="1"/>
    <col min="12774" max="12775" width="10.6640625" customWidth="1"/>
    <col min="12776" max="12778" width="8.6640625" customWidth="1"/>
    <col min="12779" max="12779" width="9.6640625" customWidth="1"/>
    <col min="12780" max="12780" width="8.6640625" customWidth="1"/>
    <col min="12781" max="12782" width="20.6640625" customWidth="1"/>
    <col min="12783" max="12786" width="8.6640625" customWidth="1"/>
    <col min="12787" max="12789" width="10.6640625" customWidth="1"/>
    <col min="12790" max="12793" width="10" customWidth="1"/>
    <col min="12794" max="12795" width="20.6640625" customWidth="1"/>
    <col min="12796" max="12799" width="7.6640625" customWidth="1"/>
    <col min="12800" max="12802" width="10.6640625" customWidth="1"/>
    <col min="12803" max="12806" width="10" customWidth="1"/>
    <col min="12807" max="12808" width="20.6640625" customWidth="1"/>
    <col min="12809" max="12812" width="7.6640625" customWidth="1"/>
    <col min="12813" max="12815" width="10.6640625" customWidth="1"/>
    <col min="12816" max="12819" width="10" customWidth="1"/>
    <col min="12820" max="12821" width="20.6640625" customWidth="1"/>
    <col min="12822" max="12825" width="7.6640625" customWidth="1"/>
    <col min="12826" max="12828" width="10.6640625" customWidth="1"/>
    <col min="12829" max="12834" width="10" customWidth="1"/>
    <col min="12835" max="12835" width="7.6640625" customWidth="1"/>
    <col min="12836" max="12837" width="10.6640625" customWidth="1"/>
    <col min="12838" max="12838" width="7.6640625" customWidth="1"/>
    <col min="12839" max="12844" width="10.6640625" customWidth="1"/>
    <col min="12845" max="12846" width="11.6640625" customWidth="1"/>
    <col min="12847" max="12848" width="10.6640625" customWidth="1"/>
    <col min="12849" max="12851" width="9.6640625" customWidth="1"/>
    <col min="12852" max="12852" width="12.5546875" bestFit="1" customWidth="1"/>
    <col min="12853" max="12853" width="9" customWidth="1"/>
    <col min="12854" max="12855" width="10.109375" bestFit="1" customWidth="1"/>
    <col min="12957" max="12957" width="5.6640625" customWidth="1"/>
    <col min="12958" max="12959" width="8.6640625" customWidth="1"/>
    <col min="12960" max="12960" width="4.6640625" customWidth="1"/>
    <col min="12961" max="12962" width="15.6640625" customWidth="1"/>
    <col min="12963" max="12963" width="5.6640625" customWidth="1"/>
    <col min="12964" max="12964" width="4.6640625" customWidth="1"/>
    <col min="12965" max="12965" width="20.6640625" customWidth="1"/>
    <col min="12966" max="12966" width="4.6640625" customWidth="1"/>
    <col min="12967" max="12967" width="5.6640625" customWidth="1"/>
    <col min="12968" max="12968" width="8.6640625" customWidth="1"/>
    <col min="12969" max="12969" width="4.6640625" customWidth="1"/>
    <col min="12970" max="12970" width="10.6640625" customWidth="1"/>
    <col min="12971" max="12971" width="4.6640625" customWidth="1"/>
    <col min="12972" max="12972" width="20.6640625" customWidth="1"/>
    <col min="12973" max="12974" width="5.6640625" customWidth="1"/>
    <col min="12975" max="12975" width="8.6640625" customWidth="1"/>
    <col min="12976" max="12976" width="4.6640625" customWidth="1"/>
    <col min="12977" max="12977" width="10.6640625" customWidth="1"/>
    <col min="12978" max="12978" width="4.6640625" customWidth="1"/>
    <col min="12979" max="12979" width="20.6640625" customWidth="1"/>
    <col min="12980" max="12981" width="5.6640625" customWidth="1"/>
    <col min="12982" max="12982" width="8.6640625" customWidth="1"/>
    <col min="12983" max="12983" width="4.6640625" customWidth="1"/>
    <col min="12984" max="12984" width="10.6640625" customWidth="1"/>
    <col min="12985" max="12985" width="4.6640625" customWidth="1"/>
    <col min="12986" max="12986" width="20.6640625" customWidth="1"/>
    <col min="12987" max="12988" width="5.6640625" customWidth="1"/>
    <col min="12989" max="12989" width="8.6640625" customWidth="1"/>
    <col min="12990" max="12990" width="4.6640625" customWidth="1"/>
    <col min="12991" max="12991" width="10.6640625" customWidth="1"/>
    <col min="12992" max="12992" width="4.6640625" customWidth="1"/>
    <col min="12993" max="12993" width="20.6640625" customWidth="1"/>
    <col min="12994" max="12995" width="5.6640625" customWidth="1"/>
    <col min="12996" max="12996" width="8.6640625" customWidth="1"/>
    <col min="12997" max="12997" width="4.6640625" customWidth="1"/>
    <col min="12998" max="12998" width="10.6640625" customWidth="1"/>
    <col min="12999" max="12999" width="5.6640625" customWidth="1"/>
    <col min="13000" max="13000" width="20.6640625" customWidth="1"/>
    <col min="13001" max="13001" width="7.6640625" customWidth="1"/>
    <col min="13002" max="13002" width="8.6640625" customWidth="1"/>
    <col min="13003" max="13003" width="7.6640625" customWidth="1"/>
    <col min="13004" max="13004" width="5.6640625" customWidth="1"/>
    <col min="13005" max="13005" width="20.6640625" customWidth="1"/>
    <col min="13006" max="13006" width="7.6640625" customWidth="1"/>
    <col min="13007" max="13007" width="8.6640625" customWidth="1"/>
    <col min="13008" max="13008" width="7.6640625" customWidth="1"/>
    <col min="13009" max="13009" width="8.6640625" customWidth="1"/>
    <col min="13010" max="13011" width="10.6640625" customWidth="1"/>
    <col min="13012" max="13012" width="4.6640625" customWidth="1"/>
    <col min="13013" max="13013" width="20.6640625" customWidth="1"/>
    <col min="13014" max="13017" width="5.6640625" customWidth="1"/>
    <col min="13018" max="13019" width="4.6640625" customWidth="1"/>
    <col min="13020" max="13020" width="20.6640625" customWidth="1"/>
    <col min="13021" max="13021" width="4.6640625" customWidth="1"/>
    <col min="13022" max="13022" width="20.6640625" customWidth="1"/>
    <col min="13023" max="13023" width="5.6640625" customWidth="1"/>
    <col min="13024" max="13024" width="20.6640625" customWidth="1"/>
    <col min="13025" max="13025" width="15.6640625" customWidth="1"/>
    <col min="13026" max="13029" width="8.6640625" customWidth="1"/>
    <col min="13030" max="13031" width="10.6640625" customWidth="1"/>
    <col min="13032" max="13034" width="8.6640625" customWidth="1"/>
    <col min="13035" max="13035" width="9.6640625" customWidth="1"/>
    <col min="13036" max="13036" width="8.6640625" customWidth="1"/>
    <col min="13037" max="13038" width="20.6640625" customWidth="1"/>
    <col min="13039" max="13042" width="8.6640625" customWidth="1"/>
    <col min="13043" max="13045" width="10.6640625" customWidth="1"/>
    <col min="13046" max="13049" width="10" customWidth="1"/>
    <col min="13050" max="13051" width="20.6640625" customWidth="1"/>
    <col min="13052" max="13055" width="7.6640625" customWidth="1"/>
    <col min="13056" max="13058" width="10.6640625" customWidth="1"/>
    <col min="13059" max="13062" width="10" customWidth="1"/>
    <col min="13063" max="13064" width="20.6640625" customWidth="1"/>
    <col min="13065" max="13068" width="7.6640625" customWidth="1"/>
    <col min="13069" max="13071" width="10.6640625" customWidth="1"/>
    <col min="13072" max="13075" width="10" customWidth="1"/>
    <col min="13076" max="13077" width="20.6640625" customWidth="1"/>
    <col min="13078" max="13081" width="7.6640625" customWidth="1"/>
    <col min="13082" max="13084" width="10.6640625" customWidth="1"/>
    <col min="13085" max="13090" width="10" customWidth="1"/>
    <col min="13091" max="13091" width="7.6640625" customWidth="1"/>
    <col min="13092" max="13093" width="10.6640625" customWidth="1"/>
    <col min="13094" max="13094" width="7.6640625" customWidth="1"/>
    <col min="13095" max="13100" width="10.6640625" customWidth="1"/>
    <col min="13101" max="13102" width="11.6640625" customWidth="1"/>
    <col min="13103" max="13104" width="10.6640625" customWidth="1"/>
    <col min="13105" max="13107" width="9.6640625" customWidth="1"/>
    <col min="13108" max="13108" width="12.5546875" bestFit="1" customWidth="1"/>
    <col min="13109" max="13109" width="9" customWidth="1"/>
    <col min="13110" max="13111" width="10.109375" bestFit="1" customWidth="1"/>
    <col min="13213" max="13213" width="5.6640625" customWidth="1"/>
    <col min="13214" max="13215" width="8.6640625" customWidth="1"/>
    <col min="13216" max="13216" width="4.6640625" customWidth="1"/>
    <col min="13217" max="13218" width="15.6640625" customWidth="1"/>
    <col min="13219" max="13219" width="5.6640625" customWidth="1"/>
    <col min="13220" max="13220" width="4.6640625" customWidth="1"/>
    <col min="13221" max="13221" width="20.6640625" customWidth="1"/>
    <col min="13222" max="13222" width="4.6640625" customWidth="1"/>
    <col min="13223" max="13223" width="5.6640625" customWidth="1"/>
    <col min="13224" max="13224" width="8.6640625" customWidth="1"/>
    <col min="13225" max="13225" width="4.6640625" customWidth="1"/>
    <col min="13226" max="13226" width="10.6640625" customWidth="1"/>
    <col min="13227" max="13227" width="4.6640625" customWidth="1"/>
    <col min="13228" max="13228" width="20.6640625" customWidth="1"/>
    <col min="13229" max="13230" width="5.6640625" customWidth="1"/>
    <col min="13231" max="13231" width="8.6640625" customWidth="1"/>
    <col min="13232" max="13232" width="4.6640625" customWidth="1"/>
    <col min="13233" max="13233" width="10.6640625" customWidth="1"/>
    <col min="13234" max="13234" width="4.6640625" customWidth="1"/>
    <col min="13235" max="13235" width="20.6640625" customWidth="1"/>
    <col min="13236" max="13237" width="5.6640625" customWidth="1"/>
    <col min="13238" max="13238" width="8.6640625" customWidth="1"/>
    <col min="13239" max="13239" width="4.6640625" customWidth="1"/>
    <col min="13240" max="13240" width="10.6640625" customWidth="1"/>
    <col min="13241" max="13241" width="4.6640625" customWidth="1"/>
    <col min="13242" max="13242" width="20.6640625" customWidth="1"/>
    <col min="13243" max="13244" width="5.6640625" customWidth="1"/>
    <col min="13245" max="13245" width="8.6640625" customWidth="1"/>
    <col min="13246" max="13246" width="4.6640625" customWidth="1"/>
    <col min="13247" max="13247" width="10.6640625" customWidth="1"/>
    <col min="13248" max="13248" width="4.6640625" customWidth="1"/>
    <col min="13249" max="13249" width="20.6640625" customWidth="1"/>
    <col min="13250" max="13251" width="5.6640625" customWidth="1"/>
    <col min="13252" max="13252" width="8.6640625" customWidth="1"/>
    <col min="13253" max="13253" width="4.6640625" customWidth="1"/>
    <col min="13254" max="13254" width="10.6640625" customWidth="1"/>
    <col min="13255" max="13255" width="5.6640625" customWidth="1"/>
    <col min="13256" max="13256" width="20.6640625" customWidth="1"/>
    <col min="13257" max="13257" width="7.6640625" customWidth="1"/>
    <col min="13258" max="13258" width="8.6640625" customWidth="1"/>
    <col min="13259" max="13259" width="7.6640625" customWidth="1"/>
    <col min="13260" max="13260" width="5.6640625" customWidth="1"/>
    <col min="13261" max="13261" width="20.6640625" customWidth="1"/>
    <col min="13262" max="13262" width="7.6640625" customWidth="1"/>
    <col min="13263" max="13263" width="8.6640625" customWidth="1"/>
    <col min="13264" max="13264" width="7.6640625" customWidth="1"/>
    <col min="13265" max="13265" width="8.6640625" customWidth="1"/>
    <col min="13266" max="13267" width="10.6640625" customWidth="1"/>
    <col min="13268" max="13268" width="4.6640625" customWidth="1"/>
    <col min="13269" max="13269" width="20.6640625" customWidth="1"/>
    <col min="13270" max="13273" width="5.6640625" customWidth="1"/>
    <col min="13274" max="13275" width="4.6640625" customWidth="1"/>
    <col min="13276" max="13276" width="20.6640625" customWidth="1"/>
    <col min="13277" max="13277" width="4.6640625" customWidth="1"/>
    <col min="13278" max="13278" width="20.6640625" customWidth="1"/>
    <col min="13279" max="13279" width="5.6640625" customWidth="1"/>
    <col min="13280" max="13280" width="20.6640625" customWidth="1"/>
    <col min="13281" max="13281" width="15.6640625" customWidth="1"/>
    <col min="13282" max="13285" width="8.6640625" customWidth="1"/>
    <col min="13286" max="13287" width="10.6640625" customWidth="1"/>
    <col min="13288" max="13290" width="8.6640625" customWidth="1"/>
    <col min="13291" max="13291" width="9.6640625" customWidth="1"/>
    <col min="13292" max="13292" width="8.6640625" customWidth="1"/>
    <col min="13293" max="13294" width="20.6640625" customWidth="1"/>
    <col min="13295" max="13298" width="8.6640625" customWidth="1"/>
    <col min="13299" max="13301" width="10.6640625" customWidth="1"/>
    <col min="13302" max="13305" width="10" customWidth="1"/>
    <col min="13306" max="13307" width="20.6640625" customWidth="1"/>
    <col min="13308" max="13311" width="7.6640625" customWidth="1"/>
    <col min="13312" max="13314" width="10.6640625" customWidth="1"/>
    <col min="13315" max="13318" width="10" customWidth="1"/>
    <col min="13319" max="13320" width="20.6640625" customWidth="1"/>
    <col min="13321" max="13324" width="7.6640625" customWidth="1"/>
    <col min="13325" max="13327" width="10.6640625" customWidth="1"/>
    <col min="13328" max="13331" width="10" customWidth="1"/>
    <col min="13332" max="13333" width="20.6640625" customWidth="1"/>
    <col min="13334" max="13337" width="7.6640625" customWidth="1"/>
    <col min="13338" max="13340" width="10.6640625" customWidth="1"/>
    <col min="13341" max="13346" width="10" customWidth="1"/>
    <col min="13347" max="13347" width="7.6640625" customWidth="1"/>
    <col min="13348" max="13349" width="10.6640625" customWidth="1"/>
    <col min="13350" max="13350" width="7.6640625" customWidth="1"/>
    <col min="13351" max="13356" width="10.6640625" customWidth="1"/>
    <col min="13357" max="13358" width="11.6640625" customWidth="1"/>
    <col min="13359" max="13360" width="10.6640625" customWidth="1"/>
    <col min="13361" max="13363" width="9.6640625" customWidth="1"/>
    <col min="13364" max="13364" width="12.5546875" bestFit="1" customWidth="1"/>
    <col min="13365" max="13365" width="9" customWidth="1"/>
    <col min="13366" max="13367" width="10.109375" bestFit="1" customWidth="1"/>
    <col min="13469" max="13469" width="5.6640625" customWidth="1"/>
    <col min="13470" max="13471" width="8.6640625" customWidth="1"/>
    <col min="13472" max="13472" width="4.6640625" customWidth="1"/>
    <col min="13473" max="13474" width="15.6640625" customWidth="1"/>
    <col min="13475" max="13475" width="5.6640625" customWidth="1"/>
    <col min="13476" max="13476" width="4.6640625" customWidth="1"/>
    <col min="13477" max="13477" width="20.6640625" customWidth="1"/>
    <col min="13478" max="13478" width="4.6640625" customWidth="1"/>
    <col min="13479" max="13479" width="5.6640625" customWidth="1"/>
    <col min="13480" max="13480" width="8.6640625" customWidth="1"/>
    <col min="13481" max="13481" width="4.6640625" customWidth="1"/>
    <col min="13482" max="13482" width="10.6640625" customWidth="1"/>
    <col min="13483" max="13483" width="4.6640625" customWidth="1"/>
    <col min="13484" max="13484" width="20.6640625" customWidth="1"/>
    <col min="13485" max="13486" width="5.6640625" customWidth="1"/>
    <col min="13487" max="13487" width="8.6640625" customWidth="1"/>
    <col min="13488" max="13488" width="4.6640625" customWidth="1"/>
    <col min="13489" max="13489" width="10.6640625" customWidth="1"/>
    <col min="13490" max="13490" width="4.6640625" customWidth="1"/>
    <col min="13491" max="13491" width="20.6640625" customWidth="1"/>
    <col min="13492" max="13493" width="5.6640625" customWidth="1"/>
    <col min="13494" max="13494" width="8.6640625" customWidth="1"/>
    <col min="13495" max="13495" width="4.6640625" customWidth="1"/>
    <col min="13496" max="13496" width="10.6640625" customWidth="1"/>
    <col min="13497" max="13497" width="4.6640625" customWidth="1"/>
    <col min="13498" max="13498" width="20.6640625" customWidth="1"/>
    <col min="13499" max="13500" width="5.6640625" customWidth="1"/>
    <col min="13501" max="13501" width="8.6640625" customWidth="1"/>
    <col min="13502" max="13502" width="4.6640625" customWidth="1"/>
    <col min="13503" max="13503" width="10.6640625" customWidth="1"/>
    <col min="13504" max="13504" width="4.6640625" customWidth="1"/>
    <col min="13505" max="13505" width="20.6640625" customWidth="1"/>
    <col min="13506" max="13507" width="5.6640625" customWidth="1"/>
    <col min="13508" max="13508" width="8.6640625" customWidth="1"/>
    <col min="13509" max="13509" width="4.6640625" customWidth="1"/>
    <col min="13510" max="13510" width="10.6640625" customWidth="1"/>
    <col min="13511" max="13511" width="5.6640625" customWidth="1"/>
    <col min="13512" max="13512" width="20.6640625" customWidth="1"/>
    <col min="13513" max="13513" width="7.6640625" customWidth="1"/>
    <col min="13514" max="13514" width="8.6640625" customWidth="1"/>
    <col min="13515" max="13515" width="7.6640625" customWidth="1"/>
    <col min="13516" max="13516" width="5.6640625" customWidth="1"/>
    <col min="13517" max="13517" width="20.6640625" customWidth="1"/>
    <col min="13518" max="13518" width="7.6640625" customWidth="1"/>
    <col min="13519" max="13519" width="8.6640625" customWidth="1"/>
    <col min="13520" max="13520" width="7.6640625" customWidth="1"/>
    <col min="13521" max="13521" width="8.6640625" customWidth="1"/>
    <col min="13522" max="13523" width="10.6640625" customWidth="1"/>
    <col min="13524" max="13524" width="4.6640625" customWidth="1"/>
    <col min="13525" max="13525" width="20.6640625" customWidth="1"/>
    <col min="13526" max="13529" width="5.6640625" customWidth="1"/>
    <col min="13530" max="13531" width="4.6640625" customWidth="1"/>
    <col min="13532" max="13532" width="20.6640625" customWidth="1"/>
    <col min="13533" max="13533" width="4.6640625" customWidth="1"/>
    <col min="13534" max="13534" width="20.6640625" customWidth="1"/>
    <col min="13535" max="13535" width="5.6640625" customWidth="1"/>
    <col min="13536" max="13536" width="20.6640625" customWidth="1"/>
    <col min="13537" max="13537" width="15.6640625" customWidth="1"/>
    <col min="13538" max="13541" width="8.6640625" customWidth="1"/>
    <col min="13542" max="13543" width="10.6640625" customWidth="1"/>
    <col min="13544" max="13546" width="8.6640625" customWidth="1"/>
    <col min="13547" max="13547" width="9.6640625" customWidth="1"/>
    <col min="13548" max="13548" width="8.6640625" customWidth="1"/>
    <col min="13549" max="13550" width="20.6640625" customWidth="1"/>
    <col min="13551" max="13554" width="8.6640625" customWidth="1"/>
    <col min="13555" max="13557" width="10.6640625" customWidth="1"/>
    <col min="13558" max="13561" width="10" customWidth="1"/>
    <col min="13562" max="13563" width="20.6640625" customWidth="1"/>
    <col min="13564" max="13567" width="7.6640625" customWidth="1"/>
    <col min="13568" max="13570" width="10.6640625" customWidth="1"/>
    <col min="13571" max="13574" width="10" customWidth="1"/>
    <col min="13575" max="13576" width="20.6640625" customWidth="1"/>
    <col min="13577" max="13580" width="7.6640625" customWidth="1"/>
    <col min="13581" max="13583" width="10.6640625" customWidth="1"/>
    <col min="13584" max="13587" width="10" customWidth="1"/>
    <col min="13588" max="13589" width="20.6640625" customWidth="1"/>
    <col min="13590" max="13593" width="7.6640625" customWidth="1"/>
    <col min="13594" max="13596" width="10.6640625" customWidth="1"/>
    <col min="13597" max="13602" width="10" customWidth="1"/>
    <col min="13603" max="13603" width="7.6640625" customWidth="1"/>
    <col min="13604" max="13605" width="10.6640625" customWidth="1"/>
    <col min="13606" max="13606" width="7.6640625" customWidth="1"/>
    <col min="13607" max="13612" width="10.6640625" customWidth="1"/>
    <col min="13613" max="13614" width="11.6640625" customWidth="1"/>
    <col min="13615" max="13616" width="10.6640625" customWidth="1"/>
    <col min="13617" max="13619" width="9.6640625" customWidth="1"/>
    <col min="13620" max="13620" width="12.5546875" bestFit="1" customWidth="1"/>
    <col min="13621" max="13621" width="9" customWidth="1"/>
    <col min="13622" max="13623" width="10.109375" bestFit="1" customWidth="1"/>
    <col min="13725" max="13725" width="5.6640625" customWidth="1"/>
    <col min="13726" max="13727" width="8.6640625" customWidth="1"/>
    <col min="13728" max="13728" width="4.6640625" customWidth="1"/>
    <col min="13729" max="13730" width="15.6640625" customWidth="1"/>
    <col min="13731" max="13731" width="5.6640625" customWidth="1"/>
    <col min="13732" max="13732" width="4.6640625" customWidth="1"/>
    <col min="13733" max="13733" width="20.6640625" customWidth="1"/>
    <col min="13734" max="13734" width="4.6640625" customWidth="1"/>
    <col min="13735" max="13735" width="5.6640625" customWidth="1"/>
    <col min="13736" max="13736" width="8.6640625" customWidth="1"/>
    <col min="13737" max="13737" width="4.6640625" customWidth="1"/>
    <col min="13738" max="13738" width="10.6640625" customWidth="1"/>
    <col min="13739" max="13739" width="4.6640625" customWidth="1"/>
    <col min="13740" max="13740" width="20.6640625" customWidth="1"/>
    <col min="13741" max="13742" width="5.6640625" customWidth="1"/>
    <col min="13743" max="13743" width="8.6640625" customWidth="1"/>
    <col min="13744" max="13744" width="4.6640625" customWidth="1"/>
    <col min="13745" max="13745" width="10.6640625" customWidth="1"/>
    <col min="13746" max="13746" width="4.6640625" customWidth="1"/>
    <col min="13747" max="13747" width="20.6640625" customWidth="1"/>
    <col min="13748" max="13749" width="5.6640625" customWidth="1"/>
    <col min="13750" max="13750" width="8.6640625" customWidth="1"/>
    <col min="13751" max="13751" width="4.6640625" customWidth="1"/>
    <col min="13752" max="13752" width="10.6640625" customWidth="1"/>
    <col min="13753" max="13753" width="4.6640625" customWidth="1"/>
    <col min="13754" max="13754" width="20.6640625" customWidth="1"/>
    <col min="13755" max="13756" width="5.6640625" customWidth="1"/>
    <col min="13757" max="13757" width="8.6640625" customWidth="1"/>
    <col min="13758" max="13758" width="4.6640625" customWidth="1"/>
    <col min="13759" max="13759" width="10.6640625" customWidth="1"/>
    <col min="13760" max="13760" width="4.6640625" customWidth="1"/>
    <col min="13761" max="13761" width="20.6640625" customWidth="1"/>
    <col min="13762" max="13763" width="5.6640625" customWidth="1"/>
    <col min="13764" max="13764" width="8.6640625" customWidth="1"/>
    <col min="13765" max="13765" width="4.6640625" customWidth="1"/>
    <col min="13766" max="13766" width="10.6640625" customWidth="1"/>
    <col min="13767" max="13767" width="5.6640625" customWidth="1"/>
    <col min="13768" max="13768" width="20.6640625" customWidth="1"/>
    <col min="13769" max="13769" width="7.6640625" customWidth="1"/>
    <col min="13770" max="13770" width="8.6640625" customWidth="1"/>
    <col min="13771" max="13771" width="7.6640625" customWidth="1"/>
    <col min="13772" max="13772" width="5.6640625" customWidth="1"/>
    <col min="13773" max="13773" width="20.6640625" customWidth="1"/>
    <col min="13774" max="13774" width="7.6640625" customWidth="1"/>
    <col min="13775" max="13775" width="8.6640625" customWidth="1"/>
    <col min="13776" max="13776" width="7.6640625" customWidth="1"/>
    <col min="13777" max="13777" width="8.6640625" customWidth="1"/>
    <col min="13778" max="13779" width="10.6640625" customWidth="1"/>
    <col min="13780" max="13780" width="4.6640625" customWidth="1"/>
    <col min="13781" max="13781" width="20.6640625" customWidth="1"/>
    <col min="13782" max="13785" width="5.6640625" customWidth="1"/>
    <col min="13786" max="13787" width="4.6640625" customWidth="1"/>
    <col min="13788" max="13788" width="20.6640625" customWidth="1"/>
    <col min="13789" max="13789" width="4.6640625" customWidth="1"/>
    <col min="13790" max="13790" width="20.6640625" customWidth="1"/>
    <col min="13791" max="13791" width="5.6640625" customWidth="1"/>
    <col min="13792" max="13792" width="20.6640625" customWidth="1"/>
    <col min="13793" max="13793" width="15.6640625" customWidth="1"/>
    <col min="13794" max="13797" width="8.6640625" customWidth="1"/>
    <col min="13798" max="13799" width="10.6640625" customWidth="1"/>
    <col min="13800" max="13802" width="8.6640625" customWidth="1"/>
    <col min="13803" max="13803" width="9.6640625" customWidth="1"/>
    <col min="13804" max="13804" width="8.6640625" customWidth="1"/>
    <col min="13805" max="13806" width="20.6640625" customWidth="1"/>
    <col min="13807" max="13810" width="8.6640625" customWidth="1"/>
    <col min="13811" max="13813" width="10.6640625" customWidth="1"/>
    <col min="13814" max="13817" width="10" customWidth="1"/>
    <col min="13818" max="13819" width="20.6640625" customWidth="1"/>
    <col min="13820" max="13823" width="7.6640625" customWidth="1"/>
    <col min="13824" max="13826" width="10.6640625" customWidth="1"/>
    <col min="13827" max="13830" width="10" customWidth="1"/>
    <col min="13831" max="13832" width="20.6640625" customWidth="1"/>
    <col min="13833" max="13836" width="7.6640625" customWidth="1"/>
    <col min="13837" max="13839" width="10.6640625" customWidth="1"/>
    <col min="13840" max="13843" width="10" customWidth="1"/>
    <col min="13844" max="13845" width="20.6640625" customWidth="1"/>
    <col min="13846" max="13849" width="7.6640625" customWidth="1"/>
    <col min="13850" max="13852" width="10.6640625" customWidth="1"/>
    <col min="13853" max="13858" width="10" customWidth="1"/>
    <col min="13859" max="13859" width="7.6640625" customWidth="1"/>
    <col min="13860" max="13861" width="10.6640625" customWidth="1"/>
    <col min="13862" max="13862" width="7.6640625" customWidth="1"/>
    <col min="13863" max="13868" width="10.6640625" customWidth="1"/>
    <col min="13869" max="13870" width="11.6640625" customWidth="1"/>
    <col min="13871" max="13872" width="10.6640625" customWidth="1"/>
    <col min="13873" max="13875" width="9.6640625" customWidth="1"/>
    <col min="13876" max="13876" width="12.5546875" bestFit="1" customWidth="1"/>
    <col min="13877" max="13877" width="9" customWidth="1"/>
    <col min="13878" max="13879" width="10.109375" bestFit="1" customWidth="1"/>
    <col min="13981" max="13981" width="5.6640625" customWidth="1"/>
    <col min="13982" max="13983" width="8.6640625" customWidth="1"/>
    <col min="13984" max="13984" width="4.6640625" customWidth="1"/>
    <col min="13985" max="13986" width="15.6640625" customWidth="1"/>
    <col min="13987" max="13987" width="5.6640625" customWidth="1"/>
    <col min="13988" max="13988" width="4.6640625" customWidth="1"/>
    <col min="13989" max="13989" width="20.6640625" customWidth="1"/>
    <col min="13990" max="13990" width="4.6640625" customWidth="1"/>
    <col min="13991" max="13991" width="5.6640625" customWidth="1"/>
    <col min="13992" max="13992" width="8.6640625" customWidth="1"/>
    <col min="13993" max="13993" width="4.6640625" customWidth="1"/>
    <col min="13994" max="13994" width="10.6640625" customWidth="1"/>
    <col min="13995" max="13995" width="4.6640625" customWidth="1"/>
    <col min="13996" max="13996" width="20.6640625" customWidth="1"/>
    <col min="13997" max="13998" width="5.6640625" customWidth="1"/>
    <col min="13999" max="13999" width="8.6640625" customWidth="1"/>
    <col min="14000" max="14000" width="4.6640625" customWidth="1"/>
    <col min="14001" max="14001" width="10.6640625" customWidth="1"/>
    <col min="14002" max="14002" width="4.6640625" customWidth="1"/>
    <col min="14003" max="14003" width="20.6640625" customWidth="1"/>
    <col min="14004" max="14005" width="5.6640625" customWidth="1"/>
    <col min="14006" max="14006" width="8.6640625" customWidth="1"/>
    <col min="14007" max="14007" width="4.6640625" customWidth="1"/>
    <col min="14008" max="14008" width="10.6640625" customWidth="1"/>
    <col min="14009" max="14009" width="4.6640625" customWidth="1"/>
    <col min="14010" max="14010" width="20.6640625" customWidth="1"/>
    <col min="14011" max="14012" width="5.6640625" customWidth="1"/>
    <col min="14013" max="14013" width="8.6640625" customWidth="1"/>
    <col min="14014" max="14014" width="4.6640625" customWidth="1"/>
    <col min="14015" max="14015" width="10.6640625" customWidth="1"/>
    <col min="14016" max="14016" width="4.6640625" customWidth="1"/>
    <col min="14017" max="14017" width="20.6640625" customWidth="1"/>
    <col min="14018" max="14019" width="5.6640625" customWidth="1"/>
    <col min="14020" max="14020" width="8.6640625" customWidth="1"/>
    <col min="14021" max="14021" width="4.6640625" customWidth="1"/>
    <col min="14022" max="14022" width="10.6640625" customWidth="1"/>
    <col min="14023" max="14023" width="5.6640625" customWidth="1"/>
    <col min="14024" max="14024" width="20.6640625" customWidth="1"/>
    <col min="14025" max="14025" width="7.6640625" customWidth="1"/>
    <col min="14026" max="14026" width="8.6640625" customWidth="1"/>
    <col min="14027" max="14027" width="7.6640625" customWidth="1"/>
    <col min="14028" max="14028" width="5.6640625" customWidth="1"/>
    <col min="14029" max="14029" width="20.6640625" customWidth="1"/>
    <col min="14030" max="14030" width="7.6640625" customWidth="1"/>
    <col min="14031" max="14031" width="8.6640625" customWidth="1"/>
    <col min="14032" max="14032" width="7.6640625" customWidth="1"/>
    <col min="14033" max="14033" width="8.6640625" customWidth="1"/>
    <col min="14034" max="14035" width="10.6640625" customWidth="1"/>
    <col min="14036" max="14036" width="4.6640625" customWidth="1"/>
    <col min="14037" max="14037" width="20.6640625" customWidth="1"/>
    <col min="14038" max="14041" width="5.6640625" customWidth="1"/>
    <col min="14042" max="14043" width="4.6640625" customWidth="1"/>
    <col min="14044" max="14044" width="20.6640625" customWidth="1"/>
    <col min="14045" max="14045" width="4.6640625" customWidth="1"/>
    <col min="14046" max="14046" width="20.6640625" customWidth="1"/>
    <col min="14047" max="14047" width="5.6640625" customWidth="1"/>
    <col min="14048" max="14048" width="20.6640625" customWidth="1"/>
    <col min="14049" max="14049" width="15.6640625" customWidth="1"/>
    <col min="14050" max="14053" width="8.6640625" customWidth="1"/>
    <col min="14054" max="14055" width="10.6640625" customWidth="1"/>
    <col min="14056" max="14058" width="8.6640625" customWidth="1"/>
    <col min="14059" max="14059" width="9.6640625" customWidth="1"/>
    <col min="14060" max="14060" width="8.6640625" customWidth="1"/>
    <col min="14061" max="14062" width="20.6640625" customWidth="1"/>
    <col min="14063" max="14066" width="8.6640625" customWidth="1"/>
    <col min="14067" max="14069" width="10.6640625" customWidth="1"/>
    <col min="14070" max="14073" width="10" customWidth="1"/>
    <col min="14074" max="14075" width="20.6640625" customWidth="1"/>
    <col min="14076" max="14079" width="7.6640625" customWidth="1"/>
    <col min="14080" max="14082" width="10.6640625" customWidth="1"/>
    <col min="14083" max="14086" width="10" customWidth="1"/>
    <col min="14087" max="14088" width="20.6640625" customWidth="1"/>
    <col min="14089" max="14092" width="7.6640625" customWidth="1"/>
    <col min="14093" max="14095" width="10.6640625" customWidth="1"/>
    <col min="14096" max="14099" width="10" customWidth="1"/>
    <col min="14100" max="14101" width="20.6640625" customWidth="1"/>
    <col min="14102" max="14105" width="7.6640625" customWidth="1"/>
    <col min="14106" max="14108" width="10.6640625" customWidth="1"/>
    <col min="14109" max="14114" width="10" customWidth="1"/>
    <col min="14115" max="14115" width="7.6640625" customWidth="1"/>
    <col min="14116" max="14117" width="10.6640625" customWidth="1"/>
    <col min="14118" max="14118" width="7.6640625" customWidth="1"/>
    <col min="14119" max="14124" width="10.6640625" customWidth="1"/>
    <col min="14125" max="14126" width="11.6640625" customWidth="1"/>
    <col min="14127" max="14128" width="10.6640625" customWidth="1"/>
    <col min="14129" max="14131" width="9.6640625" customWidth="1"/>
    <col min="14132" max="14132" width="12.5546875" bestFit="1" customWidth="1"/>
    <col min="14133" max="14133" width="9" customWidth="1"/>
    <col min="14134" max="14135" width="10.109375" bestFit="1" customWidth="1"/>
    <col min="14237" max="14237" width="5.6640625" customWidth="1"/>
    <col min="14238" max="14239" width="8.6640625" customWidth="1"/>
    <col min="14240" max="14240" width="4.6640625" customWidth="1"/>
    <col min="14241" max="14242" width="15.6640625" customWidth="1"/>
    <col min="14243" max="14243" width="5.6640625" customWidth="1"/>
    <col min="14244" max="14244" width="4.6640625" customWidth="1"/>
    <col min="14245" max="14245" width="20.6640625" customWidth="1"/>
    <col min="14246" max="14246" width="4.6640625" customWidth="1"/>
    <col min="14247" max="14247" width="5.6640625" customWidth="1"/>
    <col min="14248" max="14248" width="8.6640625" customWidth="1"/>
    <col min="14249" max="14249" width="4.6640625" customWidth="1"/>
    <col min="14250" max="14250" width="10.6640625" customWidth="1"/>
    <col min="14251" max="14251" width="4.6640625" customWidth="1"/>
    <col min="14252" max="14252" width="20.6640625" customWidth="1"/>
    <col min="14253" max="14254" width="5.6640625" customWidth="1"/>
    <col min="14255" max="14255" width="8.6640625" customWidth="1"/>
    <col min="14256" max="14256" width="4.6640625" customWidth="1"/>
    <col min="14257" max="14257" width="10.6640625" customWidth="1"/>
    <col min="14258" max="14258" width="4.6640625" customWidth="1"/>
    <col min="14259" max="14259" width="20.6640625" customWidth="1"/>
    <col min="14260" max="14261" width="5.6640625" customWidth="1"/>
    <col min="14262" max="14262" width="8.6640625" customWidth="1"/>
    <col min="14263" max="14263" width="4.6640625" customWidth="1"/>
    <col min="14264" max="14264" width="10.6640625" customWidth="1"/>
    <col min="14265" max="14265" width="4.6640625" customWidth="1"/>
    <col min="14266" max="14266" width="20.6640625" customWidth="1"/>
    <col min="14267" max="14268" width="5.6640625" customWidth="1"/>
    <col min="14269" max="14269" width="8.6640625" customWidth="1"/>
    <col min="14270" max="14270" width="4.6640625" customWidth="1"/>
    <col min="14271" max="14271" width="10.6640625" customWidth="1"/>
    <col min="14272" max="14272" width="4.6640625" customWidth="1"/>
    <col min="14273" max="14273" width="20.6640625" customWidth="1"/>
    <col min="14274" max="14275" width="5.6640625" customWidth="1"/>
    <col min="14276" max="14276" width="8.6640625" customWidth="1"/>
    <col min="14277" max="14277" width="4.6640625" customWidth="1"/>
    <col min="14278" max="14278" width="10.6640625" customWidth="1"/>
    <col min="14279" max="14279" width="5.6640625" customWidth="1"/>
    <col min="14280" max="14280" width="20.6640625" customWidth="1"/>
    <col min="14281" max="14281" width="7.6640625" customWidth="1"/>
    <col min="14282" max="14282" width="8.6640625" customWidth="1"/>
    <col min="14283" max="14283" width="7.6640625" customWidth="1"/>
    <col min="14284" max="14284" width="5.6640625" customWidth="1"/>
    <col min="14285" max="14285" width="20.6640625" customWidth="1"/>
    <col min="14286" max="14286" width="7.6640625" customWidth="1"/>
    <col min="14287" max="14287" width="8.6640625" customWidth="1"/>
    <col min="14288" max="14288" width="7.6640625" customWidth="1"/>
    <col min="14289" max="14289" width="8.6640625" customWidth="1"/>
    <col min="14290" max="14291" width="10.6640625" customWidth="1"/>
    <col min="14292" max="14292" width="4.6640625" customWidth="1"/>
    <col min="14293" max="14293" width="20.6640625" customWidth="1"/>
    <col min="14294" max="14297" width="5.6640625" customWidth="1"/>
    <col min="14298" max="14299" width="4.6640625" customWidth="1"/>
    <col min="14300" max="14300" width="20.6640625" customWidth="1"/>
    <col min="14301" max="14301" width="4.6640625" customWidth="1"/>
    <col min="14302" max="14302" width="20.6640625" customWidth="1"/>
    <col min="14303" max="14303" width="5.6640625" customWidth="1"/>
    <col min="14304" max="14304" width="20.6640625" customWidth="1"/>
    <col min="14305" max="14305" width="15.6640625" customWidth="1"/>
    <col min="14306" max="14309" width="8.6640625" customWidth="1"/>
    <col min="14310" max="14311" width="10.6640625" customWidth="1"/>
    <col min="14312" max="14314" width="8.6640625" customWidth="1"/>
    <col min="14315" max="14315" width="9.6640625" customWidth="1"/>
    <col min="14316" max="14316" width="8.6640625" customWidth="1"/>
    <col min="14317" max="14318" width="20.6640625" customWidth="1"/>
    <col min="14319" max="14322" width="8.6640625" customWidth="1"/>
    <col min="14323" max="14325" width="10.6640625" customWidth="1"/>
    <col min="14326" max="14329" width="10" customWidth="1"/>
    <col min="14330" max="14331" width="20.6640625" customWidth="1"/>
    <col min="14332" max="14335" width="7.6640625" customWidth="1"/>
    <col min="14336" max="14338" width="10.6640625" customWidth="1"/>
    <col min="14339" max="14342" width="10" customWidth="1"/>
    <col min="14343" max="14344" width="20.6640625" customWidth="1"/>
    <col min="14345" max="14348" width="7.6640625" customWidth="1"/>
    <col min="14349" max="14351" width="10.6640625" customWidth="1"/>
    <col min="14352" max="14355" width="10" customWidth="1"/>
    <col min="14356" max="14357" width="20.6640625" customWidth="1"/>
    <col min="14358" max="14361" width="7.6640625" customWidth="1"/>
    <col min="14362" max="14364" width="10.6640625" customWidth="1"/>
    <col min="14365" max="14370" width="10" customWidth="1"/>
    <col min="14371" max="14371" width="7.6640625" customWidth="1"/>
    <col min="14372" max="14373" width="10.6640625" customWidth="1"/>
    <col min="14374" max="14374" width="7.6640625" customWidth="1"/>
    <col min="14375" max="14380" width="10.6640625" customWidth="1"/>
    <col min="14381" max="14382" width="11.6640625" customWidth="1"/>
    <col min="14383" max="14384" width="10.6640625" customWidth="1"/>
    <col min="14385" max="14387" width="9.6640625" customWidth="1"/>
    <col min="14388" max="14388" width="12.5546875" bestFit="1" customWidth="1"/>
    <col min="14389" max="14389" width="9" customWidth="1"/>
    <col min="14390" max="14391" width="10.109375" bestFit="1" customWidth="1"/>
    <col min="14493" max="14493" width="5.6640625" customWidth="1"/>
    <col min="14494" max="14495" width="8.6640625" customWidth="1"/>
    <col min="14496" max="14496" width="4.6640625" customWidth="1"/>
    <col min="14497" max="14498" width="15.6640625" customWidth="1"/>
    <col min="14499" max="14499" width="5.6640625" customWidth="1"/>
    <col min="14500" max="14500" width="4.6640625" customWidth="1"/>
    <col min="14501" max="14501" width="20.6640625" customWidth="1"/>
    <col min="14502" max="14502" width="4.6640625" customWidth="1"/>
    <col min="14503" max="14503" width="5.6640625" customWidth="1"/>
    <col min="14504" max="14504" width="8.6640625" customWidth="1"/>
    <col min="14505" max="14505" width="4.6640625" customWidth="1"/>
    <col min="14506" max="14506" width="10.6640625" customWidth="1"/>
    <col min="14507" max="14507" width="4.6640625" customWidth="1"/>
    <col min="14508" max="14508" width="20.6640625" customWidth="1"/>
    <col min="14509" max="14510" width="5.6640625" customWidth="1"/>
    <col min="14511" max="14511" width="8.6640625" customWidth="1"/>
    <col min="14512" max="14512" width="4.6640625" customWidth="1"/>
    <col min="14513" max="14513" width="10.6640625" customWidth="1"/>
    <col min="14514" max="14514" width="4.6640625" customWidth="1"/>
    <col min="14515" max="14515" width="20.6640625" customWidth="1"/>
    <col min="14516" max="14517" width="5.6640625" customWidth="1"/>
    <col min="14518" max="14518" width="8.6640625" customWidth="1"/>
    <col min="14519" max="14519" width="4.6640625" customWidth="1"/>
    <col min="14520" max="14520" width="10.6640625" customWidth="1"/>
    <col min="14521" max="14521" width="4.6640625" customWidth="1"/>
    <col min="14522" max="14522" width="20.6640625" customWidth="1"/>
    <col min="14523" max="14524" width="5.6640625" customWidth="1"/>
    <col min="14525" max="14525" width="8.6640625" customWidth="1"/>
    <col min="14526" max="14526" width="4.6640625" customWidth="1"/>
    <col min="14527" max="14527" width="10.6640625" customWidth="1"/>
    <col min="14528" max="14528" width="4.6640625" customWidth="1"/>
    <col min="14529" max="14529" width="20.6640625" customWidth="1"/>
    <col min="14530" max="14531" width="5.6640625" customWidth="1"/>
    <col min="14532" max="14532" width="8.6640625" customWidth="1"/>
    <col min="14533" max="14533" width="4.6640625" customWidth="1"/>
    <col min="14534" max="14534" width="10.6640625" customWidth="1"/>
    <col min="14535" max="14535" width="5.6640625" customWidth="1"/>
    <col min="14536" max="14536" width="20.6640625" customWidth="1"/>
    <col min="14537" max="14537" width="7.6640625" customWidth="1"/>
    <col min="14538" max="14538" width="8.6640625" customWidth="1"/>
    <col min="14539" max="14539" width="7.6640625" customWidth="1"/>
    <col min="14540" max="14540" width="5.6640625" customWidth="1"/>
    <col min="14541" max="14541" width="20.6640625" customWidth="1"/>
    <col min="14542" max="14542" width="7.6640625" customWidth="1"/>
    <col min="14543" max="14543" width="8.6640625" customWidth="1"/>
    <col min="14544" max="14544" width="7.6640625" customWidth="1"/>
    <col min="14545" max="14545" width="8.6640625" customWidth="1"/>
    <col min="14546" max="14547" width="10.6640625" customWidth="1"/>
    <col min="14548" max="14548" width="4.6640625" customWidth="1"/>
    <col min="14549" max="14549" width="20.6640625" customWidth="1"/>
    <col min="14550" max="14553" width="5.6640625" customWidth="1"/>
    <col min="14554" max="14555" width="4.6640625" customWidth="1"/>
    <col min="14556" max="14556" width="20.6640625" customWidth="1"/>
    <col min="14557" max="14557" width="4.6640625" customWidth="1"/>
    <col min="14558" max="14558" width="20.6640625" customWidth="1"/>
    <col min="14559" max="14559" width="5.6640625" customWidth="1"/>
    <col min="14560" max="14560" width="20.6640625" customWidth="1"/>
    <col min="14561" max="14561" width="15.6640625" customWidth="1"/>
    <col min="14562" max="14565" width="8.6640625" customWidth="1"/>
    <col min="14566" max="14567" width="10.6640625" customWidth="1"/>
    <col min="14568" max="14570" width="8.6640625" customWidth="1"/>
    <col min="14571" max="14571" width="9.6640625" customWidth="1"/>
    <col min="14572" max="14572" width="8.6640625" customWidth="1"/>
    <col min="14573" max="14574" width="20.6640625" customWidth="1"/>
    <col min="14575" max="14578" width="8.6640625" customWidth="1"/>
    <col min="14579" max="14581" width="10.6640625" customWidth="1"/>
    <col min="14582" max="14585" width="10" customWidth="1"/>
    <col min="14586" max="14587" width="20.6640625" customWidth="1"/>
    <col min="14588" max="14591" width="7.6640625" customWidth="1"/>
    <col min="14592" max="14594" width="10.6640625" customWidth="1"/>
    <col min="14595" max="14598" width="10" customWidth="1"/>
    <col min="14599" max="14600" width="20.6640625" customWidth="1"/>
    <col min="14601" max="14604" width="7.6640625" customWidth="1"/>
    <col min="14605" max="14607" width="10.6640625" customWidth="1"/>
    <col min="14608" max="14611" width="10" customWidth="1"/>
    <col min="14612" max="14613" width="20.6640625" customWidth="1"/>
    <col min="14614" max="14617" width="7.6640625" customWidth="1"/>
    <col min="14618" max="14620" width="10.6640625" customWidth="1"/>
    <col min="14621" max="14626" width="10" customWidth="1"/>
    <col min="14627" max="14627" width="7.6640625" customWidth="1"/>
    <col min="14628" max="14629" width="10.6640625" customWidth="1"/>
    <col min="14630" max="14630" width="7.6640625" customWidth="1"/>
    <col min="14631" max="14636" width="10.6640625" customWidth="1"/>
    <col min="14637" max="14638" width="11.6640625" customWidth="1"/>
    <col min="14639" max="14640" width="10.6640625" customWidth="1"/>
    <col min="14641" max="14643" width="9.6640625" customWidth="1"/>
    <col min="14644" max="14644" width="12.5546875" bestFit="1" customWidth="1"/>
    <col min="14645" max="14645" width="9" customWidth="1"/>
    <col min="14646" max="14647" width="10.109375" bestFit="1" customWidth="1"/>
    <col min="14749" max="14749" width="5.6640625" customWidth="1"/>
    <col min="14750" max="14751" width="8.6640625" customWidth="1"/>
    <col min="14752" max="14752" width="4.6640625" customWidth="1"/>
    <col min="14753" max="14754" width="15.6640625" customWidth="1"/>
    <col min="14755" max="14755" width="5.6640625" customWidth="1"/>
    <col min="14756" max="14756" width="4.6640625" customWidth="1"/>
    <col min="14757" max="14757" width="20.6640625" customWidth="1"/>
    <col min="14758" max="14758" width="4.6640625" customWidth="1"/>
    <col min="14759" max="14759" width="5.6640625" customWidth="1"/>
    <col min="14760" max="14760" width="8.6640625" customWidth="1"/>
    <col min="14761" max="14761" width="4.6640625" customWidth="1"/>
    <col min="14762" max="14762" width="10.6640625" customWidth="1"/>
    <col min="14763" max="14763" width="4.6640625" customWidth="1"/>
    <col min="14764" max="14764" width="20.6640625" customWidth="1"/>
    <col min="14765" max="14766" width="5.6640625" customWidth="1"/>
    <col min="14767" max="14767" width="8.6640625" customWidth="1"/>
    <col min="14768" max="14768" width="4.6640625" customWidth="1"/>
    <col min="14769" max="14769" width="10.6640625" customWidth="1"/>
    <col min="14770" max="14770" width="4.6640625" customWidth="1"/>
    <col min="14771" max="14771" width="20.6640625" customWidth="1"/>
    <col min="14772" max="14773" width="5.6640625" customWidth="1"/>
    <col min="14774" max="14774" width="8.6640625" customWidth="1"/>
    <col min="14775" max="14775" width="4.6640625" customWidth="1"/>
    <col min="14776" max="14776" width="10.6640625" customWidth="1"/>
    <col min="14777" max="14777" width="4.6640625" customWidth="1"/>
    <col min="14778" max="14778" width="20.6640625" customWidth="1"/>
    <col min="14779" max="14780" width="5.6640625" customWidth="1"/>
    <col min="14781" max="14781" width="8.6640625" customWidth="1"/>
    <col min="14782" max="14782" width="4.6640625" customWidth="1"/>
    <col min="14783" max="14783" width="10.6640625" customWidth="1"/>
    <col min="14784" max="14784" width="4.6640625" customWidth="1"/>
    <col min="14785" max="14785" width="20.6640625" customWidth="1"/>
    <col min="14786" max="14787" width="5.6640625" customWidth="1"/>
    <col min="14788" max="14788" width="8.6640625" customWidth="1"/>
    <col min="14789" max="14789" width="4.6640625" customWidth="1"/>
    <col min="14790" max="14790" width="10.6640625" customWidth="1"/>
    <col min="14791" max="14791" width="5.6640625" customWidth="1"/>
    <col min="14792" max="14792" width="20.6640625" customWidth="1"/>
    <col min="14793" max="14793" width="7.6640625" customWidth="1"/>
    <col min="14794" max="14794" width="8.6640625" customWidth="1"/>
    <col min="14795" max="14795" width="7.6640625" customWidth="1"/>
    <col min="14796" max="14796" width="5.6640625" customWidth="1"/>
    <col min="14797" max="14797" width="20.6640625" customWidth="1"/>
    <col min="14798" max="14798" width="7.6640625" customWidth="1"/>
    <col min="14799" max="14799" width="8.6640625" customWidth="1"/>
    <col min="14800" max="14800" width="7.6640625" customWidth="1"/>
    <col min="14801" max="14801" width="8.6640625" customWidth="1"/>
    <col min="14802" max="14803" width="10.6640625" customWidth="1"/>
    <col min="14804" max="14804" width="4.6640625" customWidth="1"/>
    <col min="14805" max="14805" width="20.6640625" customWidth="1"/>
    <col min="14806" max="14809" width="5.6640625" customWidth="1"/>
    <col min="14810" max="14811" width="4.6640625" customWidth="1"/>
    <col min="14812" max="14812" width="20.6640625" customWidth="1"/>
    <col min="14813" max="14813" width="4.6640625" customWidth="1"/>
    <col min="14814" max="14814" width="20.6640625" customWidth="1"/>
    <col min="14815" max="14815" width="5.6640625" customWidth="1"/>
    <col min="14816" max="14816" width="20.6640625" customWidth="1"/>
    <col min="14817" max="14817" width="15.6640625" customWidth="1"/>
    <col min="14818" max="14821" width="8.6640625" customWidth="1"/>
    <col min="14822" max="14823" width="10.6640625" customWidth="1"/>
    <col min="14824" max="14826" width="8.6640625" customWidth="1"/>
    <col min="14827" max="14827" width="9.6640625" customWidth="1"/>
    <col min="14828" max="14828" width="8.6640625" customWidth="1"/>
    <col min="14829" max="14830" width="20.6640625" customWidth="1"/>
    <col min="14831" max="14834" width="8.6640625" customWidth="1"/>
    <col min="14835" max="14837" width="10.6640625" customWidth="1"/>
    <col min="14838" max="14841" width="10" customWidth="1"/>
    <col min="14842" max="14843" width="20.6640625" customWidth="1"/>
    <col min="14844" max="14847" width="7.6640625" customWidth="1"/>
    <col min="14848" max="14850" width="10.6640625" customWidth="1"/>
    <col min="14851" max="14854" width="10" customWidth="1"/>
    <col min="14855" max="14856" width="20.6640625" customWidth="1"/>
    <col min="14857" max="14860" width="7.6640625" customWidth="1"/>
    <col min="14861" max="14863" width="10.6640625" customWidth="1"/>
    <col min="14864" max="14867" width="10" customWidth="1"/>
    <col min="14868" max="14869" width="20.6640625" customWidth="1"/>
    <col min="14870" max="14873" width="7.6640625" customWidth="1"/>
    <col min="14874" max="14876" width="10.6640625" customWidth="1"/>
    <col min="14877" max="14882" width="10" customWidth="1"/>
    <col min="14883" max="14883" width="7.6640625" customWidth="1"/>
    <col min="14884" max="14885" width="10.6640625" customWidth="1"/>
    <col min="14886" max="14886" width="7.6640625" customWidth="1"/>
    <col min="14887" max="14892" width="10.6640625" customWidth="1"/>
    <col min="14893" max="14894" width="11.6640625" customWidth="1"/>
    <col min="14895" max="14896" width="10.6640625" customWidth="1"/>
    <col min="14897" max="14899" width="9.6640625" customWidth="1"/>
    <col min="14900" max="14900" width="12.5546875" bestFit="1" customWidth="1"/>
    <col min="14901" max="14901" width="9" customWidth="1"/>
    <col min="14902" max="14903" width="10.109375" bestFit="1" customWidth="1"/>
    <col min="15005" max="15005" width="5.6640625" customWidth="1"/>
    <col min="15006" max="15007" width="8.6640625" customWidth="1"/>
    <col min="15008" max="15008" width="4.6640625" customWidth="1"/>
    <col min="15009" max="15010" width="15.6640625" customWidth="1"/>
    <col min="15011" max="15011" width="5.6640625" customWidth="1"/>
    <col min="15012" max="15012" width="4.6640625" customWidth="1"/>
    <col min="15013" max="15013" width="20.6640625" customWidth="1"/>
    <col min="15014" max="15014" width="4.6640625" customWidth="1"/>
    <col min="15015" max="15015" width="5.6640625" customWidth="1"/>
    <col min="15016" max="15016" width="8.6640625" customWidth="1"/>
    <col min="15017" max="15017" width="4.6640625" customWidth="1"/>
    <col min="15018" max="15018" width="10.6640625" customWidth="1"/>
    <col min="15019" max="15019" width="4.6640625" customWidth="1"/>
    <col min="15020" max="15020" width="20.6640625" customWidth="1"/>
    <col min="15021" max="15022" width="5.6640625" customWidth="1"/>
    <col min="15023" max="15023" width="8.6640625" customWidth="1"/>
    <col min="15024" max="15024" width="4.6640625" customWidth="1"/>
    <col min="15025" max="15025" width="10.6640625" customWidth="1"/>
    <col min="15026" max="15026" width="4.6640625" customWidth="1"/>
    <col min="15027" max="15027" width="20.6640625" customWidth="1"/>
    <col min="15028" max="15029" width="5.6640625" customWidth="1"/>
    <col min="15030" max="15030" width="8.6640625" customWidth="1"/>
    <col min="15031" max="15031" width="4.6640625" customWidth="1"/>
    <col min="15032" max="15032" width="10.6640625" customWidth="1"/>
    <col min="15033" max="15033" width="4.6640625" customWidth="1"/>
    <col min="15034" max="15034" width="20.6640625" customWidth="1"/>
    <col min="15035" max="15036" width="5.6640625" customWidth="1"/>
    <col min="15037" max="15037" width="8.6640625" customWidth="1"/>
    <col min="15038" max="15038" width="4.6640625" customWidth="1"/>
    <col min="15039" max="15039" width="10.6640625" customWidth="1"/>
    <col min="15040" max="15040" width="4.6640625" customWidth="1"/>
    <col min="15041" max="15041" width="20.6640625" customWidth="1"/>
    <col min="15042" max="15043" width="5.6640625" customWidth="1"/>
    <col min="15044" max="15044" width="8.6640625" customWidth="1"/>
    <col min="15045" max="15045" width="4.6640625" customWidth="1"/>
    <col min="15046" max="15046" width="10.6640625" customWidth="1"/>
    <col min="15047" max="15047" width="5.6640625" customWidth="1"/>
    <col min="15048" max="15048" width="20.6640625" customWidth="1"/>
    <col min="15049" max="15049" width="7.6640625" customWidth="1"/>
    <col min="15050" max="15050" width="8.6640625" customWidth="1"/>
    <col min="15051" max="15051" width="7.6640625" customWidth="1"/>
    <col min="15052" max="15052" width="5.6640625" customWidth="1"/>
    <col min="15053" max="15053" width="20.6640625" customWidth="1"/>
    <col min="15054" max="15054" width="7.6640625" customWidth="1"/>
    <col min="15055" max="15055" width="8.6640625" customWidth="1"/>
    <col min="15056" max="15056" width="7.6640625" customWidth="1"/>
    <col min="15057" max="15057" width="8.6640625" customWidth="1"/>
    <col min="15058" max="15059" width="10.6640625" customWidth="1"/>
    <col min="15060" max="15060" width="4.6640625" customWidth="1"/>
    <col min="15061" max="15061" width="20.6640625" customWidth="1"/>
    <col min="15062" max="15065" width="5.6640625" customWidth="1"/>
    <col min="15066" max="15067" width="4.6640625" customWidth="1"/>
    <col min="15068" max="15068" width="20.6640625" customWidth="1"/>
    <col min="15069" max="15069" width="4.6640625" customWidth="1"/>
    <col min="15070" max="15070" width="20.6640625" customWidth="1"/>
    <col min="15071" max="15071" width="5.6640625" customWidth="1"/>
    <col min="15072" max="15072" width="20.6640625" customWidth="1"/>
    <col min="15073" max="15073" width="15.6640625" customWidth="1"/>
    <col min="15074" max="15077" width="8.6640625" customWidth="1"/>
    <col min="15078" max="15079" width="10.6640625" customWidth="1"/>
    <col min="15080" max="15082" width="8.6640625" customWidth="1"/>
    <col min="15083" max="15083" width="9.6640625" customWidth="1"/>
    <col min="15084" max="15084" width="8.6640625" customWidth="1"/>
    <col min="15085" max="15086" width="20.6640625" customWidth="1"/>
    <col min="15087" max="15090" width="8.6640625" customWidth="1"/>
    <col min="15091" max="15093" width="10.6640625" customWidth="1"/>
    <col min="15094" max="15097" width="10" customWidth="1"/>
    <col min="15098" max="15099" width="20.6640625" customWidth="1"/>
    <col min="15100" max="15103" width="7.6640625" customWidth="1"/>
    <col min="15104" max="15106" width="10.6640625" customWidth="1"/>
    <col min="15107" max="15110" width="10" customWidth="1"/>
    <col min="15111" max="15112" width="20.6640625" customWidth="1"/>
    <col min="15113" max="15116" width="7.6640625" customWidth="1"/>
    <col min="15117" max="15119" width="10.6640625" customWidth="1"/>
    <col min="15120" max="15123" width="10" customWidth="1"/>
    <col min="15124" max="15125" width="20.6640625" customWidth="1"/>
    <col min="15126" max="15129" width="7.6640625" customWidth="1"/>
    <col min="15130" max="15132" width="10.6640625" customWidth="1"/>
    <col min="15133" max="15138" width="10" customWidth="1"/>
    <col min="15139" max="15139" width="7.6640625" customWidth="1"/>
    <col min="15140" max="15141" width="10.6640625" customWidth="1"/>
    <col min="15142" max="15142" width="7.6640625" customWidth="1"/>
    <col min="15143" max="15148" width="10.6640625" customWidth="1"/>
    <col min="15149" max="15150" width="11.6640625" customWidth="1"/>
    <col min="15151" max="15152" width="10.6640625" customWidth="1"/>
    <col min="15153" max="15155" width="9.6640625" customWidth="1"/>
    <col min="15156" max="15156" width="12.5546875" bestFit="1" customWidth="1"/>
    <col min="15157" max="15157" width="9" customWidth="1"/>
    <col min="15158" max="15159" width="10.109375" bestFit="1" customWidth="1"/>
    <col min="15261" max="15261" width="5.6640625" customWidth="1"/>
    <col min="15262" max="15263" width="8.6640625" customWidth="1"/>
    <col min="15264" max="15264" width="4.6640625" customWidth="1"/>
    <col min="15265" max="15266" width="15.6640625" customWidth="1"/>
    <col min="15267" max="15267" width="5.6640625" customWidth="1"/>
    <col min="15268" max="15268" width="4.6640625" customWidth="1"/>
    <col min="15269" max="15269" width="20.6640625" customWidth="1"/>
    <col min="15270" max="15270" width="4.6640625" customWidth="1"/>
    <col min="15271" max="15271" width="5.6640625" customWidth="1"/>
    <col min="15272" max="15272" width="8.6640625" customWidth="1"/>
    <col min="15273" max="15273" width="4.6640625" customWidth="1"/>
    <col min="15274" max="15274" width="10.6640625" customWidth="1"/>
    <col min="15275" max="15275" width="4.6640625" customWidth="1"/>
    <col min="15276" max="15276" width="20.6640625" customWidth="1"/>
    <col min="15277" max="15278" width="5.6640625" customWidth="1"/>
    <col min="15279" max="15279" width="8.6640625" customWidth="1"/>
    <col min="15280" max="15280" width="4.6640625" customWidth="1"/>
    <col min="15281" max="15281" width="10.6640625" customWidth="1"/>
    <col min="15282" max="15282" width="4.6640625" customWidth="1"/>
    <col min="15283" max="15283" width="20.6640625" customWidth="1"/>
    <col min="15284" max="15285" width="5.6640625" customWidth="1"/>
    <col min="15286" max="15286" width="8.6640625" customWidth="1"/>
    <col min="15287" max="15287" width="4.6640625" customWidth="1"/>
    <col min="15288" max="15288" width="10.6640625" customWidth="1"/>
    <col min="15289" max="15289" width="4.6640625" customWidth="1"/>
    <col min="15290" max="15290" width="20.6640625" customWidth="1"/>
    <col min="15291" max="15292" width="5.6640625" customWidth="1"/>
    <col min="15293" max="15293" width="8.6640625" customWidth="1"/>
    <col min="15294" max="15294" width="4.6640625" customWidth="1"/>
    <col min="15295" max="15295" width="10.6640625" customWidth="1"/>
    <col min="15296" max="15296" width="4.6640625" customWidth="1"/>
    <col min="15297" max="15297" width="20.6640625" customWidth="1"/>
    <col min="15298" max="15299" width="5.6640625" customWidth="1"/>
    <col min="15300" max="15300" width="8.6640625" customWidth="1"/>
    <col min="15301" max="15301" width="4.6640625" customWidth="1"/>
    <col min="15302" max="15302" width="10.6640625" customWidth="1"/>
    <col min="15303" max="15303" width="5.6640625" customWidth="1"/>
    <col min="15304" max="15304" width="20.6640625" customWidth="1"/>
    <col min="15305" max="15305" width="7.6640625" customWidth="1"/>
    <col min="15306" max="15306" width="8.6640625" customWidth="1"/>
    <col min="15307" max="15307" width="7.6640625" customWidth="1"/>
    <col min="15308" max="15308" width="5.6640625" customWidth="1"/>
    <col min="15309" max="15309" width="20.6640625" customWidth="1"/>
    <col min="15310" max="15310" width="7.6640625" customWidth="1"/>
    <col min="15311" max="15311" width="8.6640625" customWidth="1"/>
    <col min="15312" max="15312" width="7.6640625" customWidth="1"/>
    <col min="15313" max="15313" width="8.6640625" customWidth="1"/>
    <col min="15314" max="15315" width="10.6640625" customWidth="1"/>
    <col min="15316" max="15316" width="4.6640625" customWidth="1"/>
    <col min="15317" max="15317" width="20.6640625" customWidth="1"/>
    <col min="15318" max="15321" width="5.6640625" customWidth="1"/>
    <col min="15322" max="15323" width="4.6640625" customWidth="1"/>
    <col min="15324" max="15324" width="20.6640625" customWidth="1"/>
    <col min="15325" max="15325" width="4.6640625" customWidth="1"/>
    <col min="15326" max="15326" width="20.6640625" customWidth="1"/>
    <col min="15327" max="15327" width="5.6640625" customWidth="1"/>
    <col min="15328" max="15328" width="20.6640625" customWidth="1"/>
    <col min="15329" max="15329" width="15.6640625" customWidth="1"/>
    <col min="15330" max="15333" width="8.6640625" customWidth="1"/>
    <col min="15334" max="15335" width="10.6640625" customWidth="1"/>
    <col min="15336" max="15338" width="8.6640625" customWidth="1"/>
    <col min="15339" max="15339" width="9.6640625" customWidth="1"/>
    <col min="15340" max="15340" width="8.6640625" customWidth="1"/>
    <col min="15341" max="15342" width="20.6640625" customWidth="1"/>
    <col min="15343" max="15346" width="8.6640625" customWidth="1"/>
    <col min="15347" max="15349" width="10.6640625" customWidth="1"/>
    <col min="15350" max="15353" width="10" customWidth="1"/>
    <col min="15354" max="15355" width="20.6640625" customWidth="1"/>
    <col min="15356" max="15359" width="7.6640625" customWidth="1"/>
    <col min="15360" max="15362" width="10.6640625" customWidth="1"/>
    <col min="15363" max="15366" width="10" customWidth="1"/>
    <col min="15367" max="15368" width="20.6640625" customWidth="1"/>
    <col min="15369" max="15372" width="7.6640625" customWidth="1"/>
    <col min="15373" max="15375" width="10.6640625" customWidth="1"/>
    <col min="15376" max="15379" width="10" customWidth="1"/>
    <col min="15380" max="15381" width="20.6640625" customWidth="1"/>
    <col min="15382" max="15385" width="7.6640625" customWidth="1"/>
    <col min="15386" max="15388" width="10.6640625" customWidth="1"/>
    <col min="15389" max="15394" width="10" customWidth="1"/>
    <col min="15395" max="15395" width="7.6640625" customWidth="1"/>
    <col min="15396" max="15397" width="10.6640625" customWidth="1"/>
    <col min="15398" max="15398" width="7.6640625" customWidth="1"/>
    <col min="15399" max="15404" width="10.6640625" customWidth="1"/>
    <col min="15405" max="15406" width="11.6640625" customWidth="1"/>
    <col min="15407" max="15408" width="10.6640625" customWidth="1"/>
    <col min="15409" max="15411" width="9.6640625" customWidth="1"/>
    <col min="15412" max="15412" width="12.5546875" bestFit="1" customWidth="1"/>
    <col min="15413" max="15413" width="9" customWidth="1"/>
    <col min="15414" max="15415" width="10.109375" bestFit="1" customWidth="1"/>
    <col min="15517" max="15517" width="5.6640625" customWidth="1"/>
    <col min="15518" max="15519" width="8.6640625" customWidth="1"/>
    <col min="15520" max="15520" width="4.6640625" customWidth="1"/>
    <col min="15521" max="15522" width="15.6640625" customWidth="1"/>
    <col min="15523" max="15523" width="5.6640625" customWidth="1"/>
    <col min="15524" max="15524" width="4.6640625" customWidth="1"/>
    <col min="15525" max="15525" width="20.6640625" customWidth="1"/>
    <col min="15526" max="15526" width="4.6640625" customWidth="1"/>
    <col min="15527" max="15527" width="5.6640625" customWidth="1"/>
    <col min="15528" max="15528" width="8.6640625" customWidth="1"/>
    <col min="15529" max="15529" width="4.6640625" customWidth="1"/>
    <col min="15530" max="15530" width="10.6640625" customWidth="1"/>
    <col min="15531" max="15531" width="4.6640625" customWidth="1"/>
    <col min="15532" max="15532" width="20.6640625" customWidth="1"/>
    <col min="15533" max="15534" width="5.6640625" customWidth="1"/>
    <col min="15535" max="15535" width="8.6640625" customWidth="1"/>
    <col min="15536" max="15536" width="4.6640625" customWidth="1"/>
    <col min="15537" max="15537" width="10.6640625" customWidth="1"/>
    <col min="15538" max="15538" width="4.6640625" customWidth="1"/>
    <col min="15539" max="15539" width="20.6640625" customWidth="1"/>
    <col min="15540" max="15541" width="5.6640625" customWidth="1"/>
    <col min="15542" max="15542" width="8.6640625" customWidth="1"/>
    <col min="15543" max="15543" width="4.6640625" customWidth="1"/>
    <col min="15544" max="15544" width="10.6640625" customWidth="1"/>
    <col min="15545" max="15545" width="4.6640625" customWidth="1"/>
    <col min="15546" max="15546" width="20.6640625" customWidth="1"/>
    <col min="15547" max="15548" width="5.6640625" customWidth="1"/>
    <col min="15549" max="15549" width="8.6640625" customWidth="1"/>
    <col min="15550" max="15550" width="4.6640625" customWidth="1"/>
    <col min="15551" max="15551" width="10.6640625" customWidth="1"/>
    <col min="15552" max="15552" width="4.6640625" customWidth="1"/>
    <col min="15553" max="15553" width="20.6640625" customWidth="1"/>
    <col min="15554" max="15555" width="5.6640625" customWidth="1"/>
    <col min="15556" max="15556" width="8.6640625" customWidth="1"/>
    <col min="15557" max="15557" width="4.6640625" customWidth="1"/>
    <col min="15558" max="15558" width="10.6640625" customWidth="1"/>
    <col min="15559" max="15559" width="5.6640625" customWidth="1"/>
    <col min="15560" max="15560" width="20.6640625" customWidth="1"/>
    <col min="15561" max="15561" width="7.6640625" customWidth="1"/>
    <col min="15562" max="15562" width="8.6640625" customWidth="1"/>
    <col min="15563" max="15563" width="7.6640625" customWidth="1"/>
    <col min="15564" max="15564" width="5.6640625" customWidth="1"/>
    <col min="15565" max="15565" width="20.6640625" customWidth="1"/>
    <col min="15566" max="15566" width="7.6640625" customWidth="1"/>
    <col min="15567" max="15567" width="8.6640625" customWidth="1"/>
    <col min="15568" max="15568" width="7.6640625" customWidth="1"/>
    <col min="15569" max="15569" width="8.6640625" customWidth="1"/>
    <col min="15570" max="15571" width="10.6640625" customWidth="1"/>
    <col min="15572" max="15572" width="4.6640625" customWidth="1"/>
    <col min="15573" max="15573" width="20.6640625" customWidth="1"/>
    <col min="15574" max="15577" width="5.6640625" customWidth="1"/>
    <col min="15578" max="15579" width="4.6640625" customWidth="1"/>
    <col min="15580" max="15580" width="20.6640625" customWidth="1"/>
    <col min="15581" max="15581" width="4.6640625" customWidth="1"/>
    <col min="15582" max="15582" width="20.6640625" customWidth="1"/>
    <col min="15583" max="15583" width="5.6640625" customWidth="1"/>
    <col min="15584" max="15584" width="20.6640625" customWidth="1"/>
    <col min="15585" max="15585" width="15.6640625" customWidth="1"/>
    <col min="15586" max="15589" width="8.6640625" customWidth="1"/>
    <col min="15590" max="15591" width="10.6640625" customWidth="1"/>
    <col min="15592" max="15594" width="8.6640625" customWidth="1"/>
    <col min="15595" max="15595" width="9.6640625" customWidth="1"/>
    <col min="15596" max="15596" width="8.6640625" customWidth="1"/>
    <col min="15597" max="15598" width="20.6640625" customWidth="1"/>
    <col min="15599" max="15602" width="8.6640625" customWidth="1"/>
    <col min="15603" max="15605" width="10.6640625" customWidth="1"/>
    <col min="15606" max="15609" width="10" customWidth="1"/>
    <col min="15610" max="15611" width="20.6640625" customWidth="1"/>
    <col min="15612" max="15615" width="7.6640625" customWidth="1"/>
    <col min="15616" max="15618" width="10.6640625" customWidth="1"/>
    <col min="15619" max="15622" width="10" customWidth="1"/>
    <col min="15623" max="15624" width="20.6640625" customWidth="1"/>
    <col min="15625" max="15628" width="7.6640625" customWidth="1"/>
    <col min="15629" max="15631" width="10.6640625" customWidth="1"/>
    <col min="15632" max="15635" width="10" customWidth="1"/>
    <col min="15636" max="15637" width="20.6640625" customWidth="1"/>
    <col min="15638" max="15641" width="7.6640625" customWidth="1"/>
    <col min="15642" max="15644" width="10.6640625" customWidth="1"/>
    <col min="15645" max="15650" width="10" customWidth="1"/>
    <col min="15651" max="15651" width="7.6640625" customWidth="1"/>
    <col min="15652" max="15653" width="10.6640625" customWidth="1"/>
    <col min="15654" max="15654" width="7.6640625" customWidth="1"/>
    <col min="15655" max="15660" width="10.6640625" customWidth="1"/>
    <col min="15661" max="15662" width="11.6640625" customWidth="1"/>
    <col min="15663" max="15664" width="10.6640625" customWidth="1"/>
    <col min="15665" max="15667" width="9.6640625" customWidth="1"/>
    <col min="15668" max="15668" width="12.5546875" bestFit="1" customWidth="1"/>
    <col min="15669" max="15669" width="9" customWidth="1"/>
    <col min="15670" max="15671" width="10.109375" bestFit="1" customWidth="1"/>
    <col min="15773" max="15773" width="5.6640625" customWidth="1"/>
    <col min="15774" max="15775" width="8.6640625" customWidth="1"/>
    <col min="15776" max="15776" width="4.6640625" customWidth="1"/>
    <col min="15777" max="15778" width="15.6640625" customWidth="1"/>
    <col min="15779" max="15779" width="5.6640625" customWidth="1"/>
    <col min="15780" max="15780" width="4.6640625" customWidth="1"/>
    <col min="15781" max="15781" width="20.6640625" customWidth="1"/>
    <col min="15782" max="15782" width="4.6640625" customWidth="1"/>
    <col min="15783" max="15783" width="5.6640625" customWidth="1"/>
    <col min="15784" max="15784" width="8.6640625" customWidth="1"/>
    <col min="15785" max="15785" width="4.6640625" customWidth="1"/>
    <col min="15786" max="15786" width="10.6640625" customWidth="1"/>
    <col min="15787" max="15787" width="4.6640625" customWidth="1"/>
    <col min="15788" max="15788" width="20.6640625" customWidth="1"/>
    <col min="15789" max="15790" width="5.6640625" customWidth="1"/>
    <col min="15791" max="15791" width="8.6640625" customWidth="1"/>
    <col min="15792" max="15792" width="4.6640625" customWidth="1"/>
    <col min="15793" max="15793" width="10.6640625" customWidth="1"/>
    <col min="15794" max="15794" width="4.6640625" customWidth="1"/>
    <col min="15795" max="15795" width="20.6640625" customWidth="1"/>
    <col min="15796" max="15797" width="5.6640625" customWidth="1"/>
    <col min="15798" max="15798" width="8.6640625" customWidth="1"/>
    <col min="15799" max="15799" width="4.6640625" customWidth="1"/>
    <col min="15800" max="15800" width="10.6640625" customWidth="1"/>
    <col min="15801" max="15801" width="4.6640625" customWidth="1"/>
    <col min="15802" max="15802" width="20.6640625" customWidth="1"/>
    <col min="15803" max="15804" width="5.6640625" customWidth="1"/>
    <col min="15805" max="15805" width="8.6640625" customWidth="1"/>
    <col min="15806" max="15806" width="4.6640625" customWidth="1"/>
    <col min="15807" max="15807" width="10.6640625" customWidth="1"/>
    <col min="15808" max="15808" width="4.6640625" customWidth="1"/>
    <col min="15809" max="15809" width="20.6640625" customWidth="1"/>
    <col min="15810" max="15811" width="5.6640625" customWidth="1"/>
    <col min="15812" max="15812" width="8.6640625" customWidth="1"/>
    <col min="15813" max="15813" width="4.6640625" customWidth="1"/>
    <col min="15814" max="15814" width="10.6640625" customWidth="1"/>
    <col min="15815" max="15815" width="5.6640625" customWidth="1"/>
    <col min="15816" max="15816" width="20.6640625" customWidth="1"/>
    <col min="15817" max="15817" width="7.6640625" customWidth="1"/>
    <col min="15818" max="15818" width="8.6640625" customWidth="1"/>
    <col min="15819" max="15819" width="7.6640625" customWidth="1"/>
    <col min="15820" max="15820" width="5.6640625" customWidth="1"/>
    <col min="15821" max="15821" width="20.6640625" customWidth="1"/>
    <col min="15822" max="15822" width="7.6640625" customWidth="1"/>
    <col min="15823" max="15823" width="8.6640625" customWidth="1"/>
    <col min="15824" max="15824" width="7.6640625" customWidth="1"/>
    <col min="15825" max="15825" width="8.6640625" customWidth="1"/>
    <col min="15826" max="15827" width="10.6640625" customWidth="1"/>
    <col min="15828" max="15828" width="4.6640625" customWidth="1"/>
    <col min="15829" max="15829" width="20.6640625" customWidth="1"/>
    <col min="15830" max="15833" width="5.6640625" customWidth="1"/>
    <col min="15834" max="15835" width="4.6640625" customWidth="1"/>
    <col min="15836" max="15836" width="20.6640625" customWidth="1"/>
    <col min="15837" max="15837" width="4.6640625" customWidth="1"/>
    <col min="15838" max="15838" width="20.6640625" customWidth="1"/>
    <col min="15839" max="15839" width="5.6640625" customWidth="1"/>
    <col min="15840" max="15840" width="20.6640625" customWidth="1"/>
    <col min="15841" max="15841" width="15.6640625" customWidth="1"/>
    <col min="15842" max="15845" width="8.6640625" customWidth="1"/>
    <col min="15846" max="15847" width="10.6640625" customWidth="1"/>
    <col min="15848" max="15850" width="8.6640625" customWidth="1"/>
    <col min="15851" max="15851" width="9.6640625" customWidth="1"/>
    <col min="15852" max="15852" width="8.6640625" customWidth="1"/>
    <col min="15853" max="15854" width="20.6640625" customWidth="1"/>
    <col min="15855" max="15858" width="8.6640625" customWidth="1"/>
    <col min="15859" max="15861" width="10.6640625" customWidth="1"/>
    <col min="15862" max="15865" width="10" customWidth="1"/>
    <col min="15866" max="15867" width="20.6640625" customWidth="1"/>
    <col min="15868" max="15871" width="7.6640625" customWidth="1"/>
    <col min="15872" max="15874" width="10.6640625" customWidth="1"/>
    <col min="15875" max="15878" width="10" customWidth="1"/>
    <col min="15879" max="15880" width="20.6640625" customWidth="1"/>
    <col min="15881" max="15884" width="7.6640625" customWidth="1"/>
    <col min="15885" max="15887" width="10.6640625" customWidth="1"/>
    <col min="15888" max="15891" width="10" customWidth="1"/>
    <col min="15892" max="15893" width="20.6640625" customWidth="1"/>
    <col min="15894" max="15897" width="7.6640625" customWidth="1"/>
    <col min="15898" max="15900" width="10.6640625" customWidth="1"/>
    <col min="15901" max="15906" width="10" customWidth="1"/>
    <col min="15907" max="15907" width="7.6640625" customWidth="1"/>
    <col min="15908" max="15909" width="10.6640625" customWidth="1"/>
    <col min="15910" max="15910" width="7.6640625" customWidth="1"/>
    <col min="15911" max="15916" width="10.6640625" customWidth="1"/>
    <col min="15917" max="15918" width="11.6640625" customWidth="1"/>
    <col min="15919" max="15920" width="10.6640625" customWidth="1"/>
    <col min="15921" max="15923" width="9.6640625" customWidth="1"/>
    <col min="15924" max="15924" width="12.5546875" bestFit="1" customWidth="1"/>
    <col min="15925" max="15925" width="9" customWidth="1"/>
    <col min="15926" max="15927" width="10.109375" bestFit="1" customWidth="1"/>
    <col min="16029" max="16029" width="5.6640625" customWidth="1"/>
    <col min="16030" max="16031" width="8.6640625" customWidth="1"/>
    <col min="16032" max="16032" width="4.6640625" customWidth="1"/>
    <col min="16033" max="16034" width="15.6640625" customWidth="1"/>
    <col min="16035" max="16035" width="5.6640625" customWidth="1"/>
    <col min="16036" max="16036" width="4.6640625" customWidth="1"/>
    <col min="16037" max="16037" width="20.6640625" customWidth="1"/>
    <col min="16038" max="16038" width="4.6640625" customWidth="1"/>
    <col min="16039" max="16039" width="5.6640625" customWidth="1"/>
    <col min="16040" max="16040" width="8.6640625" customWidth="1"/>
    <col min="16041" max="16041" width="4.6640625" customWidth="1"/>
    <col min="16042" max="16042" width="10.6640625" customWidth="1"/>
    <col min="16043" max="16043" width="4.6640625" customWidth="1"/>
    <col min="16044" max="16044" width="20.6640625" customWidth="1"/>
    <col min="16045" max="16046" width="5.6640625" customWidth="1"/>
    <col min="16047" max="16047" width="8.6640625" customWidth="1"/>
    <col min="16048" max="16048" width="4.6640625" customWidth="1"/>
    <col min="16049" max="16049" width="10.6640625" customWidth="1"/>
    <col min="16050" max="16050" width="4.6640625" customWidth="1"/>
    <col min="16051" max="16051" width="20.6640625" customWidth="1"/>
    <col min="16052" max="16053" width="5.6640625" customWidth="1"/>
    <col min="16054" max="16054" width="8.6640625" customWidth="1"/>
    <col min="16055" max="16055" width="4.6640625" customWidth="1"/>
    <col min="16056" max="16056" width="10.6640625" customWidth="1"/>
    <col min="16057" max="16057" width="4.6640625" customWidth="1"/>
    <col min="16058" max="16058" width="20.6640625" customWidth="1"/>
    <col min="16059" max="16060" width="5.6640625" customWidth="1"/>
    <col min="16061" max="16061" width="8.6640625" customWidth="1"/>
    <col min="16062" max="16062" width="4.6640625" customWidth="1"/>
    <col min="16063" max="16063" width="10.6640625" customWidth="1"/>
    <col min="16064" max="16064" width="4.6640625" customWidth="1"/>
    <col min="16065" max="16065" width="20.6640625" customWidth="1"/>
    <col min="16066" max="16067" width="5.6640625" customWidth="1"/>
    <col min="16068" max="16068" width="8.6640625" customWidth="1"/>
    <col min="16069" max="16069" width="4.6640625" customWidth="1"/>
    <col min="16070" max="16070" width="10.6640625" customWidth="1"/>
    <col min="16071" max="16071" width="5.6640625" customWidth="1"/>
    <col min="16072" max="16072" width="20.6640625" customWidth="1"/>
    <col min="16073" max="16073" width="7.6640625" customWidth="1"/>
    <col min="16074" max="16074" width="8.6640625" customWidth="1"/>
    <col min="16075" max="16075" width="7.6640625" customWidth="1"/>
    <col min="16076" max="16076" width="5.6640625" customWidth="1"/>
    <col min="16077" max="16077" width="20.6640625" customWidth="1"/>
    <col min="16078" max="16078" width="7.6640625" customWidth="1"/>
    <col min="16079" max="16079" width="8.6640625" customWidth="1"/>
    <col min="16080" max="16080" width="7.6640625" customWidth="1"/>
    <col min="16081" max="16081" width="8.6640625" customWidth="1"/>
    <col min="16082" max="16083" width="10.6640625" customWidth="1"/>
    <col min="16084" max="16084" width="4.6640625" customWidth="1"/>
    <col min="16085" max="16085" width="20.6640625" customWidth="1"/>
    <col min="16086" max="16089" width="5.6640625" customWidth="1"/>
    <col min="16090" max="16091" width="4.6640625" customWidth="1"/>
    <col min="16092" max="16092" width="20.6640625" customWidth="1"/>
    <col min="16093" max="16093" width="4.6640625" customWidth="1"/>
    <col min="16094" max="16094" width="20.6640625" customWidth="1"/>
    <col min="16095" max="16095" width="5.6640625" customWidth="1"/>
    <col min="16096" max="16096" width="20.6640625" customWidth="1"/>
    <col min="16097" max="16097" width="15.6640625" customWidth="1"/>
    <col min="16098" max="16101" width="8.6640625" customWidth="1"/>
    <col min="16102" max="16103" width="10.6640625" customWidth="1"/>
    <col min="16104" max="16106" width="8.6640625" customWidth="1"/>
    <col min="16107" max="16107" width="9.6640625" customWidth="1"/>
    <col min="16108" max="16108" width="8.6640625" customWidth="1"/>
    <col min="16109" max="16110" width="20.6640625" customWidth="1"/>
    <col min="16111" max="16114" width="8.6640625" customWidth="1"/>
    <col min="16115" max="16117" width="10.6640625" customWidth="1"/>
    <col min="16118" max="16121" width="10" customWidth="1"/>
    <col min="16122" max="16123" width="20.6640625" customWidth="1"/>
    <col min="16124" max="16127" width="7.6640625" customWidth="1"/>
    <col min="16128" max="16130" width="10.6640625" customWidth="1"/>
    <col min="16131" max="16134" width="10" customWidth="1"/>
    <col min="16135" max="16136" width="20.6640625" customWidth="1"/>
    <col min="16137" max="16140" width="7.6640625" customWidth="1"/>
    <col min="16141" max="16143" width="10.6640625" customWidth="1"/>
    <col min="16144" max="16147" width="10" customWidth="1"/>
    <col min="16148" max="16149" width="20.6640625" customWidth="1"/>
    <col min="16150" max="16153" width="7.6640625" customWidth="1"/>
    <col min="16154" max="16156" width="10.6640625" customWidth="1"/>
    <col min="16157" max="16162" width="10" customWidth="1"/>
    <col min="16163" max="16163" width="7.6640625" customWidth="1"/>
    <col min="16164" max="16165" width="10.6640625" customWidth="1"/>
    <col min="16166" max="16166" width="7.6640625" customWidth="1"/>
    <col min="16167" max="16172" width="10.6640625" customWidth="1"/>
    <col min="16173" max="16174" width="11.6640625" customWidth="1"/>
    <col min="16175" max="16176" width="10.6640625" customWidth="1"/>
    <col min="16177" max="16179" width="9.6640625" customWidth="1"/>
    <col min="16180" max="16180" width="12.5546875" bestFit="1" customWidth="1"/>
    <col min="16181" max="16181" width="9" customWidth="1"/>
    <col min="16182" max="16183" width="10.109375" bestFit="1" customWidth="1"/>
  </cols>
  <sheetData>
    <row r="1" spans="1:56" ht="31.2">
      <c r="A1" s="7" t="s">
        <v>73</v>
      </c>
      <c r="B1" s="7" t="s">
        <v>81</v>
      </c>
      <c r="C1" s="7" t="s">
        <v>82</v>
      </c>
      <c r="D1" s="7" t="s">
        <v>83</v>
      </c>
      <c r="E1" s="8" t="s">
        <v>3</v>
      </c>
      <c r="F1" s="8" t="s">
        <v>84</v>
      </c>
      <c r="G1" s="7" t="s">
        <v>87</v>
      </c>
      <c r="H1" s="7" t="s">
        <v>120</v>
      </c>
      <c r="I1" s="7"/>
      <c r="J1" s="7" t="s">
        <v>121</v>
      </c>
      <c r="K1" s="8" t="s">
        <v>21</v>
      </c>
      <c r="L1" s="7" t="s">
        <v>183</v>
      </c>
      <c r="M1" s="7" t="s">
        <v>182</v>
      </c>
      <c r="N1" s="7" t="s">
        <v>122</v>
      </c>
      <c r="O1" s="8" t="s">
        <v>21</v>
      </c>
      <c r="P1" s="7" t="s">
        <v>183</v>
      </c>
      <c r="Q1" s="7" t="s">
        <v>182</v>
      </c>
      <c r="R1" s="7" t="s">
        <v>123</v>
      </c>
      <c r="S1" s="8" t="s">
        <v>21</v>
      </c>
      <c r="T1" s="7" t="s">
        <v>183</v>
      </c>
      <c r="U1" s="7" t="s">
        <v>182</v>
      </c>
      <c r="V1" s="7" t="s">
        <v>124</v>
      </c>
      <c r="W1" s="8" t="s">
        <v>21</v>
      </c>
      <c r="X1" s="7" t="s">
        <v>183</v>
      </c>
      <c r="Y1" s="7" t="s">
        <v>182</v>
      </c>
      <c r="Z1" s="7" t="s">
        <v>125</v>
      </c>
      <c r="AA1" s="8" t="s">
        <v>21</v>
      </c>
      <c r="AB1" s="7" t="s">
        <v>183</v>
      </c>
      <c r="AC1" s="7" t="s">
        <v>182</v>
      </c>
      <c r="AD1" s="7" t="s">
        <v>126</v>
      </c>
      <c r="AE1" s="8" t="s">
        <v>21</v>
      </c>
      <c r="AF1" s="7" t="s">
        <v>183</v>
      </c>
      <c r="AG1" s="7" t="s">
        <v>182</v>
      </c>
      <c r="AH1" s="7" t="s">
        <v>127</v>
      </c>
      <c r="AI1" s="7" t="s">
        <v>183</v>
      </c>
      <c r="AJ1" s="7" t="s">
        <v>182</v>
      </c>
      <c r="AK1" s="7" t="s">
        <v>1</v>
      </c>
      <c r="AL1" s="7" t="s">
        <v>2</v>
      </c>
      <c r="AM1" s="7" t="s">
        <v>4</v>
      </c>
      <c r="AN1" s="7" t="s">
        <v>5</v>
      </c>
      <c r="AO1" s="7" t="s">
        <v>6</v>
      </c>
      <c r="AP1" s="7" t="s">
        <v>7</v>
      </c>
      <c r="AQ1" s="7" t="s">
        <v>128</v>
      </c>
      <c r="AR1" s="7" t="s">
        <v>129</v>
      </c>
      <c r="AS1" s="7" t="s">
        <v>130</v>
      </c>
      <c r="AT1" s="7" t="s">
        <v>131</v>
      </c>
      <c r="AU1" s="7" t="s">
        <v>132</v>
      </c>
      <c r="AV1" s="7" t="s">
        <v>8</v>
      </c>
      <c r="AW1" s="9" t="s">
        <v>9</v>
      </c>
      <c r="AX1" s="7" t="s">
        <v>10</v>
      </c>
      <c r="AY1" s="7" t="s">
        <v>11</v>
      </c>
      <c r="AZ1" s="7" t="s">
        <v>12</v>
      </c>
      <c r="BA1" s="7" t="s">
        <v>13</v>
      </c>
      <c r="BB1" s="7" t="s">
        <v>14</v>
      </c>
      <c r="BC1" s="7" t="s">
        <v>15</v>
      </c>
      <c r="BD1" s="7" t="s">
        <v>16</v>
      </c>
    </row>
    <row r="2" spans="1:56" ht="72">
      <c r="A2" s="13" t="s">
        <v>394</v>
      </c>
      <c r="B2" s="11">
        <v>45591</v>
      </c>
      <c r="C2" s="12">
        <v>0.5</v>
      </c>
      <c r="D2" s="12">
        <f t="shared" ref="D2:D65" si="0">C2+0.0208333</f>
        <v>0.52083330000000005</v>
      </c>
      <c r="E2" s="10" t="s">
        <v>85</v>
      </c>
      <c r="F2" s="10">
        <f>IFERROR(VLOOKUP(E2,Data!A$2:B$5,2,TRUE), "")</f>
        <v>48160</v>
      </c>
      <c r="G2" s="3" t="s">
        <v>378</v>
      </c>
      <c r="H2" s="13">
        <f>IFERROR(VLOOKUP(A2,Customer_Data!$A$1:$P$114,8,TRUE),"")</f>
        <v>3100</v>
      </c>
      <c r="I2" s="13"/>
      <c r="J2" s="3" t="str">
        <f>IF($G2=("Fall (pre/post emerge)"),"Princep Liquid (100-526)", IF($G2=("Fertilize"),"Harrell's 34-0-5",IF($G2=("Spot Treat"),"Outrider (59639-223)","")))</f>
        <v>Princep Liquid (100-526)</v>
      </c>
      <c r="K2" s="62" t="s">
        <v>61</v>
      </c>
      <c r="L2" s="62">
        <v>32</v>
      </c>
      <c r="M2" s="16">
        <f t="shared" ref="M2:M65" si="1">L2*(H2/43560)</f>
        <v>2.2773186409550048</v>
      </c>
      <c r="N2" s="62" t="str">
        <f>IF($G2=("Fall (pre/post emerge)"),"Triplet SF (3-Way) 228-312",IF($G2=("Spring Preemerge (Jan)"),"Triplet SF (3-Way) 228-312",IF($G2=("Spring Preemerge (Apr)"),"Triplet SF (3-Way) 228-312","")))</f>
        <v>Triplet SF (3-Way) 228-312</v>
      </c>
      <c r="O2" s="63" t="str">
        <f>VLOOKUP($N2,Herbicide_Data!$A$1:$L$61,9)</f>
        <v>2,4-D, dimethylamine salt; Dicamba, dimethylamine salt;Mecoprop-p (MCPP-p), dimethylamine salt</v>
      </c>
      <c r="P2" s="62">
        <f>VLOOKUP($N2,Herbicide_Data!$A$1:$L$61,12)</f>
        <v>24</v>
      </c>
      <c r="Q2" s="16">
        <f t="shared" ref="Q2:Q65" si="2">P2*($H2/43560)</f>
        <v>1.7079889807162536</v>
      </c>
      <c r="R2" s="62" t="str">
        <f>IF($G2=("Fall (pre/post emerge)"),"Resolute 4Fl (100-1139)",IF($G2=("Spring Preemerge (Jan)"),"Resolute 4Fl (100-1139)",IF($G2=("Spring Preemerge (Apr)"),"Certinty Turf 59639-226","")))</f>
        <v>Resolute 4Fl (100-1139)</v>
      </c>
      <c r="S2" s="63" t="str">
        <f>VLOOKUP($R2,Herbicide_Data!$A$1:$L$61,9)</f>
        <v>Prodiamine</v>
      </c>
      <c r="T2" s="62">
        <f>VLOOKUP($R2,Herbicide_Data!$A$1:$L$61,12)</f>
        <v>16</v>
      </c>
      <c r="U2" s="16">
        <f t="shared" ref="U2:U65" si="3">T2*($H2/43560)</f>
        <v>1.1386593204775024</v>
      </c>
      <c r="V2" s="62" t="b">
        <f>IF($G2 = ("Preemerge"),"MSM Turf 228-373")</f>
        <v>0</v>
      </c>
      <c r="W2" s="63" t="e">
        <f>VLOOKUP($V2,Herbicide_Data!$A$1:$L$17,9)</f>
        <v>#N/A</v>
      </c>
      <c r="X2" s="62" t="e">
        <f>VLOOKUP($V2,Herbicide_Data!$A$1:$L$17,12)</f>
        <v>#N/A</v>
      </c>
      <c r="Y2" s="16" t="e">
        <f t="shared" ref="Y2:Y65" si="4">X2*($H2/43560)</f>
        <v>#N/A</v>
      </c>
      <c r="Z2" s="15"/>
      <c r="AA2" s="13"/>
      <c r="AB2" s="17"/>
      <c r="AC2" s="3"/>
      <c r="AD2" s="10"/>
      <c r="AE2" s="3"/>
      <c r="AF2" s="14"/>
      <c r="AG2" s="15"/>
      <c r="AH2" s="62" t="b">
        <f t="shared" ref="AH2:AH10" si="5">IF($G2 = ("Preemerge"),"Surfactant")</f>
        <v>0</v>
      </c>
      <c r="AI2" s="62" t="e">
        <f>VLOOKUP($AH2,Herbicide_Data!$A$1:$L$17,12)</f>
        <v>#N/A</v>
      </c>
      <c r="AJ2" s="16" t="e">
        <f t="shared" ref="AJ2:AJ65" si="6">AI2*($H2/43560)</f>
        <v>#N/A</v>
      </c>
      <c r="AK2" s="3"/>
      <c r="AL2" s="3"/>
      <c r="AM2" s="3"/>
      <c r="AN2" s="3"/>
      <c r="AO2" s="3"/>
      <c r="AP2" s="3"/>
      <c r="AQ2" s="18"/>
      <c r="AR2" s="19"/>
      <c r="AS2" s="19"/>
      <c r="AT2" s="20"/>
      <c r="AU2" s="20"/>
      <c r="AV2" s="21"/>
      <c r="AW2" s="22"/>
      <c r="AX2" s="19"/>
      <c r="AY2" s="19"/>
      <c r="AZ2" s="19"/>
      <c r="BA2" s="23"/>
      <c r="BB2" s="19"/>
      <c r="BC2" s="19"/>
      <c r="BD2" s="19"/>
    </row>
    <row r="3" spans="1:56" ht="72">
      <c r="A3" s="13" t="s">
        <v>382</v>
      </c>
      <c r="B3" s="11">
        <v>45591</v>
      </c>
      <c r="C3" s="12">
        <v>0.54166666666666663</v>
      </c>
      <c r="D3" s="12">
        <f t="shared" si="0"/>
        <v>0.56249996666666657</v>
      </c>
      <c r="E3" s="10" t="s">
        <v>85</v>
      </c>
      <c r="F3" s="10">
        <f>IFERROR(VLOOKUP(E3,Data!A$2:B$5,2,TRUE), "")</f>
        <v>48160</v>
      </c>
      <c r="G3" s="3" t="s">
        <v>378</v>
      </c>
      <c r="H3" s="13">
        <f>IFERROR(VLOOKUP(A3,Customer_Data!$A$1:$P$114,8,TRUE),"")</f>
        <v>1800</v>
      </c>
      <c r="I3" s="13"/>
      <c r="J3" s="3" t="str">
        <f t="shared" ref="J3:J66" si="7">IF($G3=("Fall (pre/post emerge)"),"Princep Liquid (100-526)", IF($G3=("Fertilize"),"Harrell's 34-0-5",IF($G3=("Spot Treat"),"Outrider (59639-223)","")))</f>
        <v>Princep Liquid (100-526)</v>
      </c>
      <c r="K3" s="62" t="str">
        <f>(VLOOKUP($J3,Herbicide_Data!$A$1:$L$61,9,TRUE))</f>
        <v>Simazine</v>
      </c>
      <c r="L3" s="62">
        <f>VLOOKUP($J3,Herbicide_Data!$A$1:$L$61,12,TRUE)</f>
        <v>32</v>
      </c>
      <c r="M3" s="16">
        <f t="shared" si="1"/>
        <v>1.3223140495867769</v>
      </c>
      <c r="N3" s="62" t="str">
        <f t="shared" ref="N3:N66" si="8">IF($G3=("Fall (pre/post emerge)"),"Triplet SF (3-Way) 228-312",IF($G3=("Spring Preemerge (Jan)"),"Triplet SF (3-Way) 228-312",IF($G3=("Spring Preemerge (Apr)"),"Triplet SF (3-Way) 228-312","")))</f>
        <v>Triplet SF (3-Way) 228-312</v>
      </c>
      <c r="O3" s="63" t="str">
        <f>VLOOKUP($N3,Herbicide_Data!$A$1:$L$61,9)</f>
        <v>2,4-D, dimethylamine salt; Dicamba, dimethylamine salt;Mecoprop-p (MCPP-p), dimethylamine salt</v>
      </c>
      <c r="P3" s="62">
        <f>VLOOKUP($N3,Herbicide_Data!$A$1:$L$61,12)</f>
        <v>24</v>
      </c>
      <c r="Q3" s="16">
        <f t="shared" si="2"/>
        <v>0.99173553719008267</v>
      </c>
      <c r="R3" s="62" t="str">
        <f t="shared" ref="R3:R66" si="9">IF($G3=("Fall (pre/post emerge)"),"Resolute 4Fl (100-1139)",IF($G3=("Spring Preemerge (Jan)"),"Resolute 4Fl (100-1139)",IF($G3=("Spring Preemerge (Apr)"),"Certinty Turf 59639-226","")))</f>
        <v>Resolute 4Fl (100-1139)</v>
      </c>
      <c r="S3" s="63" t="str">
        <f>VLOOKUP($R3,Herbicide_Data!$A$1:$L$61,9)</f>
        <v>Prodiamine</v>
      </c>
      <c r="T3" s="62">
        <f>VLOOKUP($R3,Herbicide_Data!$A$1:$L$61,12)</f>
        <v>16</v>
      </c>
      <c r="U3" s="16">
        <f t="shared" si="3"/>
        <v>0.66115702479338845</v>
      </c>
      <c r="V3" s="62" t="b">
        <f t="shared" ref="V3:V66" si="10">IF($G3 = ("Preemerge"),"MSM Turf 228-373")</f>
        <v>0</v>
      </c>
      <c r="W3" s="63" t="e">
        <f>VLOOKUP($V3,Herbicide_Data!$A$1:$L$17,9)</f>
        <v>#N/A</v>
      </c>
      <c r="X3" s="62" t="e">
        <f>VLOOKUP($V3,Herbicide_Data!$A$1:$L$17,12)</f>
        <v>#N/A</v>
      </c>
      <c r="Y3" s="16" t="e">
        <f t="shared" si="4"/>
        <v>#N/A</v>
      </c>
      <c r="Z3" s="15"/>
      <c r="AA3" s="16"/>
      <c r="AB3" s="10"/>
      <c r="AC3" s="3"/>
      <c r="AD3" s="10"/>
      <c r="AE3" s="3"/>
      <c r="AF3" s="10"/>
      <c r="AG3" s="15"/>
      <c r="AH3" s="62" t="b">
        <f t="shared" si="5"/>
        <v>0</v>
      </c>
      <c r="AI3" s="62" t="e">
        <f>VLOOKUP($AH3,Herbicide_Data!$A$1:$L$17,12)</f>
        <v>#N/A</v>
      </c>
      <c r="AJ3" s="16" t="e">
        <f t="shared" si="6"/>
        <v>#N/A</v>
      </c>
      <c r="AK3" s="3"/>
      <c r="AL3" s="3"/>
      <c r="AM3" s="3"/>
      <c r="AN3" s="3"/>
      <c r="AO3" s="3"/>
      <c r="AP3" s="3"/>
      <c r="AQ3" s="18"/>
      <c r="AR3" s="19"/>
      <c r="AS3" s="19"/>
      <c r="AT3" s="20"/>
      <c r="AU3" s="20"/>
      <c r="AV3" s="21"/>
      <c r="AW3" s="22"/>
      <c r="AX3" s="19"/>
      <c r="AY3" s="19"/>
      <c r="AZ3" s="19"/>
      <c r="BA3" s="23"/>
      <c r="BB3" s="19"/>
      <c r="BC3" s="19"/>
      <c r="BD3" s="19"/>
    </row>
    <row r="4" spans="1:56" ht="72">
      <c r="A4" s="13" t="s">
        <v>441</v>
      </c>
      <c r="B4" s="11">
        <v>45591</v>
      </c>
      <c r="C4" s="12">
        <v>0.58333333333333337</v>
      </c>
      <c r="D4" s="12">
        <f t="shared" si="0"/>
        <v>0.60416663333333331</v>
      </c>
      <c r="E4" s="10" t="s">
        <v>85</v>
      </c>
      <c r="F4" s="10">
        <f>IFERROR(VLOOKUP(E4,Data!A$2:B$5,2,TRUE), "")</f>
        <v>48160</v>
      </c>
      <c r="G4" s="3" t="s">
        <v>378</v>
      </c>
      <c r="H4" s="13">
        <f>IFERROR(VLOOKUP(A4,Customer_Data!$A$1:$P$114,8,TRUE),"")</f>
        <v>2000</v>
      </c>
      <c r="I4" s="13"/>
      <c r="J4" s="3" t="str">
        <f t="shared" si="7"/>
        <v>Princep Liquid (100-526)</v>
      </c>
      <c r="K4" s="62" t="str">
        <f>(VLOOKUP($J4,Herbicide_Data!$A$1:$L$61,9,TRUE))</f>
        <v>Simazine</v>
      </c>
      <c r="L4" s="62">
        <f>VLOOKUP($J4,Herbicide_Data!$A$1:$L$61,12,TRUE)</f>
        <v>32</v>
      </c>
      <c r="M4" s="16">
        <f t="shared" si="1"/>
        <v>1.4692378328741964</v>
      </c>
      <c r="N4" s="62" t="str">
        <f t="shared" si="8"/>
        <v>Triplet SF (3-Way) 228-312</v>
      </c>
      <c r="O4" s="63" t="str">
        <f>VLOOKUP($N4,Herbicide_Data!$A$1:$L$61,9)</f>
        <v>2,4-D, dimethylamine salt; Dicamba, dimethylamine salt;Mecoprop-p (MCPP-p), dimethylamine salt</v>
      </c>
      <c r="P4" s="62">
        <f>VLOOKUP($N4,Herbicide_Data!$A$1:$L$61,12)</f>
        <v>24</v>
      </c>
      <c r="Q4" s="16">
        <f t="shared" si="2"/>
        <v>1.1019283746556474</v>
      </c>
      <c r="R4" s="62" t="str">
        <f t="shared" si="9"/>
        <v>Resolute 4Fl (100-1139)</v>
      </c>
      <c r="S4" s="63" t="str">
        <f>VLOOKUP($R4,Herbicide_Data!$A$1:$L$61,9)</f>
        <v>Prodiamine</v>
      </c>
      <c r="T4" s="62">
        <f>VLOOKUP($R4,Herbicide_Data!$A$1:$L$61,12)</f>
        <v>16</v>
      </c>
      <c r="U4" s="16">
        <f t="shared" si="3"/>
        <v>0.7346189164370982</v>
      </c>
      <c r="V4" s="62" t="b">
        <f t="shared" si="10"/>
        <v>0</v>
      </c>
      <c r="W4" s="63" t="e">
        <f>VLOOKUP($V4,Herbicide_Data!$A$1:$L$17,9)</f>
        <v>#N/A</v>
      </c>
      <c r="X4" s="62" t="e">
        <f>VLOOKUP($V4,Herbicide_Data!$A$1:$L$17,12)</f>
        <v>#N/A</v>
      </c>
      <c r="Y4" s="16" t="e">
        <f t="shared" si="4"/>
        <v>#N/A</v>
      </c>
      <c r="Z4" s="15"/>
      <c r="AA4" s="13"/>
      <c r="AB4" s="17"/>
      <c r="AC4" s="3"/>
      <c r="AD4" s="10"/>
      <c r="AE4" s="3"/>
      <c r="AF4" s="10"/>
      <c r="AG4" s="15"/>
      <c r="AH4" s="62" t="b">
        <f t="shared" si="5"/>
        <v>0</v>
      </c>
      <c r="AI4" s="62" t="e">
        <f>VLOOKUP($AH4,Herbicide_Data!$A$1:$L$17,12)</f>
        <v>#N/A</v>
      </c>
      <c r="AJ4" s="16" t="e">
        <f t="shared" si="6"/>
        <v>#N/A</v>
      </c>
      <c r="AK4" s="3"/>
      <c r="AL4" s="3"/>
      <c r="AM4" s="3"/>
      <c r="AN4" s="3"/>
      <c r="AO4" s="3"/>
      <c r="AP4" s="3"/>
      <c r="AQ4" s="18"/>
      <c r="AR4" s="19"/>
      <c r="AS4" s="19"/>
      <c r="AT4" s="20"/>
      <c r="AU4" s="20"/>
      <c r="AV4" s="21"/>
      <c r="AW4" s="22"/>
      <c r="AX4" s="19"/>
      <c r="AY4" s="19"/>
      <c r="AZ4" s="19"/>
      <c r="BA4" s="23"/>
      <c r="BB4" s="19"/>
      <c r="BC4" s="19"/>
      <c r="BD4" s="19"/>
    </row>
    <row r="5" spans="1:56" ht="72">
      <c r="A5" s="13" t="s">
        <v>86</v>
      </c>
      <c r="B5" s="11">
        <v>45591</v>
      </c>
      <c r="C5" s="12">
        <v>0.60416666666666663</v>
      </c>
      <c r="D5" s="12">
        <f t="shared" si="0"/>
        <v>0.62499996666666657</v>
      </c>
      <c r="E5" s="10" t="s">
        <v>86</v>
      </c>
      <c r="F5" s="10">
        <f>IFERROR(VLOOKUP(E5,Data!A$2:B$5,2,TRUE), "")</f>
        <v>48182</v>
      </c>
      <c r="G5" s="3" t="s">
        <v>378</v>
      </c>
      <c r="H5" s="13">
        <f>IFERROR(VLOOKUP(A5,Customer_Data!$A$1:$P$114,8,TRUE),"")</f>
        <v>5361</v>
      </c>
      <c r="I5" s="13"/>
      <c r="J5" s="3" t="str">
        <f t="shared" si="7"/>
        <v>Princep Liquid (100-526)</v>
      </c>
      <c r="K5" s="62" t="str">
        <f>(VLOOKUP($J5,Herbicide_Data!$A$1:$L$61,9,TRUE))</f>
        <v>Simazine</v>
      </c>
      <c r="L5" s="62">
        <f>VLOOKUP($J5,Herbicide_Data!$A$1:$L$61,12,TRUE)</f>
        <v>32</v>
      </c>
      <c r="M5" s="16">
        <f t="shared" si="1"/>
        <v>3.9382920110192838</v>
      </c>
      <c r="N5" s="62" t="str">
        <f t="shared" si="8"/>
        <v>Triplet SF (3-Way) 228-312</v>
      </c>
      <c r="O5" s="63" t="str">
        <f>VLOOKUP($N5,Herbicide_Data!$A$1:$L$61,9)</f>
        <v>2,4-D, dimethylamine salt; Dicamba, dimethylamine salt;Mecoprop-p (MCPP-p), dimethylamine salt</v>
      </c>
      <c r="P5" s="62">
        <f>VLOOKUP($N5,Herbicide_Data!$A$1:$L$61,12)</f>
        <v>24</v>
      </c>
      <c r="Q5" s="16">
        <f t="shared" si="2"/>
        <v>2.9537190082644629</v>
      </c>
      <c r="R5" s="62" t="str">
        <f t="shared" si="9"/>
        <v>Resolute 4Fl (100-1139)</v>
      </c>
      <c r="S5" s="63" t="str">
        <f>VLOOKUP($R5,Herbicide_Data!$A$1:$L$61,9)</f>
        <v>Prodiamine</v>
      </c>
      <c r="T5" s="62">
        <f>VLOOKUP($R5,Herbicide_Data!$A$1:$L$61,12)</f>
        <v>16</v>
      </c>
      <c r="U5" s="16">
        <f t="shared" si="3"/>
        <v>1.9691460055096419</v>
      </c>
      <c r="V5" s="62" t="b">
        <f t="shared" si="10"/>
        <v>0</v>
      </c>
      <c r="W5" s="63" t="e">
        <f>VLOOKUP($V5,Herbicide_Data!$A$1:$L$17,9)</f>
        <v>#N/A</v>
      </c>
      <c r="X5" s="62" t="e">
        <f>VLOOKUP($V5,Herbicide_Data!$A$1:$L$17,12)</f>
        <v>#N/A</v>
      </c>
      <c r="Y5" s="16" t="e">
        <f t="shared" si="4"/>
        <v>#N/A</v>
      </c>
      <c r="Z5" s="15"/>
      <c r="AA5" s="13"/>
      <c r="AB5" s="17"/>
      <c r="AC5" s="3"/>
      <c r="AD5" s="10"/>
      <c r="AE5" s="3"/>
      <c r="AF5" s="10"/>
      <c r="AG5" s="15"/>
      <c r="AH5" s="62" t="b">
        <f t="shared" si="5"/>
        <v>0</v>
      </c>
      <c r="AI5" s="62" t="e">
        <f>VLOOKUP($AH5,Herbicide_Data!$A$1:$L$17,12)</f>
        <v>#N/A</v>
      </c>
      <c r="AJ5" s="16" t="e">
        <f t="shared" si="6"/>
        <v>#N/A</v>
      </c>
      <c r="AK5" s="3"/>
      <c r="AL5" s="3"/>
      <c r="AM5" s="3"/>
      <c r="AN5" s="3"/>
      <c r="AO5" s="3"/>
      <c r="AP5" s="3"/>
      <c r="AQ5" s="18"/>
      <c r="AR5" s="19"/>
      <c r="AS5" s="19"/>
      <c r="AT5" s="20"/>
      <c r="AU5" s="20"/>
      <c r="AV5" s="21"/>
      <c r="AW5" s="22"/>
      <c r="AX5" s="19"/>
      <c r="AY5" s="19"/>
      <c r="AZ5" s="19"/>
      <c r="BA5" s="23"/>
      <c r="BB5" s="19"/>
      <c r="BC5" s="19"/>
      <c r="BD5" s="19"/>
    </row>
    <row r="6" spans="1:56" ht="72">
      <c r="A6" s="13" t="s">
        <v>419</v>
      </c>
      <c r="B6" s="11">
        <v>45592</v>
      </c>
      <c r="C6" s="12">
        <v>0.4375</v>
      </c>
      <c r="D6" s="12">
        <f t="shared" si="0"/>
        <v>0.4583333</v>
      </c>
      <c r="E6" s="10" t="s">
        <v>85</v>
      </c>
      <c r="F6" s="10">
        <f>IFERROR(VLOOKUP(E6,Data!A$2:B$5,2,TRUE), "")</f>
        <v>48160</v>
      </c>
      <c r="G6" s="3" t="s">
        <v>378</v>
      </c>
      <c r="H6" s="13">
        <f>IFERROR(VLOOKUP(A6,Customer_Data!$A$1:$P$114,8,TRUE),"")</f>
        <v>8850</v>
      </c>
      <c r="I6" s="13"/>
      <c r="J6" s="3" t="str">
        <f t="shared" si="7"/>
        <v>Princep Liquid (100-526)</v>
      </c>
      <c r="K6" s="62" t="str">
        <f>(VLOOKUP($J6,Herbicide_Data!$A$1:$L$61,9,TRUE))</f>
        <v>Simazine</v>
      </c>
      <c r="L6" s="62">
        <f>VLOOKUP($J6,Herbicide_Data!$A$1:$L$61,12,TRUE)</f>
        <v>32</v>
      </c>
      <c r="M6" s="16">
        <f t="shared" si="1"/>
        <v>6.5013774104683195</v>
      </c>
      <c r="N6" s="62" t="str">
        <f t="shared" si="8"/>
        <v>Triplet SF (3-Way) 228-312</v>
      </c>
      <c r="O6" s="63" t="str">
        <f>VLOOKUP($N6,Herbicide_Data!$A$1:$L$61,9)</f>
        <v>2,4-D, dimethylamine salt; Dicamba, dimethylamine salt;Mecoprop-p (MCPP-p), dimethylamine salt</v>
      </c>
      <c r="P6" s="62">
        <f>VLOOKUP($N6,Herbicide_Data!$A$1:$L$61,12)</f>
        <v>24</v>
      </c>
      <c r="Q6" s="16">
        <f t="shared" si="2"/>
        <v>4.8760330578512399</v>
      </c>
      <c r="R6" s="62" t="str">
        <f t="shared" si="9"/>
        <v>Resolute 4Fl (100-1139)</v>
      </c>
      <c r="S6" s="63" t="str">
        <f>VLOOKUP($R6,Herbicide_Data!$A$1:$L$61,9)</f>
        <v>Prodiamine</v>
      </c>
      <c r="T6" s="62">
        <f>VLOOKUP($R6,Herbicide_Data!$A$1:$L$61,12)</f>
        <v>16</v>
      </c>
      <c r="U6" s="16">
        <f t="shared" si="3"/>
        <v>3.2506887052341598</v>
      </c>
      <c r="V6" s="62" t="b">
        <f t="shared" si="10"/>
        <v>0</v>
      </c>
      <c r="W6" s="63" t="e">
        <f>VLOOKUP($V6,Herbicide_Data!$A$1:$L$17,9)</f>
        <v>#N/A</v>
      </c>
      <c r="X6" s="62" t="e">
        <f>VLOOKUP($V6,Herbicide_Data!$A$1:$L$17,12)</f>
        <v>#N/A</v>
      </c>
      <c r="Y6" s="16" t="e">
        <f t="shared" si="4"/>
        <v>#N/A</v>
      </c>
      <c r="Z6" s="15"/>
      <c r="AA6" s="13"/>
      <c r="AB6" s="17"/>
      <c r="AC6" s="3"/>
      <c r="AD6" s="10"/>
      <c r="AE6" s="3"/>
      <c r="AF6" s="10"/>
      <c r="AG6" s="15"/>
      <c r="AH6" s="62" t="b">
        <f t="shared" si="5"/>
        <v>0</v>
      </c>
      <c r="AI6" s="62" t="e">
        <f>VLOOKUP($AH6,Herbicide_Data!$A$1:$L$17,12)</f>
        <v>#N/A</v>
      </c>
      <c r="AJ6" s="16" t="e">
        <f t="shared" si="6"/>
        <v>#N/A</v>
      </c>
      <c r="AK6" s="3"/>
      <c r="AL6" s="3"/>
      <c r="AM6" s="3"/>
      <c r="AN6" s="3"/>
      <c r="AO6" s="3"/>
      <c r="AP6" s="3"/>
      <c r="AQ6" s="18"/>
      <c r="AR6" s="19"/>
      <c r="AS6" s="19"/>
      <c r="AT6" s="20"/>
      <c r="AU6" s="20"/>
      <c r="AV6" s="21"/>
      <c r="AW6" s="22"/>
      <c r="AX6" s="19"/>
      <c r="AY6" s="19"/>
      <c r="AZ6" s="19"/>
      <c r="BA6" s="23"/>
      <c r="BB6" s="19"/>
      <c r="BC6" s="19"/>
      <c r="BD6" s="19"/>
    </row>
    <row r="7" spans="1:56" ht="72">
      <c r="A7" s="13" t="s">
        <v>480</v>
      </c>
      <c r="B7" s="11">
        <v>45592</v>
      </c>
      <c r="C7" s="12">
        <v>0.45833333333333331</v>
      </c>
      <c r="D7" s="12">
        <f t="shared" si="0"/>
        <v>0.47916663333333331</v>
      </c>
      <c r="E7" s="10" t="s">
        <v>85</v>
      </c>
      <c r="F7" s="10">
        <f>IFERROR(VLOOKUP(E7,Data!A$2:B$5,2,TRUE), "")</f>
        <v>48160</v>
      </c>
      <c r="G7" s="3" t="s">
        <v>378</v>
      </c>
      <c r="H7" s="13">
        <v>6575</v>
      </c>
      <c r="I7" s="13"/>
      <c r="J7" s="3" t="str">
        <f t="shared" si="7"/>
        <v>Princep Liquid (100-526)</v>
      </c>
      <c r="K7" s="62" t="str">
        <f>(VLOOKUP($J7,Herbicide_Data!$A$1:$L$61,9,TRUE))</f>
        <v>Simazine</v>
      </c>
      <c r="L7" s="62">
        <f>VLOOKUP($J7,Herbicide_Data!$A$1:$L$61,12,TRUE)</f>
        <v>32</v>
      </c>
      <c r="M7" s="16">
        <f t="shared" si="1"/>
        <v>4.8301193755739211</v>
      </c>
      <c r="N7" s="62" t="str">
        <f t="shared" si="8"/>
        <v>Triplet SF (3-Way) 228-312</v>
      </c>
      <c r="O7" s="63" t="str">
        <f>VLOOKUP($N7,Herbicide_Data!$A$1:$L$61,9)</f>
        <v>2,4-D, dimethylamine salt; Dicamba, dimethylamine salt;Mecoprop-p (MCPP-p), dimethylamine salt</v>
      </c>
      <c r="P7" s="62">
        <f>VLOOKUP($N7,Herbicide_Data!$A$1:$L$61,12)</f>
        <v>24</v>
      </c>
      <c r="Q7" s="16">
        <f t="shared" si="2"/>
        <v>3.6225895316804406</v>
      </c>
      <c r="R7" s="62" t="str">
        <f t="shared" si="9"/>
        <v>Resolute 4Fl (100-1139)</v>
      </c>
      <c r="S7" s="63" t="str">
        <f>VLOOKUP($R7,Herbicide_Data!$A$1:$L$61,9)</f>
        <v>Prodiamine</v>
      </c>
      <c r="T7" s="62">
        <f>VLOOKUP($R7,Herbicide_Data!$A$1:$L$61,12)</f>
        <v>16</v>
      </c>
      <c r="U7" s="16">
        <f t="shared" si="3"/>
        <v>2.4150596877869606</v>
      </c>
      <c r="V7" s="62" t="b">
        <f t="shared" si="10"/>
        <v>0</v>
      </c>
      <c r="W7" s="63" t="e">
        <f>VLOOKUP($V7,Herbicide_Data!$A$1:$L$17,9)</f>
        <v>#N/A</v>
      </c>
      <c r="X7" s="62" t="e">
        <f>VLOOKUP($V7,Herbicide_Data!$A$1:$L$17,12)</f>
        <v>#N/A</v>
      </c>
      <c r="Y7" s="16" t="e">
        <f t="shared" si="4"/>
        <v>#N/A</v>
      </c>
      <c r="Z7" s="15"/>
      <c r="AA7" s="13"/>
      <c r="AB7" s="17"/>
      <c r="AC7" s="3"/>
      <c r="AD7" s="10"/>
      <c r="AE7" s="3"/>
      <c r="AF7" s="10"/>
      <c r="AG7" s="15"/>
      <c r="AH7" s="62" t="b">
        <f t="shared" si="5"/>
        <v>0</v>
      </c>
      <c r="AI7" s="62" t="e">
        <f>VLOOKUP($AH7,Herbicide_Data!$A$1:$L$17,12)</f>
        <v>#N/A</v>
      </c>
      <c r="AJ7" s="16" t="e">
        <f t="shared" si="6"/>
        <v>#N/A</v>
      </c>
      <c r="AK7" s="3"/>
      <c r="AL7" s="3"/>
      <c r="AM7" s="3"/>
      <c r="AN7" s="3"/>
      <c r="AO7" s="3"/>
      <c r="AP7" s="3"/>
      <c r="AQ7" s="18"/>
      <c r="AR7" s="19"/>
      <c r="AS7" s="19"/>
      <c r="AT7" s="20"/>
      <c r="AU7" s="20"/>
      <c r="AV7" s="21"/>
      <c r="AW7" s="22"/>
      <c r="AX7" s="19"/>
      <c r="AY7" s="19"/>
      <c r="AZ7" s="19"/>
      <c r="BA7" s="23"/>
      <c r="BB7" s="19"/>
      <c r="BC7" s="19"/>
      <c r="BD7" s="19"/>
    </row>
    <row r="8" spans="1:56" ht="72">
      <c r="A8" s="13" t="s">
        <v>483</v>
      </c>
      <c r="B8" s="11">
        <v>45592</v>
      </c>
      <c r="C8" s="12">
        <v>0.47916666666666669</v>
      </c>
      <c r="D8" s="12">
        <f t="shared" si="0"/>
        <v>0.49999996666666668</v>
      </c>
      <c r="E8" s="10" t="s">
        <v>85</v>
      </c>
      <c r="F8" s="10">
        <f>IFERROR(VLOOKUP(E8,Data!A$2:B$5,2,TRUE), "")</f>
        <v>48160</v>
      </c>
      <c r="G8" s="3" t="s">
        <v>378</v>
      </c>
      <c r="H8" s="13">
        <f>IFERROR(VLOOKUP(A8,Customer_Data!$A$1:$P$114,8,TRUE),"")</f>
        <v>8910</v>
      </c>
      <c r="I8" s="13"/>
      <c r="J8" s="3" t="str">
        <f t="shared" si="7"/>
        <v>Princep Liquid (100-526)</v>
      </c>
      <c r="K8" s="62" t="str">
        <f>(VLOOKUP($J8,Herbicide_Data!$A$1:$L$61,9,TRUE))</f>
        <v>Simazine</v>
      </c>
      <c r="L8" s="62">
        <f>VLOOKUP($J8,Herbicide_Data!$A$1:$L$61,12,TRUE)</f>
        <v>32</v>
      </c>
      <c r="M8" s="16">
        <f t="shared" si="1"/>
        <v>6.5454545454545459</v>
      </c>
      <c r="N8" s="62" t="str">
        <f t="shared" si="8"/>
        <v>Triplet SF (3-Way) 228-312</v>
      </c>
      <c r="O8" s="63" t="str">
        <f>VLOOKUP($N8,Herbicide_Data!$A$1:$L$61,9)</f>
        <v>2,4-D, dimethylamine salt; Dicamba, dimethylamine salt;Mecoprop-p (MCPP-p), dimethylamine salt</v>
      </c>
      <c r="P8" s="62">
        <f>VLOOKUP($N8,Herbicide_Data!$A$1:$L$61,12)</f>
        <v>24</v>
      </c>
      <c r="Q8" s="16">
        <f t="shared" si="2"/>
        <v>4.9090909090909092</v>
      </c>
      <c r="R8" s="62" t="str">
        <f t="shared" si="9"/>
        <v>Resolute 4Fl (100-1139)</v>
      </c>
      <c r="S8" s="63" t="str">
        <f>VLOOKUP($R8,Herbicide_Data!$A$1:$L$61,9)</f>
        <v>Prodiamine</v>
      </c>
      <c r="T8" s="62">
        <f>VLOOKUP($R8,Herbicide_Data!$A$1:$L$61,12)</f>
        <v>16</v>
      </c>
      <c r="U8" s="16">
        <f t="shared" si="3"/>
        <v>3.2727272727272729</v>
      </c>
      <c r="V8" s="62" t="b">
        <f t="shared" si="10"/>
        <v>0</v>
      </c>
      <c r="W8" s="63" t="e">
        <f>VLOOKUP($V8,Herbicide_Data!$A$1:$L$17,9)</f>
        <v>#N/A</v>
      </c>
      <c r="X8" s="62" t="e">
        <f>VLOOKUP($V8,Herbicide_Data!$A$1:$L$17,12)</f>
        <v>#N/A</v>
      </c>
      <c r="Y8" s="16" t="e">
        <f t="shared" si="4"/>
        <v>#N/A</v>
      </c>
      <c r="Z8" s="15"/>
      <c r="AA8" s="13"/>
      <c r="AB8" s="17"/>
      <c r="AC8" s="3"/>
      <c r="AD8" s="10"/>
      <c r="AE8" s="3"/>
      <c r="AF8" s="10"/>
      <c r="AG8" s="15"/>
      <c r="AH8" s="62" t="b">
        <f t="shared" si="5"/>
        <v>0</v>
      </c>
      <c r="AI8" s="62" t="e">
        <f>VLOOKUP($AH8,Herbicide_Data!$A$1:$L$17,12)</f>
        <v>#N/A</v>
      </c>
      <c r="AJ8" s="16" t="e">
        <f t="shared" si="6"/>
        <v>#N/A</v>
      </c>
      <c r="AK8" s="3"/>
      <c r="AL8" s="3"/>
      <c r="AM8" s="3"/>
      <c r="AN8" s="3"/>
      <c r="AO8" s="3"/>
      <c r="AP8" s="3"/>
      <c r="AQ8" s="18"/>
      <c r="AR8" s="19"/>
      <c r="AS8" s="19"/>
      <c r="AT8" s="20"/>
      <c r="AU8" s="20"/>
      <c r="AV8" s="21"/>
      <c r="AW8" s="22"/>
      <c r="AX8" s="19"/>
      <c r="AY8" s="19"/>
      <c r="AZ8" s="19"/>
      <c r="BA8" s="23"/>
      <c r="BB8" s="19"/>
      <c r="BC8" s="19"/>
      <c r="BD8" s="19"/>
    </row>
    <row r="9" spans="1:56" ht="12" customHeight="1">
      <c r="A9" s="13" t="s">
        <v>95</v>
      </c>
      <c r="B9" s="11">
        <v>45592</v>
      </c>
      <c r="C9" s="12">
        <v>0.58333333333333337</v>
      </c>
      <c r="D9" s="12">
        <f t="shared" si="0"/>
        <v>0.60416663333333331</v>
      </c>
      <c r="E9" s="10" t="s">
        <v>85</v>
      </c>
      <c r="F9" s="10">
        <f>IFERROR(VLOOKUP(E9,Data!A$2:B$5,2,TRUE), "")</f>
        <v>48160</v>
      </c>
      <c r="G9" s="3" t="s">
        <v>378</v>
      </c>
      <c r="H9" s="13">
        <f>IFERROR(VLOOKUP(A9,Customer_Data!$A$1:$P$114,8,TRUE),"")</f>
        <v>6568</v>
      </c>
      <c r="I9" s="13"/>
      <c r="J9" s="3" t="str">
        <f t="shared" si="7"/>
        <v>Princep Liquid (100-526)</v>
      </c>
      <c r="K9" s="62" t="str">
        <f>(VLOOKUP($J9,Herbicide_Data!$A$1:$L$61,9,TRUE))</f>
        <v>Simazine</v>
      </c>
      <c r="L9" s="62">
        <f>VLOOKUP($J9,Herbicide_Data!$A$1:$L$61,12,TRUE)</f>
        <v>32</v>
      </c>
      <c r="M9" s="16">
        <f t="shared" si="1"/>
        <v>4.824977043158861</v>
      </c>
      <c r="N9" s="62" t="str">
        <f t="shared" si="8"/>
        <v>Triplet SF (3-Way) 228-312</v>
      </c>
      <c r="O9" s="63" t="str">
        <f>VLOOKUP($N9,Herbicide_Data!$A$1:$L$61,9)</f>
        <v>2,4-D, dimethylamine salt; Dicamba, dimethylamine salt;Mecoprop-p (MCPP-p), dimethylamine salt</v>
      </c>
      <c r="P9" s="62">
        <f>VLOOKUP($N9,Herbicide_Data!$A$1:$L$61,12)</f>
        <v>24</v>
      </c>
      <c r="Q9" s="16">
        <f t="shared" si="2"/>
        <v>3.618732782369146</v>
      </c>
      <c r="R9" s="62" t="str">
        <f t="shared" si="9"/>
        <v>Resolute 4Fl (100-1139)</v>
      </c>
      <c r="S9" s="63" t="str">
        <f>VLOOKUP($R9,Herbicide_Data!$A$1:$L$61,9)</f>
        <v>Prodiamine</v>
      </c>
      <c r="T9" s="62">
        <f>VLOOKUP($R9,Herbicide_Data!$A$1:$L$61,12)</f>
        <v>16</v>
      </c>
      <c r="U9" s="16">
        <f t="shared" si="3"/>
        <v>2.4124885215794305</v>
      </c>
      <c r="V9" s="62" t="b">
        <f t="shared" si="10"/>
        <v>0</v>
      </c>
      <c r="W9" s="63" t="e">
        <f>VLOOKUP($V9,Herbicide_Data!$A$1:$L$17,9)</f>
        <v>#N/A</v>
      </c>
      <c r="X9" s="62" t="e">
        <f>VLOOKUP($V9,Herbicide_Data!$A$1:$L$17,12)</f>
        <v>#N/A</v>
      </c>
      <c r="Y9" s="16" t="e">
        <f t="shared" si="4"/>
        <v>#N/A</v>
      </c>
      <c r="Z9" s="15"/>
      <c r="AA9" s="13"/>
      <c r="AB9" s="17"/>
      <c r="AC9" s="3"/>
      <c r="AD9" s="10"/>
      <c r="AE9" s="3"/>
      <c r="AF9" s="10"/>
      <c r="AG9" s="15"/>
      <c r="AH9" s="62" t="b">
        <f t="shared" si="5"/>
        <v>0</v>
      </c>
      <c r="AI9" s="62" t="e">
        <f>VLOOKUP($AH9,Herbicide_Data!$A$1:$L$17,12)</f>
        <v>#N/A</v>
      </c>
      <c r="AJ9" s="16" t="e">
        <f t="shared" si="6"/>
        <v>#N/A</v>
      </c>
      <c r="AK9" s="3"/>
      <c r="AL9" s="3"/>
      <c r="AM9" s="3"/>
      <c r="AN9" s="3"/>
      <c r="AO9" s="3"/>
      <c r="AP9" s="3"/>
      <c r="AQ9" s="18"/>
      <c r="AR9" s="19"/>
      <c r="AS9" s="19"/>
      <c r="AT9" s="20"/>
      <c r="AU9" s="20"/>
      <c r="AV9" s="21"/>
      <c r="AW9" s="22"/>
      <c r="AX9" s="19"/>
      <c r="AY9" s="19"/>
      <c r="AZ9" s="19"/>
      <c r="BA9" s="23"/>
      <c r="BB9" s="19"/>
      <c r="BC9" s="19"/>
      <c r="BD9" s="19"/>
    </row>
    <row r="10" spans="1:56" ht="72">
      <c r="A10" s="13" t="s">
        <v>379</v>
      </c>
      <c r="B10" s="11">
        <v>45604</v>
      </c>
      <c r="C10" s="12">
        <v>0.58333333333333337</v>
      </c>
      <c r="D10" s="12">
        <f t="shared" si="0"/>
        <v>0.60416663333333331</v>
      </c>
      <c r="E10" s="10" t="s">
        <v>86</v>
      </c>
      <c r="F10" s="10">
        <f>IFERROR(VLOOKUP(E10,Data!A$2:B$5,2,TRUE), "")</f>
        <v>48182</v>
      </c>
      <c r="G10" s="3" t="s">
        <v>378</v>
      </c>
      <c r="H10" s="13">
        <f>IFERROR(VLOOKUP(A10,Customer_Data!$A$1:$P$114,8,TRUE),"")</f>
        <v>3687</v>
      </c>
      <c r="I10" s="13"/>
      <c r="J10" s="3" t="str">
        <f t="shared" si="7"/>
        <v>Princep Liquid (100-526)</v>
      </c>
      <c r="K10" s="62" t="str">
        <f>(VLOOKUP($J10,Herbicide_Data!$A$1:$L$61,9,TRUE))</f>
        <v>Simazine</v>
      </c>
      <c r="L10" s="62">
        <f>VLOOKUP($J10,Herbicide_Data!$A$1:$L$61,12,TRUE)</f>
        <v>32</v>
      </c>
      <c r="M10" s="16">
        <f t="shared" si="1"/>
        <v>2.7085399449035812</v>
      </c>
      <c r="N10" s="62" t="str">
        <f t="shared" si="8"/>
        <v>Triplet SF (3-Way) 228-312</v>
      </c>
      <c r="O10" s="63" t="str">
        <f>VLOOKUP($N10,Herbicide_Data!$A$1:$L$61,9)</f>
        <v>2,4-D, dimethylamine salt; Dicamba, dimethylamine salt;Mecoprop-p (MCPP-p), dimethylamine salt</v>
      </c>
      <c r="P10" s="62">
        <f>VLOOKUP($N10,Herbicide_Data!$A$1:$L$61,12)</f>
        <v>24</v>
      </c>
      <c r="Q10" s="16">
        <f t="shared" si="2"/>
        <v>2.0314049586776859</v>
      </c>
      <c r="R10" s="62" t="str">
        <f t="shared" si="9"/>
        <v>Resolute 4Fl (100-1139)</v>
      </c>
      <c r="S10" s="63" t="str">
        <f>VLOOKUP($R10,Herbicide_Data!$A$1:$L$61,9)</f>
        <v>Prodiamine</v>
      </c>
      <c r="T10" s="62">
        <f>VLOOKUP($R10,Herbicide_Data!$A$1:$L$61,12)</f>
        <v>16</v>
      </c>
      <c r="U10" s="16">
        <f t="shared" si="3"/>
        <v>1.3542699724517906</v>
      </c>
      <c r="V10" s="62" t="b">
        <f t="shared" si="10"/>
        <v>0</v>
      </c>
      <c r="W10" s="63" t="e">
        <f>VLOOKUP($V10,Herbicide_Data!$A$1:$L$17,9)</f>
        <v>#N/A</v>
      </c>
      <c r="X10" s="62" t="e">
        <f>VLOOKUP($V10,Herbicide_Data!$A$1:$L$17,12)</f>
        <v>#N/A</v>
      </c>
      <c r="Y10" s="16" t="e">
        <f t="shared" si="4"/>
        <v>#N/A</v>
      </c>
      <c r="Z10" s="15"/>
      <c r="AA10" s="13"/>
      <c r="AB10" s="17"/>
      <c r="AC10" s="3"/>
      <c r="AD10" s="10"/>
      <c r="AE10" s="3"/>
      <c r="AF10" s="10"/>
      <c r="AG10" s="15"/>
      <c r="AH10" s="62" t="b">
        <f t="shared" si="5"/>
        <v>0</v>
      </c>
      <c r="AI10" s="62" t="e">
        <f>VLOOKUP($AH10,Herbicide_Data!$A$1:$L$17,12)</f>
        <v>#N/A</v>
      </c>
      <c r="AJ10" s="16" t="e">
        <f t="shared" si="6"/>
        <v>#N/A</v>
      </c>
      <c r="AK10" s="3"/>
      <c r="AL10" s="3"/>
      <c r="AM10" s="3"/>
      <c r="AN10" s="3"/>
      <c r="AO10" s="3"/>
      <c r="AP10" s="3"/>
      <c r="AQ10" s="18"/>
      <c r="AR10" s="19"/>
      <c r="AS10" s="19"/>
      <c r="AT10" s="20"/>
      <c r="AU10" s="20"/>
      <c r="AV10" s="21"/>
      <c r="AW10" s="22"/>
      <c r="AX10" s="19"/>
      <c r="AY10" s="19"/>
      <c r="AZ10" s="19"/>
      <c r="BA10" s="23"/>
      <c r="BB10" s="19"/>
      <c r="BC10" s="19"/>
      <c r="BD10" s="19"/>
    </row>
    <row r="11" spans="1:56" ht="72">
      <c r="A11" s="13" t="s">
        <v>483</v>
      </c>
      <c r="B11" s="11">
        <v>45710</v>
      </c>
      <c r="C11" s="12">
        <v>0.41666666666666669</v>
      </c>
      <c r="D11" s="12">
        <f t="shared" si="0"/>
        <v>0.43749996666666668</v>
      </c>
      <c r="E11" s="10" t="s">
        <v>85</v>
      </c>
      <c r="F11" s="10">
        <f>IFERROR(VLOOKUP(E11,Data!A$2:B$5,2,TRUE), "")</f>
        <v>48160</v>
      </c>
      <c r="G11" s="3" t="s">
        <v>581</v>
      </c>
      <c r="H11" s="13">
        <f>IFERROR(VLOOKUP(A11,Customer_Data!$A$1:$P$114,8,TRUE),"")</f>
        <v>8910</v>
      </c>
      <c r="I11" s="13"/>
      <c r="J11" s="3" t="str">
        <f t="shared" si="7"/>
        <v/>
      </c>
      <c r="K11" s="62" t="e">
        <f>(VLOOKUP($J11,Herbicide_Data!$A$1:$L$61,9,TRUE))</f>
        <v>#N/A</v>
      </c>
      <c r="L11" s="62" t="e">
        <f>VLOOKUP($J11,Herbicide_Data!$A$1:$L$61,12,TRUE)</f>
        <v>#N/A</v>
      </c>
      <c r="M11" s="16" t="e">
        <f t="shared" si="1"/>
        <v>#N/A</v>
      </c>
      <c r="N11" s="62" t="str">
        <f t="shared" si="8"/>
        <v>Triplet SF (3-Way) 228-312</v>
      </c>
      <c r="O11" s="63" t="str">
        <f>VLOOKUP($N11,Herbicide_Data!$A$1:$L$61,9)</f>
        <v>2,4-D, dimethylamine salt; Dicamba, dimethylamine salt;Mecoprop-p (MCPP-p), dimethylamine salt</v>
      </c>
      <c r="P11" s="62">
        <f>VLOOKUP($N11,Herbicide_Data!$A$1:$P$61,13)</f>
        <v>24</v>
      </c>
      <c r="Q11" s="16">
        <f t="shared" si="2"/>
        <v>4.9090909090909092</v>
      </c>
      <c r="R11" s="62" t="str">
        <f t="shared" si="9"/>
        <v>Resolute 4Fl (100-1139)</v>
      </c>
      <c r="S11" s="63" t="str">
        <f>VLOOKUP($R11,Herbicide_Data!$A$1:$L$61,9)</f>
        <v>Prodiamine</v>
      </c>
      <c r="T11" s="62">
        <f>VLOOKUP($R11,Herbicide_Data!$A$1:$Q$61,13)</f>
        <v>16</v>
      </c>
      <c r="U11" s="16">
        <f t="shared" si="3"/>
        <v>3.2727272727272729</v>
      </c>
      <c r="V11" s="62" t="b">
        <f t="shared" si="10"/>
        <v>0</v>
      </c>
      <c r="W11" s="63" t="e">
        <f>VLOOKUP($V11,Herbicide_Data!$A$1:$L$17,9)</f>
        <v>#N/A</v>
      </c>
      <c r="X11" s="62" t="e">
        <f>VLOOKUP($V11,Herbicide_Data!$A$1:$L$17,12)</f>
        <v>#N/A</v>
      </c>
      <c r="Y11" s="16" t="e">
        <f t="shared" si="4"/>
        <v>#N/A</v>
      </c>
      <c r="Z11" s="15"/>
      <c r="AA11" s="13"/>
      <c r="AB11" s="17"/>
      <c r="AC11" s="3"/>
      <c r="AD11" s="10"/>
      <c r="AE11" s="3"/>
      <c r="AF11" s="10"/>
      <c r="AG11" s="15"/>
      <c r="AH11" s="62" t="str">
        <f t="shared" ref="AH11:AH30" si="11">IF($G11 = ("Spring Preemerge (Jan)"),"Surfactant")</f>
        <v>Surfactant</v>
      </c>
      <c r="AI11" s="62">
        <f>VLOOKUP($AH11,Herbicide_Data!$A$1:$Q$61,13)</f>
        <v>12.8</v>
      </c>
      <c r="AJ11" s="16">
        <f t="shared" si="6"/>
        <v>2.6181818181818186</v>
      </c>
      <c r="AK11" s="3"/>
      <c r="AL11" s="3"/>
      <c r="AM11" s="3"/>
      <c r="AN11" s="3"/>
      <c r="AO11" s="3"/>
      <c r="AP11" s="3"/>
      <c r="AQ11" s="18"/>
      <c r="AR11" s="19"/>
      <c r="AS11" s="19"/>
      <c r="AT11" s="20"/>
      <c r="AU11" s="20"/>
      <c r="AV11" s="21"/>
      <c r="AW11" s="22"/>
      <c r="AX11" s="19"/>
      <c r="AY11" s="19"/>
      <c r="AZ11" s="19"/>
      <c r="BA11" s="23"/>
      <c r="BB11" s="19"/>
      <c r="BC11" s="19"/>
      <c r="BD11" s="19"/>
    </row>
    <row r="12" spans="1:56" ht="72">
      <c r="A12" s="13" t="s">
        <v>572</v>
      </c>
      <c r="B12" s="11">
        <v>45710</v>
      </c>
      <c r="C12" s="12">
        <v>0.4375</v>
      </c>
      <c r="D12" s="12">
        <f t="shared" si="0"/>
        <v>0.4583333</v>
      </c>
      <c r="E12" s="10" t="s">
        <v>85</v>
      </c>
      <c r="F12" s="10">
        <f>IFERROR(VLOOKUP(E12,Data!A$2:B$5,2,TRUE), "")</f>
        <v>48160</v>
      </c>
      <c r="G12" s="3" t="s">
        <v>581</v>
      </c>
      <c r="H12" s="13">
        <f>IFERROR(VLOOKUP(A12,Customer_Data!$A$1:$P$114,8,TRUE),"")</f>
        <v>4150</v>
      </c>
      <c r="I12" s="13"/>
      <c r="J12" s="3" t="str">
        <f t="shared" si="7"/>
        <v/>
      </c>
      <c r="K12" s="62" t="e">
        <f>(VLOOKUP($J12,Herbicide_Data!$A$1:$L$61,9,TRUE))</f>
        <v>#N/A</v>
      </c>
      <c r="L12" s="62" t="e">
        <f>VLOOKUP($J12,Herbicide_Data!$A$1:$L$61,12,TRUE)</f>
        <v>#N/A</v>
      </c>
      <c r="M12" s="16" t="e">
        <f t="shared" si="1"/>
        <v>#N/A</v>
      </c>
      <c r="N12" s="62" t="str">
        <f t="shared" si="8"/>
        <v>Triplet SF (3-Way) 228-312</v>
      </c>
      <c r="O12" s="63" t="str">
        <f>VLOOKUP($N12,Herbicide_Data!$A$1:$L$61,9)</f>
        <v>2,4-D, dimethylamine salt; Dicamba, dimethylamine salt;Mecoprop-p (MCPP-p), dimethylamine salt</v>
      </c>
      <c r="P12" s="62">
        <f>VLOOKUP($N12,Herbicide_Data!$A$1:$P$61,13)</f>
        <v>24</v>
      </c>
      <c r="Q12" s="16">
        <f t="shared" si="2"/>
        <v>2.2865013774104685</v>
      </c>
      <c r="R12" s="62" t="str">
        <f t="shared" si="9"/>
        <v>Resolute 4Fl (100-1139)</v>
      </c>
      <c r="S12" s="63" t="str">
        <f>VLOOKUP($R12,Herbicide_Data!$A$1:$L$61,9)</f>
        <v>Prodiamine</v>
      </c>
      <c r="T12" s="62">
        <f>VLOOKUP($R12,Herbicide_Data!$A$1:$Q$61,13)</f>
        <v>16</v>
      </c>
      <c r="U12" s="16">
        <f t="shared" si="3"/>
        <v>1.5243342516069789</v>
      </c>
      <c r="V12" s="62" t="b">
        <f t="shared" si="10"/>
        <v>0</v>
      </c>
      <c r="W12" s="63" t="e">
        <f>VLOOKUP($V12,Herbicide_Data!$A$1:$L$17,9)</f>
        <v>#N/A</v>
      </c>
      <c r="X12" s="62" t="e">
        <f>VLOOKUP($V12,Herbicide_Data!$A$1:$L$17,12)</f>
        <v>#N/A</v>
      </c>
      <c r="Y12" s="16" t="e">
        <f t="shared" si="4"/>
        <v>#N/A</v>
      </c>
      <c r="Z12" s="15"/>
      <c r="AA12" s="13"/>
      <c r="AB12" s="17"/>
      <c r="AC12" s="3"/>
      <c r="AD12" s="10"/>
      <c r="AE12" s="3"/>
      <c r="AF12" s="10"/>
      <c r="AG12" s="15"/>
      <c r="AH12" s="62" t="str">
        <f t="shared" si="11"/>
        <v>Surfactant</v>
      </c>
      <c r="AI12" s="62">
        <f>VLOOKUP($AH12,Herbicide_Data!$A$1:$Q$61,13)</f>
        <v>12.8</v>
      </c>
      <c r="AJ12" s="16">
        <f t="shared" si="6"/>
        <v>1.2194674012855833</v>
      </c>
      <c r="AK12" s="3"/>
      <c r="AL12" s="3"/>
      <c r="AM12" s="3"/>
      <c r="AN12" s="3"/>
      <c r="AO12" s="3"/>
      <c r="AP12" s="3"/>
      <c r="AQ12" s="18"/>
      <c r="AR12" s="19"/>
      <c r="AS12" s="19"/>
      <c r="AT12" s="20"/>
      <c r="AU12" s="20"/>
      <c r="AV12" s="21"/>
      <c r="AW12" s="22"/>
      <c r="AX12" s="19"/>
      <c r="AY12" s="19"/>
      <c r="AZ12" s="19"/>
      <c r="BA12" s="23"/>
      <c r="BB12" s="19"/>
      <c r="BC12" s="19"/>
      <c r="BD12" s="19"/>
    </row>
    <row r="13" spans="1:56" ht="72">
      <c r="A13" s="13" t="s">
        <v>576</v>
      </c>
      <c r="B13" s="11">
        <v>45710</v>
      </c>
      <c r="C13" s="12">
        <v>0.45833333333333331</v>
      </c>
      <c r="D13" s="12">
        <f t="shared" si="0"/>
        <v>0.47916663333333331</v>
      </c>
      <c r="E13" s="10" t="s">
        <v>85</v>
      </c>
      <c r="F13" s="10">
        <f>IFERROR(VLOOKUP(E13,Data!A$2:B$5,2,TRUE), "")</f>
        <v>48160</v>
      </c>
      <c r="G13" s="3" t="s">
        <v>581</v>
      </c>
      <c r="H13" s="13">
        <f>IFERROR(VLOOKUP(A13,Customer_Data!$A$1:$P$114,8,TRUE),"")</f>
        <v>3875</v>
      </c>
      <c r="I13" s="13"/>
      <c r="J13" s="3" t="str">
        <f t="shared" si="7"/>
        <v/>
      </c>
      <c r="K13" s="62" t="e">
        <f>(VLOOKUP($J13,Herbicide_Data!$A$1:$L$61,9,TRUE))</f>
        <v>#N/A</v>
      </c>
      <c r="L13" s="62" t="e">
        <f>VLOOKUP($J13,Herbicide_Data!$A$1:$L$61,12,TRUE)</f>
        <v>#N/A</v>
      </c>
      <c r="M13" s="16" t="e">
        <f t="shared" si="1"/>
        <v>#N/A</v>
      </c>
      <c r="N13" s="62" t="str">
        <f t="shared" si="8"/>
        <v>Triplet SF (3-Way) 228-312</v>
      </c>
      <c r="O13" s="63" t="str">
        <f>VLOOKUP($N13,Herbicide_Data!$A$1:$L$61,9)</f>
        <v>2,4-D, dimethylamine salt; Dicamba, dimethylamine salt;Mecoprop-p (MCPP-p), dimethylamine salt</v>
      </c>
      <c r="P13" s="62">
        <f>VLOOKUP($N13,Herbicide_Data!$A$1:$P$61,13)</f>
        <v>24</v>
      </c>
      <c r="Q13" s="16">
        <f t="shared" si="2"/>
        <v>2.1349862258953167</v>
      </c>
      <c r="R13" s="62" t="str">
        <f t="shared" si="9"/>
        <v>Resolute 4Fl (100-1139)</v>
      </c>
      <c r="S13" s="63" t="str">
        <f>VLOOKUP($R13,Herbicide_Data!$A$1:$L$61,9)</f>
        <v>Prodiamine</v>
      </c>
      <c r="T13" s="62">
        <f>VLOOKUP($R13,Herbicide_Data!$A$1:$Q$61,13)</f>
        <v>16</v>
      </c>
      <c r="U13" s="16">
        <f t="shared" si="3"/>
        <v>1.4233241505968779</v>
      </c>
      <c r="V13" s="62" t="b">
        <f t="shared" si="10"/>
        <v>0</v>
      </c>
      <c r="W13" s="63" t="e">
        <f>VLOOKUP($V13,Herbicide_Data!$A$1:$L$17,9)</f>
        <v>#N/A</v>
      </c>
      <c r="X13" s="62" t="e">
        <f>VLOOKUP($V13,Herbicide_Data!$A$1:$L$17,12)</f>
        <v>#N/A</v>
      </c>
      <c r="Y13" s="16" t="e">
        <f t="shared" si="4"/>
        <v>#N/A</v>
      </c>
      <c r="Z13" s="15"/>
      <c r="AA13" s="13"/>
      <c r="AB13" s="17"/>
      <c r="AC13" s="3"/>
      <c r="AD13" s="10"/>
      <c r="AE13" s="3"/>
      <c r="AF13" s="10"/>
      <c r="AG13" s="15"/>
      <c r="AH13" s="62" t="str">
        <f t="shared" si="11"/>
        <v>Surfactant</v>
      </c>
      <c r="AI13" s="62">
        <f>VLOOKUP($AH13,Herbicide_Data!$A$1:$Q$61,13)</f>
        <v>12.8</v>
      </c>
      <c r="AJ13" s="16">
        <f t="shared" si="6"/>
        <v>1.1386593204775024</v>
      </c>
      <c r="AK13" s="3"/>
      <c r="AL13" s="3"/>
      <c r="AM13" s="3"/>
      <c r="AN13" s="3"/>
      <c r="AO13" s="3"/>
      <c r="AP13" s="3"/>
      <c r="AQ13" s="18"/>
      <c r="AR13" s="19"/>
      <c r="AS13" s="19"/>
      <c r="AT13" s="20"/>
      <c r="AU13" s="20"/>
      <c r="AV13" s="21"/>
      <c r="AW13" s="22"/>
      <c r="AX13" s="19"/>
      <c r="AY13" s="19"/>
      <c r="AZ13" s="19"/>
      <c r="BA13" s="23"/>
      <c r="BB13" s="19"/>
      <c r="BC13" s="19"/>
      <c r="BD13" s="19"/>
    </row>
    <row r="14" spans="1:56" ht="72">
      <c r="A14" s="13" t="s">
        <v>394</v>
      </c>
      <c r="B14" s="11">
        <v>45710</v>
      </c>
      <c r="C14" s="12">
        <v>0.5</v>
      </c>
      <c r="D14" s="12">
        <f t="shared" si="0"/>
        <v>0.52083330000000005</v>
      </c>
      <c r="E14" s="10" t="s">
        <v>85</v>
      </c>
      <c r="F14" s="10">
        <f>IFERROR(VLOOKUP(E14,Data!A$2:B$5,2,TRUE), "")</f>
        <v>48160</v>
      </c>
      <c r="G14" s="3" t="s">
        <v>581</v>
      </c>
      <c r="H14" s="13">
        <f>IFERROR(VLOOKUP(A14,Customer_Data!$A$1:$P$114,8,TRUE),"")</f>
        <v>3100</v>
      </c>
      <c r="I14" s="13"/>
      <c r="J14" s="3" t="str">
        <f t="shared" si="7"/>
        <v/>
      </c>
      <c r="K14" s="62" t="e">
        <f>(VLOOKUP($J14,Herbicide_Data!$A$1:$L$61,9,TRUE))</f>
        <v>#N/A</v>
      </c>
      <c r="L14" s="62" t="e">
        <f>VLOOKUP($J14,Herbicide_Data!$A$1:$L$61,12,TRUE)</f>
        <v>#N/A</v>
      </c>
      <c r="M14" s="16" t="e">
        <f t="shared" si="1"/>
        <v>#N/A</v>
      </c>
      <c r="N14" s="62" t="str">
        <f t="shared" si="8"/>
        <v>Triplet SF (3-Way) 228-312</v>
      </c>
      <c r="O14" s="63" t="str">
        <f>VLOOKUP($N14,Herbicide_Data!$A$1:$L$61,9)</f>
        <v>2,4-D, dimethylamine salt; Dicamba, dimethylamine salt;Mecoprop-p (MCPP-p), dimethylamine salt</v>
      </c>
      <c r="P14" s="62">
        <f>VLOOKUP($N14,Herbicide_Data!$A$1:$P$61,13)</f>
        <v>24</v>
      </c>
      <c r="Q14" s="16">
        <f t="shared" si="2"/>
        <v>1.7079889807162536</v>
      </c>
      <c r="R14" s="62" t="str">
        <f t="shared" si="9"/>
        <v>Resolute 4Fl (100-1139)</v>
      </c>
      <c r="S14" s="63" t="str">
        <f>VLOOKUP($R14,Herbicide_Data!$A$1:$L$61,9)</f>
        <v>Prodiamine</v>
      </c>
      <c r="T14" s="62">
        <f>VLOOKUP($R14,Herbicide_Data!$A$1:$Q$61,13)</f>
        <v>16</v>
      </c>
      <c r="U14" s="16">
        <f t="shared" si="3"/>
        <v>1.1386593204775024</v>
      </c>
      <c r="V14" s="62" t="b">
        <f t="shared" si="10"/>
        <v>0</v>
      </c>
      <c r="W14" s="63" t="e">
        <f>VLOOKUP($V14,Herbicide_Data!$A$1:$L$17,9)</f>
        <v>#N/A</v>
      </c>
      <c r="X14" s="62" t="e">
        <f>VLOOKUP($V14,Herbicide_Data!$A$1:$L$17,12)</f>
        <v>#N/A</v>
      </c>
      <c r="Y14" s="16" t="e">
        <f t="shared" si="4"/>
        <v>#N/A</v>
      </c>
      <c r="Z14" s="15"/>
      <c r="AA14" s="13"/>
      <c r="AB14" s="17"/>
      <c r="AC14" s="3"/>
      <c r="AD14" s="10"/>
      <c r="AE14" s="3"/>
      <c r="AF14" s="10"/>
      <c r="AG14" s="15"/>
      <c r="AH14" s="62" t="str">
        <f t="shared" si="11"/>
        <v>Surfactant</v>
      </c>
      <c r="AI14" s="62">
        <f>VLOOKUP($AH14,Herbicide_Data!$A$1:$Q$61,13)</f>
        <v>12.8</v>
      </c>
      <c r="AJ14" s="16">
        <f t="shared" si="6"/>
        <v>0.91092745638200201</v>
      </c>
      <c r="AK14" s="3"/>
      <c r="AL14" s="3"/>
      <c r="AM14" s="3"/>
      <c r="AN14" s="3"/>
      <c r="AO14" s="3"/>
      <c r="AP14" s="3"/>
      <c r="AQ14" s="18"/>
      <c r="AR14" s="19"/>
      <c r="AS14" s="19"/>
      <c r="AT14" s="20"/>
      <c r="AU14" s="20"/>
      <c r="AV14" s="21"/>
      <c r="AW14" s="22"/>
      <c r="AX14" s="19"/>
      <c r="AY14" s="19"/>
      <c r="AZ14" s="19"/>
      <c r="BA14" s="23"/>
      <c r="BB14" s="19"/>
      <c r="BC14" s="19"/>
      <c r="BD14" s="19"/>
    </row>
    <row r="15" spans="1:56" ht="72">
      <c r="A15" s="13" t="s">
        <v>379</v>
      </c>
      <c r="B15" s="11">
        <v>45710</v>
      </c>
      <c r="C15" s="12">
        <v>0.54166666666666663</v>
      </c>
      <c r="D15" s="12">
        <f t="shared" si="0"/>
        <v>0.56249996666666657</v>
      </c>
      <c r="E15" s="10" t="s">
        <v>86</v>
      </c>
      <c r="F15" s="10">
        <f>IFERROR(VLOOKUP(E15,Data!A$2:B$5,2,TRUE), "")</f>
        <v>48182</v>
      </c>
      <c r="G15" s="3" t="s">
        <v>581</v>
      </c>
      <c r="H15" s="13">
        <f>IFERROR(VLOOKUP(A15,Customer_Data!$A$1:$P$114,8,TRUE),"")</f>
        <v>3687</v>
      </c>
      <c r="I15" s="13"/>
      <c r="J15" s="3" t="str">
        <f t="shared" si="7"/>
        <v/>
      </c>
      <c r="K15" s="62" t="e">
        <f>(VLOOKUP($J15,Herbicide_Data!$A$1:$L$61,9,TRUE))</f>
        <v>#N/A</v>
      </c>
      <c r="L15" s="62" t="e">
        <f>VLOOKUP($J15,Herbicide_Data!$A$1:$L$61,12,TRUE)</f>
        <v>#N/A</v>
      </c>
      <c r="M15" s="16" t="e">
        <f t="shared" si="1"/>
        <v>#N/A</v>
      </c>
      <c r="N15" s="62" t="str">
        <f t="shared" si="8"/>
        <v>Triplet SF (3-Way) 228-312</v>
      </c>
      <c r="O15" s="63" t="str">
        <f>VLOOKUP($N15,Herbicide_Data!$A$1:$L$61,9)</f>
        <v>2,4-D, dimethylamine salt; Dicamba, dimethylamine salt;Mecoprop-p (MCPP-p), dimethylamine salt</v>
      </c>
      <c r="P15" s="62">
        <f>VLOOKUP($N15,Herbicide_Data!$A$1:$P$61,13)</f>
        <v>24</v>
      </c>
      <c r="Q15" s="16">
        <f t="shared" si="2"/>
        <v>2.0314049586776859</v>
      </c>
      <c r="R15" s="62" t="str">
        <f t="shared" si="9"/>
        <v>Resolute 4Fl (100-1139)</v>
      </c>
      <c r="S15" s="63" t="str">
        <f>VLOOKUP($R15,Herbicide_Data!$A$1:$L$61,9)</f>
        <v>Prodiamine</v>
      </c>
      <c r="T15" s="62">
        <f>VLOOKUP($R15,Herbicide_Data!$A$1:$Q$61,13)</f>
        <v>16</v>
      </c>
      <c r="U15" s="16">
        <f t="shared" si="3"/>
        <v>1.3542699724517906</v>
      </c>
      <c r="V15" s="62" t="b">
        <f t="shared" si="10"/>
        <v>0</v>
      </c>
      <c r="W15" s="63" t="e">
        <f>VLOOKUP($V15,Herbicide_Data!$A$1:$L$17,9)</f>
        <v>#N/A</v>
      </c>
      <c r="X15" s="62" t="e">
        <f>VLOOKUP($V15,Herbicide_Data!$A$1:$L$17,12)</f>
        <v>#N/A</v>
      </c>
      <c r="Y15" s="16" t="e">
        <f t="shared" si="4"/>
        <v>#N/A</v>
      </c>
      <c r="Z15" s="15"/>
      <c r="AA15" s="13"/>
      <c r="AB15" s="17"/>
      <c r="AC15" s="3"/>
      <c r="AD15" s="10"/>
      <c r="AE15" s="3"/>
      <c r="AF15" s="10"/>
      <c r="AG15" s="15"/>
      <c r="AH15" s="62" t="str">
        <f t="shared" si="11"/>
        <v>Surfactant</v>
      </c>
      <c r="AI15" s="62">
        <f>VLOOKUP($AH15,Herbicide_Data!$A$1:$Q$61,13)</f>
        <v>12.8</v>
      </c>
      <c r="AJ15" s="16">
        <f t="shared" si="6"/>
        <v>1.0834159779614325</v>
      </c>
      <c r="AK15" s="3"/>
      <c r="AL15" s="3"/>
      <c r="AM15" s="3"/>
      <c r="AN15" s="3"/>
      <c r="AO15" s="3"/>
      <c r="AP15" s="3"/>
      <c r="AQ15" s="18"/>
      <c r="AR15" s="19"/>
      <c r="AS15" s="19"/>
      <c r="AT15" s="20"/>
      <c r="AU15" s="20"/>
      <c r="AV15" s="21"/>
      <c r="AW15" s="22"/>
      <c r="AX15" s="19"/>
      <c r="AY15" s="19"/>
      <c r="AZ15" s="19"/>
      <c r="BA15" s="23"/>
      <c r="BB15" s="19"/>
      <c r="BC15" s="19"/>
      <c r="BD15" s="19"/>
    </row>
    <row r="16" spans="1:56" ht="20.399999999999999" customHeight="1">
      <c r="A16" s="13" t="s">
        <v>544</v>
      </c>
      <c r="B16" s="11">
        <v>45710</v>
      </c>
      <c r="C16" s="12">
        <v>0.5625</v>
      </c>
      <c r="D16" s="12">
        <f t="shared" si="0"/>
        <v>0.58333330000000005</v>
      </c>
      <c r="E16" s="10" t="s">
        <v>85</v>
      </c>
      <c r="F16" s="10">
        <f>IFERROR(VLOOKUP(E16,Data!A$2:B$5,2,TRUE), "")</f>
        <v>48160</v>
      </c>
      <c r="G16" s="3" t="s">
        <v>581</v>
      </c>
      <c r="H16" s="13">
        <f>IFERROR(VLOOKUP(A16,Customer_Data!$A$1:$P$114,8,TRUE),"")</f>
        <v>2750</v>
      </c>
      <c r="I16" s="13"/>
      <c r="J16" s="3" t="str">
        <f t="shared" si="7"/>
        <v/>
      </c>
      <c r="K16" s="62" t="e">
        <f>(VLOOKUP($J16,Herbicide_Data!$A$1:$L$61,9,TRUE))</f>
        <v>#N/A</v>
      </c>
      <c r="L16" s="62" t="e">
        <f>VLOOKUP($J16,Herbicide_Data!$A$1:$L$61,12,TRUE)</f>
        <v>#N/A</v>
      </c>
      <c r="M16" s="16" t="e">
        <f t="shared" si="1"/>
        <v>#N/A</v>
      </c>
      <c r="N16" s="62" t="str">
        <f t="shared" si="8"/>
        <v>Triplet SF (3-Way) 228-312</v>
      </c>
      <c r="O16" s="63" t="str">
        <f>VLOOKUP($N16,Herbicide_Data!$A$1:$L$61,9)</f>
        <v>2,4-D, dimethylamine salt; Dicamba, dimethylamine salt;Mecoprop-p (MCPP-p), dimethylamine salt</v>
      </c>
      <c r="P16" s="62">
        <f>VLOOKUP($N16,Herbicide_Data!$A$1:$P$61,13)</f>
        <v>24</v>
      </c>
      <c r="Q16" s="16">
        <f t="shared" si="2"/>
        <v>1.5151515151515151</v>
      </c>
      <c r="R16" s="62" t="str">
        <f t="shared" si="9"/>
        <v>Resolute 4Fl (100-1139)</v>
      </c>
      <c r="S16" s="63" t="str">
        <f>VLOOKUP($R16,Herbicide_Data!$A$1:$L$61,9)</f>
        <v>Prodiamine</v>
      </c>
      <c r="T16" s="62">
        <f>VLOOKUP($R16,Herbicide_Data!$A$1:$Q$61,13)</f>
        <v>16</v>
      </c>
      <c r="U16" s="16">
        <f t="shared" si="3"/>
        <v>1.0101010101010102</v>
      </c>
      <c r="V16" s="62" t="b">
        <f t="shared" si="10"/>
        <v>0</v>
      </c>
      <c r="W16" s="63" t="e">
        <f>VLOOKUP($V16,Herbicide_Data!$A$1:$L$17,9)</f>
        <v>#N/A</v>
      </c>
      <c r="X16" s="62" t="e">
        <f>VLOOKUP($V16,Herbicide_Data!$A$1:$L$17,12)</f>
        <v>#N/A</v>
      </c>
      <c r="Y16" s="16" t="e">
        <f t="shared" si="4"/>
        <v>#N/A</v>
      </c>
      <c r="Z16" s="15"/>
      <c r="AA16" s="13"/>
      <c r="AB16" s="17"/>
      <c r="AC16" s="3"/>
      <c r="AD16" s="10"/>
      <c r="AE16" s="3"/>
      <c r="AF16" s="10"/>
      <c r="AG16" s="15"/>
      <c r="AH16" s="62" t="str">
        <f t="shared" si="11"/>
        <v>Surfactant</v>
      </c>
      <c r="AI16" s="62">
        <f>VLOOKUP($AH16,Herbicide_Data!$A$1:$Q$61,13)</f>
        <v>12.8</v>
      </c>
      <c r="AJ16" s="16">
        <f t="shared" si="6"/>
        <v>0.80808080808080818</v>
      </c>
      <c r="AK16" s="3"/>
      <c r="AL16" s="3"/>
      <c r="AM16" s="3"/>
      <c r="AN16" s="3"/>
      <c r="AO16" s="3"/>
      <c r="AP16" s="3"/>
      <c r="AQ16" s="18"/>
      <c r="AR16" s="19"/>
      <c r="AS16" s="19"/>
      <c r="AT16" s="20"/>
      <c r="AU16" s="20"/>
      <c r="AV16" s="21"/>
      <c r="AW16" s="22"/>
      <c r="AX16" s="19"/>
      <c r="AY16" s="19"/>
      <c r="AZ16" s="19"/>
      <c r="BA16" s="23"/>
      <c r="BB16" s="19"/>
      <c r="BC16" s="19"/>
      <c r="BD16" s="19"/>
    </row>
    <row r="17" spans="1:56" ht="72">
      <c r="A17" s="13" t="s">
        <v>95</v>
      </c>
      <c r="B17" s="11">
        <v>45710</v>
      </c>
      <c r="C17" s="12">
        <v>0.5625</v>
      </c>
      <c r="D17" s="12">
        <f t="shared" si="0"/>
        <v>0.58333330000000005</v>
      </c>
      <c r="E17" s="10" t="s">
        <v>85</v>
      </c>
      <c r="F17" s="10">
        <f>IFERROR(VLOOKUP(E17,Data!A$2:B$5,2,TRUE), "")</f>
        <v>48160</v>
      </c>
      <c r="G17" s="3" t="s">
        <v>581</v>
      </c>
      <c r="H17" s="13">
        <f>IFERROR(VLOOKUP(A17,Customer_Data!$A$1:$P$114,8,TRUE),"")</f>
        <v>6568</v>
      </c>
      <c r="I17" s="13"/>
      <c r="J17" s="3" t="str">
        <f t="shared" si="7"/>
        <v/>
      </c>
      <c r="K17" s="62" t="e">
        <f>(VLOOKUP($J17,Herbicide_Data!$A$1:$L$61,9,TRUE))</f>
        <v>#N/A</v>
      </c>
      <c r="L17" s="62" t="e">
        <f>VLOOKUP($J17,Herbicide_Data!$A$1:$L$61,12,TRUE)</f>
        <v>#N/A</v>
      </c>
      <c r="M17" s="16" t="e">
        <f t="shared" si="1"/>
        <v>#N/A</v>
      </c>
      <c r="N17" s="62" t="str">
        <f t="shared" si="8"/>
        <v>Triplet SF (3-Way) 228-312</v>
      </c>
      <c r="O17" s="63" t="str">
        <f>VLOOKUP($N17,Herbicide_Data!$A$1:$L$61,9)</f>
        <v>2,4-D, dimethylamine salt; Dicamba, dimethylamine salt;Mecoprop-p (MCPP-p), dimethylamine salt</v>
      </c>
      <c r="P17" s="62">
        <f>VLOOKUP($N17,Herbicide_Data!$A$1:$P$61,13)</f>
        <v>24</v>
      </c>
      <c r="Q17" s="16">
        <f t="shared" si="2"/>
        <v>3.618732782369146</v>
      </c>
      <c r="R17" s="62" t="str">
        <f t="shared" si="9"/>
        <v>Resolute 4Fl (100-1139)</v>
      </c>
      <c r="S17" s="63" t="str">
        <f>VLOOKUP($R17,Herbicide_Data!$A$1:$L$61,9)</f>
        <v>Prodiamine</v>
      </c>
      <c r="T17" s="62">
        <f>VLOOKUP($R17,Herbicide_Data!$A$1:$Q$61,13)</f>
        <v>16</v>
      </c>
      <c r="U17" s="16">
        <f t="shared" si="3"/>
        <v>2.4124885215794305</v>
      </c>
      <c r="V17" s="62" t="b">
        <f t="shared" si="10"/>
        <v>0</v>
      </c>
      <c r="W17" s="63" t="e">
        <f>VLOOKUP($V17,Herbicide_Data!$A$1:$L$17,9)</f>
        <v>#N/A</v>
      </c>
      <c r="X17" s="62" t="e">
        <f>VLOOKUP($V17,Herbicide_Data!$A$1:$L$17,12)</f>
        <v>#N/A</v>
      </c>
      <c r="Y17" s="16" t="e">
        <f t="shared" si="4"/>
        <v>#N/A</v>
      </c>
      <c r="Z17" s="15"/>
      <c r="AA17" s="13"/>
      <c r="AB17" s="17"/>
      <c r="AC17" s="3"/>
      <c r="AD17" s="10"/>
      <c r="AE17" s="3"/>
      <c r="AF17" s="10"/>
      <c r="AG17" s="15"/>
      <c r="AH17" s="62" t="str">
        <f t="shared" si="11"/>
        <v>Surfactant</v>
      </c>
      <c r="AI17" s="62">
        <f>VLOOKUP($AH17,Herbicide_Data!$A$1:$Q$61,13)</f>
        <v>12.8</v>
      </c>
      <c r="AJ17" s="16">
        <f t="shared" si="6"/>
        <v>1.9299908172635445</v>
      </c>
      <c r="AK17" s="3"/>
      <c r="AL17" s="3"/>
      <c r="AM17" s="3"/>
      <c r="AN17" s="3"/>
      <c r="AO17" s="3"/>
      <c r="AP17" s="3"/>
      <c r="AQ17" s="18"/>
      <c r="AR17" s="19"/>
      <c r="AS17" s="19"/>
      <c r="AT17" s="20"/>
      <c r="AU17" s="20"/>
      <c r="AV17" s="21"/>
      <c r="AW17" s="22"/>
      <c r="AX17" s="19"/>
      <c r="AY17" s="19"/>
      <c r="AZ17" s="19"/>
      <c r="BA17" s="23"/>
      <c r="BB17" s="19"/>
      <c r="BC17" s="19"/>
      <c r="BD17" s="19"/>
    </row>
    <row r="18" spans="1:56" ht="72">
      <c r="A18" s="13" t="s">
        <v>441</v>
      </c>
      <c r="B18" s="11">
        <v>45710</v>
      </c>
      <c r="C18" s="12">
        <v>0.58333333333333337</v>
      </c>
      <c r="D18" s="12">
        <f t="shared" si="0"/>
        <v>0.60416663333333331</v>
      </c>
      <c r="E18" s="10" t="s">
        <v>85</v>
      </c>
      <c r="F18" s="10">
        <f>IFERROR(VLOOKUP(E18,Data!A$2:B$5,2,TRUE), "")</f>
        <v>48160</v>
      </c>
      <c r="G18" s="3" t="s">
        <v>581</v>
      </c>
      <c r="H18" s="13">
        <f>IFERROR(VLOOKUP(A18,Customer_Data!$A$1:$P$114,8,TRUE),"")</f>
        <v>2000</v>
      </c>
      <c r="I18" s="13"/>
      <c r="J18" s="3" t="str">
        <f t="shared" si="7"/>
        <v/>
      </c>
      <c r="K18" s="62" t="e">
        <f>(VLOOKUP($J18,Herbicide_Data!$A$1:$L$61,9,TRUE))</f>
        <v>#N/A</v>
      </c>
      <c r="L18" s="62" t="e">
        <f>VLOOKUP($J18,Herbicide_Data!$A$1:$L$61,12,TRUE)</f>
        <v>#N/A</v>
      </c>
      <c r="M18" s="16" t="e">
        <f t="shared" si="1"/>
        <v>#N/A</v>
      </c>
      <c r="N18" s="62" t="str">
        <f t="shared" si="8"/>
        <v>Triplet SF (3-Way) 228-312</v>
      </c>
      <c r="O18" s="63" t="str">
        <f>VLOOKUP($N18,Herbicide_Data!$A$1:$L$61,9)</f>
        <v>2,4-D, dimethylamine salt; Dicamba, dimethylamine salt;Mecoprop-p (MCPP-p), dimethylamine salt</v>
      </c>
      <c r="P18" s="62">
        <f>VLOOKUP($N18,Herbicide_Data!$A$1:$P$61,13)</f>
        <v>24</v>
      </c>
      <c r="Q18" s="16">
        <f t="shared" si="2"/>
        <v>1.1019283746556474</v>
      </c>
      <c r="R18" s="62" t="str">
        <f t="shared" si="9"/>
        <v>Resolute 4Fl (100-1139)</v>
      </c>
      <c r="S18" s="63" t="str">
        <f>VLOOKUP($R18,Herbicide_Data!$A$1:$L$61,9)</f>
        <v>Prodiamine</v>
      </c>
      <c r="T18" s="62">
        <f>VLOOKUP($R18,Herbicide_Data!$A$1:$Q$61,13)</f>
        <v>16</v>
      </c>
      <c r="U18" s="16">
        <f t="shared" si="3"/>
        <v>0.7346189164370982</v>
      </c>
      <c r="V18" s="62" t="b">
        <f t="shared" si="10"/>
        <v>0</v>
      </c>
      <c r="W18" s="63" t="e">
        <f>VLOOKUP($V18,Herbicide_Data!$A$1:$L$17,9)</f>
        <v>#N/A</v>
      </c>
      <c r="X18" s="62" t="e">
        <f>VLOOKUP($V18,Herbicide_Data!$A$1:$L$17,12)</f>
        <v>#N/A</v>
      </c>
      <c r="Y18" s="16" t="e">
        <f t="shared" si="4"/>
        <v>#N/A</v>
      </c>
      <c r="Z18" s="15"/>
      <c r="AA18" s="13"/>
      <c r="AB18" s="17"/>
      <c r="AC18" s="3"/>
      <c r="AD18" s="10"/>
      <c r="AE18" s="3"/>
      <c r="AF18" s="10"/>
      <c r="AG18" s="15"/>
      <c r="AH18" s="62" t="str">
        <f t="shared" si="11"/>
        <v>Surfactant</v>
      </c>
      <c r="AI18" s="62">
        <f>VLOOKUP($AH18,Herbicide_Data!$A$1:$Q$61,13)</f>
        <v>12.8</v>
      </c>
      <c r="AJ18" s="16">
        <f t="shared" si="6"/>
        <v>0.58769513314967858</v>
      </c>
      <c r="AK18" s="3"/>
      <c r="AL18" s="3"/>
      <c r="AM18" s="3"/>
      <c r="AN18" s="3"/>
      <c r="AO18" s="3"/>
      <c r="AP18" s="3"/>
      <c r="AQ18" s="18"/>
      <c r="AR18" s="19"/>
      <c r="AS18" s="19"/>
      <c r="AT18" s="20"/>
      <c r="AU18" s="20"/>
      <c r="AV18" s="21"/>
      <c r="AW18" s="22"/>
      <c r="AX18" s="19"/>
      <c r="AY18" s="19"/>
      <c r="AZ18" s="19"/>
      <c r="BA18" s="23"/>
      <c r="BB18" s="19"/>
      <c r="BC18" s="19"/>
      <c r="BD18" s="19"/>
    </row>
    <row r="19" spans="1:56" ht="72">
      <c r="A19" s="13" t="s">
        <v>480</v>
      </c>
      <c r="B19" s="11">
        <v>45710</v>
      </c>
      <c r="C19" s="12">
        <f ca="1">IF(ISBLANK($A19),"",NOW()-TODAY())</f>
        <v>0.63285474536678521</v>
      </c>
      <c r="D19" s="12">
        <f t="shared" ca="1" si="0"/>
        <v>0.65368804536678526</v>
      </c>
      <c r="E19" s="10" t="s">
        <v>85</v>
      </c>
      <c r="F19" s="10">
        <f>IFERROR(VLOOKUP(E19,Data!A$2:B$5,2,TRUE), "")</f>
        <v>48160</v>
      </c>
      <c r="G19" s="3" t="s">
        <v>581</v>
      </c>
      <c r="H19" s="13">
        <v>6575</v>
      </c>
      <c r="I19" s="13"/>
      <c r="J19" s="3" t="str">
        <f t="shared" si="7"/>
        <v/>
      </c>
      <c r="K19" s="62" t="e">
        <f>(VLOOKUP($J19,Herbicide_Data!$A$1:$L$61,9,TRUE))</f>
        <v>#N/A</v>
      </c>
      <c r="L19" s="62" t="e">
        <f>VLOOKUP($J19,Herbicide_Data!$A$1:$L$61,12,TRUE)</f>
        <v>#N/A</v>
      </c>
      <c r="M19" s="16" t="e">
        <f t="shared" si="1"/>
        <v>#N/A</v>
      </c>
      <c r="N19" s="62" t="str">
        <f t="shared" si="8"/>
        <v>Triplet SF (3-Way) 228-312</v>
      </c>
      <c r="O19" s="63" t="str">
        <f>VLOOKUP($N19,Herbicide_Data!$A$1:$L$61,9)</f>
        <v>2,4-D, dimethylamine salt; Dicamba, dimethylamine salt;Mecoprop-p (MCPP-p), dimethylamine salt</v>
      </c>
      <c r="P19" s="62">
        <f>VLOOKUP($N19,Herbicide_Data!$A$1:$P$61,13)</f>
        <v>24</v>
      </c>
      <c r="Q19" s="16">
        <f t="shared" si="2"/>
        <v>3.6225895316804406</v>
      </c>
      <c r="R19" s="62" t="str">
        <f t="shared" si="9"/>
        <v>Resolute 4Fl (100-1139)</v>
      </c>
      <c r="S19" s="63" t="str">
        <f>VLOOKUP($R19,Herbicide_Data!$A$1:$L$61,9)</f>
        <v>Prodiamine</v>
      </c>
      <c r="T19" s="62">
        <f>VLOOKUP($R19,Herbicide_Data!$A$1:$Q$61,13)</f>
        <v>16</v>
      </c>
      <c r="U19" s="16">
        <f t="shared" si="3"/>
        <v>2.4150596877869606</v>
      </c>
      <c r="V19" s="62" t="b">
        <f t="shared" si="10"/>
        <v>0</v>
      </c>
      <c r="W19" s="63" t="e">
        <f>VLOOKUP($V19,Herbicide_Data!$A$1:$L$17,9)</f>
        <v>#N/A</v>
      </c>
      <c r="X19" s="62" t="e">
        <f>VLOOKUP($V19,Herbicide_Data!$A$1:$L$17,12)</f>
        <v>#N/A</v>
      </c>
      <c r="Y19" s="16" t="e">
        <f t="shared" si="4"/>
        <v>#N/A</v>
      </c>
      <c r="Z19" s="15"/>
      <c r="AA19" s="13"/>
      <c r="AB19" s="17"/>
      <c r="AC19" s="3"/>
      <c r="AD19" s="10"/>
      <c r="AE19" s="3"/>
      <c r="AF19" s="10"/>
      <c r="AG19" s="15"/>
      <c r="AH19" s="62" t="str">
        <f t="shared" si="11"/>
        <v>Surfactant</v>
      </c>
      <c r="AI19" s="62">
        <f>VLOOKUP($AH19,Herbicide_Data!$A$1:$Q$61,13)</f>
        <v>12.8</v>
      </c>
      <c r="AJ19" s="16">
        <f t="shared" si="6"/>
        <v>1.9320477502295685</v>
      </c>
      <c r="AK19" s="3"/>
      <c r="AL19" s="3"/>
      <c r="AM19" s="3"/>
      <c r="AN19" s="3"/>
      <c r="AO19" s="3"/>
      <c r="AP19" s="3"/>
      <c r="AQ19" s="18"/>
      <c r="AR19" s="19"/>
      <c r="AS19" s="19"/>
      <c r="AT19" s="20"/>
      <c r="AU19" s="20"/>
      <c r="AV19" s="21"/>
      <c r="AW19" s="22"/>
      <c r="AX19" s="19"/>
      <c r="AY19" s="19"/>
      <c r="AZ19" s="19"/>
      <c r="BA19" s="23"/>
      <c r="BB19" s="19"/>
      <c r="BC19" s="19"/>
      <c r="BD19" s="19"/>
    </row>
    <row r="20" spans="1:56" ht="72">
      <c r="A20" s="13" t="s">
        <v>548</v>
      </c>
      <c r="B20" s="11">
        <v>45710</v>
      </c>
      <c r="C20" s="12">
        <v>0.60416666666666663</v>
      </c>
      <c r="D20" s="12">
        <f t="shared" si="0"/>
        <v>0.62499996666666657</v>
      </c>
      <c r="E20" s="10" t="s">
        <v>85</v>
      </c>
      <c r="F20" s="10">
        <f>IFERROR(VLOOKUP(E20,Data!A$2:B$5,2,TRUE), "")</f>
        <v>48160</v>
      </c>
      <c r="G20" s="3" t="s">
        <v>581</v>
      </c>
      <c r="H20" s="13">
        <f>IFERROR(VLOOKUP(A20,Customer_Data!$A$1:$P$114,8,TRUE),"")</f>
        <v>5670</v>
      </c>
      <c r="I20" s="13"/>
      <c r="J20" s="3" t="str">
        <f t="shared" si="7"/>
        <v/>
      </c>
      <c r="K20" s="62" t="e">
        <f>(VLOOKUP($J20,Herbicide_Data!$A$1:$L$61,9,TRUE))</f>
        <v>#N/A</v>
      </c>
      <c r="L20" s="62" t="e">
        <f>VLOOKUP($J20,Herbicide_Data!$A$1:$L$61,12,TRUE)</f>
        <v>#N/A</v>
      </c>
      <c r="M20" s="16" t="e">
        <f t="shared" si="1"/>
        <v>#N/A</v>
      </c>
      <c r="N20" s="62" t="str">
        <f t="shared" si="8"/>
        <v>Triplet SF (3-Way) 228-312</v>
      </c>
      <c r="O20" s="63" t="str">
        <f>VLOOKUP($N20,Herbicide_Data!$A$1:$L$61,9)</f>
        <v>2,4-D, dimethylamine salt; Dicamba, dimethylamine salt;Mecoprop-p (MCPP-p), dimethylamine salt</v>
      </c>
      <c r="P20" s="62">
        <f>VLOOKUP($N20,Herbicide_Data!$A$1:$P$61,13)</f>
        <v>24</v>
      </c>
      <c r="Q20" s="16">
        <f t="shared" si="2"/>
        <v>3.1239669421487606</v>
      </c>
      <c r="R20" s="62" t="str">
        <f t="shared" si="9"/>
        <v>Resolute 4Fl (100-1139)</v>
      </c>
      <c r="S20" s="63" t="str">
        <f>VLOOKUP($R20,Herbicide_Data!$A$1:$L$61,9)</f>
        <v>Prodiamine</v>
      </c>
      <c r="T20" s="62">
        <f>VLOOKUP($R20,Herbicide_Data!$A$1:$Q$61,13)</f>
        <v>16</v>
      </c>
      <c r="U20" s="16">
        <f t="shared" si="3"/>
        <v>2.0826446280991737</v>
      </c>
      <c r="V20" s="62" t="b">
        <f t="shared" si="10"/>
        <v>0</v>
      </c>
      <c r="W20" s="63" t="e">
        <f>VLOOKUP($V20,Herbicide_Data!$A$1:$L$17,9)</f>
        <v>#N/A</v>
      </c>
      <c r="X20" s="62" t="e">
        <f>VLOOKUP($V20,Herbicide_Data!$A$1:$L$17,12)</f>
        <v>#N/A</v>
      </c>
      <c r="Y20" s="16" t="e">
        <f t="shared" si="4"/>
        <v>#N/A</v>
      </c>
      <c r="Z20" s="15"/>
      <c r="AA20" s="13"/>
      <c r="AB20" s="17"/>
      <c r="AC20" s="3"/>
      <c r="AD20" s="10"/>
      <c r="AE20" s="3"/>
      <c r="AF20" s="10"/>
      <c r="AG20" s="15"/>
      <c r="AH20" s="62" t="str">
        <f t="shared" si="11"/>
        <v>Surfactant</v>
      </c>
      <c r="AI20" s="62">
        <f>VLOOKUP($AH20,Herbicide_Data!$A$1:$Q$61,13)</f>
        <v>12.8</v>
      </c>
      <c r="AJ20" s="16">
        <f t="shared" si="6"/>
        <v>1.6661157024793392</v>
      </c>
      <c r="AK20" s="3"/>
      <c r="AL20" s="3"/>
      <c r="AM20" s="3"/>
      <c r="AN20" s="3"/>
      <c r="AO20" s="3"/>
      <c r="AP20" s="3"/>
      <c r="AQ20" s="18"/>
      <c r="AR20" s="19"/>
      <c r="AS20" s="19"/>
      <c r="AT20" s="20"/>
      <c r="AU20" s="20"/>
      <c r="AV20" s="21"/>
      <c r="AW20" s="22"/>
      <c r="AX20" s="19"/>
      <c r="AY20" s="19"/>
      <c r="AZ20" s="19"/>
      <c r="BA20" s="23"/>
      <c r="BB20" s="19"/>
      <c r="BC20" s="19"/>
      <c r="BD20" s="19"/>
    </row>
    <row r="21" spans="1:56" ht="72">
      <c r="A21" s="13" t="s">
        <v>382</v>
      </c>
      <c r="B21" s="11">
        <v>45710</v>
      </c>
      <c r="C21" s="12">
        <v>0.625</v>
      </c>
      <c r="D21" s="12">
        <f t="shared" si="0"/>
        <v>0.64583330000000005</v>
      </c>
      <c r="E21" s="10" t="s">
        <v>85</v>
      </c>
      <c r="F21" s="10">
        <f>IFERROR(VLOOKUP(E21,Data!A$2:B$5,2,TRUE), "")</f>
        <v>48160</v>
      </c>
      <c r="G21" s="3" t="s">
        <v>581</v>
      </c>
      <c r="H21" s="13">
        <f>IFERROR(VLOOKUP(A21,Customer_Data!$A$1:$P$114,8,TRUE),"")</f>
        <v>1800</v>
      </c>
      <c r="I21" s="13"/>
      <c r="J21" s="3" t="str">
        <f t="shared" si="7"/>
        <v/>
      </c>
      <c r="K21" s="62" t="e">
        <f>(VLOOKUP($J21,Herbicide_Data!$A$1:$L$61,9,TRUE))</f>
        <v>#N/A</v>
      </c>
      <c r="L21" s="62" t="e">
        <f>VLOOKUP($J21,Herbicide_Data!$A$1:$L$61,12,TRUE)</f>
        <v>#N/A</v>
      </c>
      <c r="M21" s="16" t="e">
        <f t="shared" si="1"/>
        <v>#N/A</v>
      </c>
      <c r="N21" s="62" t="str">
        <f t="shared" si="8"/>
        <v>Triplet SF (3-Way) 228-312</v>
      </c>
      <c r="O21" s="63" t="str">
        <f>VLOOKUP($N21,Herbicide_Data!$A$1:$L$61,9)</f>
        <v>2,4-D, dimethylamine salt; Dicamba, dimethylamine salt;Mecoprop-p (MCPP-p), dimethylamine salt</v>
      </c>
      <c r="P21" s="62">
        <f>VLOOKUP($N21,Herbicide_Data!$A$1:$P$61,13)</f>
        <v>24</v>
      </c>
      <c r="Q21" s="16">
        <f t="shared" si="2"/>
        <v>0.99173553719008267</v>
      </c>
      <c r="R21" s="62" t="str">
        <f t="shared" si="9"/>
        <v>Resolute 4Fl (100-1139)</v>
      </c>
      <c r="S21" s="63" t="str">
        <f>VLOOKUP($R21,Herbicide_Data!$A$1:$L$61,9)</f>
        <v>Prodiamine</v>
      </c>
      <c r="T21" s="62">
        <f>VLOOKUP($R21,Herbicide_Data!$A$1:$Q$61,13)</f>
        <v>16</v>
      </c>
      <c r="U21" s="16">
        <f t="shared" si="3"/>
        <v>0.66115702479338845</v>
      </c>
      <c r="V21" s="62" t="b">
        <f t="shared" si="10"/>
        <v>0</v>
      </c>
      <c r="W21" s="63" t="e">
        <f>VLOOKUP($V21,Herbicide_Data!$A$1:$L$17,9)</f>
        <v>#N/A</v>
      </c>
      <c r="X21" s="62" t="e">
        <f>VLOOKUP($V21,Herbicide_Data!$A$1:$L$17,12)</f>
        <v>#N/A</v>
      </c>
      <c r="Y21" s="16" t="e">
        <f t="shared" si="4"/>
        <v>#N/A</v>
      </c>
      <c r="Z21" s="15"/>
      <c r="AA21" s="13"/>
      <c r="AB21" s="17"/>
      <c r="AC21" s="3"/>
      <c r="AD21" s="10"/>
      <c r="AE21" s="3"/>
      <c r="AF21" s="10"/>
      <c r="AG21" s="15"/>
      <c r="AH21" s="62" t="str">
        <f t="shared" si="11"/>
        <v>Surfactant</v>
      </c>
      <c r="AI21" s="62">
        <f>VLOOKUP($AH21,Herbicide_Data!$A$1:$Q$61,13)</f>
        <v>12.8</v>
      </c>
      <c r="AJ21" s="16">
        <f t="shared" si="6"/>
        <v>0.52892561983471076</v>
      </c>
      <c r="AK21" s="3"/>
      <c r="AL21" s="3"/>
      <c r="AM21" s="3"/>
      <c r="AN21" s="3"/>
      <c r="AO21" s="3"/>
      <c r="AP21" s="3"/>
      <c r="AQ21" s="18"/>
      <c r="AR21" s="19"/>
      <c r="AS21" s="19"/>
      <c r="AT21" s="20"/>
      <c r="AU21" s="20"/>
      <c r="AV21" s="21"/>
      <c r="AW21" s="22"/>
      <c r="AX21" s="19"/>
      <c r="AY21" s="19"/>
      <c r="AZ21" s="19"/>
      <c r="BA21" s="23"/>
      <c r="BB21" s="19"/>
      <c r="BC21" s="19"/>
      <c r="BD21" s="19"/>
    </row>
    <row r="22" spans="1:56" ht="72">
      <c r="A22" s="13" t="s">
        <v>578</v>
      </c>
      <c r="B22" s="11">
        <v>45710</v>
      </c>
      <c r="C22" s="12">
        <v>0.625</v>
      </c>
      <c r="D22" s="12">
        <f t="shared" si="0"/>
        <v>0.64583330000000005</v>
      </c>
      <c r="E22" s="10" t="s">
        <v>85</v>
      </c>
      <c r="F22" s="10">
        <f>IFERROR(VLOOKUP(E22,Data!A$2:B$5,2,TRUE), "")</f>
        <v>48160</v>
      </c>
      <c r="G22" s="3" t="s">
        <v>581</v>
      </c>
      <c r="H22" s="13">
        <f>IFERROR(VLOOKUP(A22,Customer_Data!$A$1:$P$114,8,TRUE),"")</f>
        <v>13500</v>
      </c>
      <c r="I22" s="13"/>
      <c r="J22" s="3" t="str">
        <f t="shared" si="7"/>
        <v/>
      </c>
      <c r="K22" s="62" t="e">
        <f>(VLOOKUP($J22,Herbicide_Data!$A$1:$L$61,9,TRUE))</f>
        <v>#N/A</v>
      </c>
      <c r="L22" s="62" t="e">
        <f>VLOOKUP($J22,Herbicide_Data!$A$1:$L$61,12,TRUE)</f>
        <v>#N/A</v>
      </c>
      <c r="M22" s="16" t="e">
        <f t="shared" si="1"/>
        <v>#N/A</v>
      </c>
      <c r="N22" s="62" t="str">
        <f t="shared" si="8"/>
        <v>Triplet SF (3-Way) 228-312</v>
      </c>
      <c r="O22" s="63" t="str">
        <f>VLOOKUP($N22,Herbicide_Data!$A$1:$L$61,9)</f>
        <v>2,4-D, dimethylamine salt; Dicamba, dimethylamine salt;Mecoprop-p (MCPP-p), dimethylamine salt</v>
      </c>
      <c r="P22" s="62">
        <f>VLOOKUP($N22,Herbicide_Data!$A$1:$P$61,13)</f>
        <v>24</v>
      </c>
      <c r="Q22" s="16">
        <f t="shared" si="2"/>
        <v>7.4380165289256208</v>
      </c>
      <c r="R22" s="62" t="str">
        <f t="shared" si="9"/>
        <v>Resolute 4Fl (100-1139)</v>
      </c>
      <c r="S22" s="63" t="str">
        <f>VLOOKUP($R22,Herbicide_Data!$A$1:$L$61,9)</f>
        <v>Prodiamine</v>
      </c>
      <c r="T22" s="62">
        <f>VLOOKUP($R22,Herbicide_Data!$A$1:$Q$61,13)</f>
        <v>16</v>
      </c>
      <c r="U22" s="16">
        <f t="shared" si="3"/>
        <v>4.9586776859504136</v>
      </c>
      <c r="V22" s="62" t="b">
        <f t="shared" si="10"/>
        <v>0</v>
      </c>
      <c r="W22" s="63" t="e">
        <f>VLOOKUP($V22,Herbicide_Data!$A$1:$L$17,9)</f>
        <v>#N/A</v>
      </c>
      <c r="X22" s="62" t="e">
        <f>VLOOKUP($V22,Herbicide_Data!$A$1:$L$17,12)</f>
        <v>#N/A</v>
      </c>
      <c r="Y22" s="16" t="e">
        <f t="shared" si="4"/>
        <v>#N/A</v>
      </c>
      <c r="Z22" s="15"/>
      <c r="AA22" s="13"/>
      <c r="AB22" s="17"/>
      <c r="AC22" s="3"/>
      <c r="AD22" s="10"/>
      <c r="AE22" s="3"/>
      <c r="AF22" s="10"/>
      <c r="AG22" s="15"/>
      <c r="AH22" s="62" t="str">
        <f t="shared" si="11"/>
        <v>Surfactant</v>
      </c>
      <c r="AI22" s="62">
        <f>VLOOKUP($AH22,Herbicide_Data!$A$1:$Q$61,13)</f>
        <v>12.8</v>
      </c>
      <c r="AJ22" s="16">
        <f t="shared" si="6"/>
        <v>3.9669421487603311</v>
      </c>
      <c r="AK22" s="3"/>
      <c r="AL22" s="3"/>
      <c r="AM22" s="3"/>
      <c r="AN22" s="3"/>
      <c r="AO22" s="3"/>
      <c r="AP22" s="3"/>
      <c r="AQ22" s="18"/>
      <c r="AR22" s="19"/>
      <c r="AS22" s="19"/>
      <c r="AT22" s="20"/>
      <c r="AU22" s="20"/>
      <c r="AV22" s="21"/>
      <c r="AW22" s="22"/>
      <c r="AX22" s="19"/>
      <c r="AY22" s="19"/>
      <c r="AZ22" s="19"/>
      <c r="BA22" s="23"/>
      <c r="BB22" s="19"/>
      <c r="BC22" s="19"/>
      <c r="BD22" s="19"/>
    </row>
    <row r="23" spans="1:56" ht="72">
      <c r="A23" s="13" t="s">
        <v>86</v>
      </c>
      <c r="B23" s="11">
        <v>45710</v>
      </c>
      <c r="C23" s="12">
        <v>0.64583333333333337</v>
      </c>
      <c r="D23" s="12">
        <f t="shared" si="0"/>
        <v>0.66666663333333331</v>
      </c>
      <c r="E23" s="10" t="s">
        <v>86</v>
      </c>
      <c r="F23" s="10">
        <f>IFERROR(VLOOKUP(E23,Data!A$2:B$5,2,TRUE), "")</f>
        <v>48182</v>
      </c>
      <c r="G23" s="3" t="s">
        <v>581</v>
      </c>
      <c r="H23" s="13">
        <f>IFERROR(VLOOKUP(A23,Customer_Data!$A$1:$P$114,8,TRUE),"")</f>
        <v>5361</v>
      </c>
      <c r="I23" s="13"/>
      <c r="J23" s="3" t="str">
        <f t="shared" si="7"/>
        <v/>
      </c>
      <c r="K23" s="62" t="e">
        <f>(VLOOKUP($J23,Herbicide_Data!$A$1:$L$61,9,TRUE))</f>
        <v>#N/A</v>
      </c>
      <c r="L23" s="62" t="e">
        <f>VLOOKUP($J23,Herbicide_Data!$A$1:$L$61,12,TRUE)</f>
        <v>#N/A</v>
      </c>
      <c r="M23" s="16" t="e">
        <f t="shared" si="1"/>
        <v>#N/A</v>
      </c>
      <c r="N23" s="62" t="str">
        <f t="shared" si="8"/>
        <v>Triplet SF (3-Way) 228-312</v>
      </c>
      <c r="O23" s="63" t="str">
        <f>VLOOKUP($N23,Herbicide_Data!$A$1:$L$61,9)</f>
        <v>2,4-D, dimethylamine salt; Dicamba, dimethylamine salt;Mecoprop-p (MCPP-p), dimethylamine salt</v>
      </c>
      <c r="P23" s="62">
        <f>VLOOKUP($N23,Herbicide_Data!$A$1:$P$61,13)</f>
        <v>24</v>
      </c>
      <c r="Q23" s="16">
        <f t="shared" si="2"/>
        <v>2.9537190082644629</v>
      </c>
      <c r="R23" s="62" t="str">
        <f t="shared" si="9"/>
        <v>Resolute 4Fl (100-1139)</v>
      </c>
      <c r="S23" s="63" t="str">
        <f>VLOOKUP($R23,Herbicide_Data!$A$1:$L$61,9)</f>
        <v>Prodiamine</v>
      </c>
      <c r="T23" s="62">
        <f>VLOOKUP($R23,Herbicide_Data!$A$1:$Q$61,13)</f>
        <v>16</v>
      </c>
      <c r="U23" s="16">
        <f t="shared" si="3"/>
        <v>1.9691460055096419</v>
      </c>
      <c r="V23" s="62" t="b">
        <f t="shared" si="10"/>
        <v>0</v>
      </c>
      <c r="W23" s="63" t="e">
        <f>VLOOKUP($V23,Herbicide_Data!$A$1:$L$17,9)</f>
        <v>#N/A</v>
      </c>
      <c r="X23" s="62" t="e">
        <f>VLOOKUP($V23,Herbicide_Data!$A$1:$L$17,12)</f>
        <v>#N/A</v>
      </c>
      <c r="Y23" s="16" t="e">
        <f t="shared" si="4"/>
        <v>#N/A</v>
      </c>
      <c r="Z23" s="15"/>
      <c r="AA23" s="13"/>
      <c r="AB23" s="17"/>
      <c r="AC23" s="3"/>
      <c r="AD23" s="10"/>
      <c r="AE23" s="3"/>
      <c r="AF23" s="10"/>
      <c r="AG23" s="15"/>
      <c r="AH23" s="62" t="str">
        <f t="shared" si="11"/>
        <v>Surfactant</v>
      </c>
      <c r="AI23" s="62">
        <f>VLOOKUP($AH23,Herbicide_Data!$A$1:$Q$61,13)</f>
        <v>12.8</v>
      </c>
      <c r="AJ23" s="16">
        <f t="shared" si="6"/>
        <v>1.5753168044077137</v>
      </c>
      <c r="AK23" s="3"/>
      <c r="AL23" s="3"/>
      <c r="AM23" s="3"/>
      <c r="AN23" s="3"/>
      <c r="AO23" s="3"/>
      <c r="AP23" s="3"/>
      <c r="AQ23" s="18"/>
      <c r="AR23" s="19"/>
      <c r="AS23" s="19"/>
      <c r="AT23" s="20"/>
      <c r="AU23" s="20"/>
      <c r="AV23" s="21"/>
      <c r="AW23" s="22"/>
      <c r="AX23" s="19"/>
      <c r="AY23" s="19"/>
      <c r="AZ23" s="19"/>
      <c r="BA23" s="23"/>
      <c r="BB23" s="19"/>
      <c r="BC23" s="19"/>
      <c r="BD23" s="19"/>
    </row>
    <row r="24" spans="1:56" ht="72">
      <c r="A24" s="13" t="s">
        <v>550</v>
      </c>
      <c r="B24" s="11">
        <v>45726</v>
      </c>
      <c r="C24" s="12">
        <v>0.72916666666666663</v>
      </c>
      <c r="D24" s="12">
        <f t="shared" si="0"/>
        <v>0.74999996666666657</v>
      </c>
      <c r="E24" s="10" t="s">
        <v>85</v>
      </c>
      <c r="F24" s="10">
        <f>IFERROR(VLOOKUP(E24,Data!A$2:B$5,2,TRUE), "")</f>
        <v>48160</v>
      </c>
      <c r="G24" s="3" t="s">
        <v>581</v>
      </c>
      <c r="H24" s="13">
        <f>IFERROR(VLOOKUP(A24,Customer_Data!$A$1:$P$114,8,TRUE),"")</f>
        <v>4670</v>
      </c>
      <c r="I24" s="13"/>
      <c r="J24" s="3" t="str">
        <f t="shared" si="7"/>
        <v/>
      </c>
      <c r="K24" s="62" t="e">
        <f>(VLOOKUP($J24,Herbicide_Data!$A$1:$L$61,9,TRUE))</f>
        <v>#N/A</v>
      </c>
      <c r="L24" s="62" t="e">
        <f>VLOOKUP($J24,Herbicide_Data!$A$1:$L$61,12,TRUE)</f>
        <v>#N/A</v>
      </c>
      <c r="M24" s="16" t="e">
        <f t="shared" si="1"/>
        <v>#N/A</v>
      </c>
      <c r="N24" s="62" t="str">
        <f t="shared" si="8"/>
        <v>Triplet SF (3-Way) 228-312</v>
      </c>
      <c r="O24" s="63" t="str">
        <f>VLOOKUP($N24,Herbicide_Data!$A$1:$L$61,9)</f>
        <v>2,4-D, dimethylamine salt; Dicamba, dimethylamine salt;Mecoprop-p (MCPP-p), dimethylamine salt</v>
      </c>
      <c r="P24" s="62">
        <f>VLOOKUP($N24,Herbicide_Data!$A$1:$P$61,13)</f>
        <v>24</v>
      </c>
      <c r="Q24" s="16">
        <f t="shared" si="2"/>
        <v>2.5730027548209367</v>
      </c>
      <c r="R24" s="62" t="str">
        <f t="shared" si="9"/>
        <v>Resolute 4Fl (100-1139)</v>
      </c>
      <c r="S24" s="63" t="str">
        <f>VLOOKUP($R24,Herbicide_Data!$A$1:$L$61,9)</f>
        <v>Prodiamine</v>
      </c>
      <c r="T24" s="62">
        <f>VLOOKUP($R24,Herbicide_Data!$A$1:$Q$61,13)</f>
        <v>16</v>
      </c>
      <c r="U24" s="16">
        <f t="shared" si="3"/>
        <v>1.7153351698806245</v>
      </c>
      <c r="V24" s="62" t="b">
        <f t="shared" si="10"/>
        <v>0</v>
      </c>
      <c r="W24" s="63" t="e">
        <f>VLOOKUP($V24,Herbicide_Data!$A$1:$L$17,9)</f>
        <v>#N/A</v>
      </c>
      <c r="X24" s="62" t="e">
        <f>VLOOKUP($V24,Herbicide_Data!$A$1:$L$17,12)</f>
        <v>#N/A</v>
      </c>
      <c r="Y24" s="16" t="e">
        <f t="shared" si="4"/>
        <v>#N/A</v>
      </c>
      <c r="Z24" s="15"/>
      <c r="AA24" s="13"/>
      <c r="AB24" s="17"/>
      <c r="AC24" s="3"/>
      <c r="AD24" s="10"/>
      <c r="AE24" s="3"/>
      <c r="AF24" s="10"/>
      <c r="AG24" s="15"/>
      <c r="AH24" s="62" t="str">
        <f t="shared" si="11"/>
        <v>Surfactant</v>
      </c>
      <c r="AI24" s="62">
        <f>VLOOKUP($AH24,Herbicide_Data!$A$1:$Q$61,13)</f>
        <v>12.8</v>
      </c>
      <c r="AJ24" s="16">
        <f t="shared" si="6"/>
        <v>1.3722681359044997</v>
      </c>
      <c r="AK24" s="3"/>
      <c r="AL24" s="3"/>
      <c r="AM24" s="3"/>
      <c r="AN24" s="3"/>
      <c r="AO24" s="3"/>
      <c r="AP24" s="3"/>
      <c r="AQ24" s="18"/>
      <c r="AR24" s="19"/>
      <c r="AS24" s="19"/>
      <c r="AT24" s="20"/>
      <c r="AU24" s="20"/>
      <c r="AV24" s="21"/>
      <c r="AW24" s="22"/>
      <c r="AX24" s="19"/>
      <c r="AY24" s="19"/>
      <c r="AZ24" s="19"/>
      <c r="BA24" s="23"/>
      <c r="BB24" s="19"/>
      <c r="BC24" s="19"/>
      <c r="BD24" s="19"/>
    </row>
    <row r="25" spans="1:56" ht="72">
      <c r="A25" s="13" t="s">
        <v>588</v>
      </c>
      <c r="B25" s="11">
        <v>45726</v>
      </c>
      <c r="C25" s="12">
        <v>0.75</v>
      </c>
      <c r="D25" s="12">
        <f t="shared" si="0"/>
        <v>0.77083330000000005</v>
      </c>
      <c r="E25" s="10" t="s">
        <v>85</v>
      </c>
      <c r="F25" s="10">
        <f>IFERROR(VLOOKUP(E25,Data!A$2:B$5,2,TRUE), "")</f>
        <v>48160</v>
      </c>
      <c r="G25" s="3" t="s">
        <v>581</v>
      </c>
      <c r="H25" s="13">
        <f>IFERROR(VLOOKUP(A25,Customer_Data!$A$1:$P$114,8,TRUE),"")</f>
        <v>9000</v>
      </c>
      <c r="I25" s="13"/>
      <c r="J25" s="3" t="str">
        <f t="shared" si="7"/>
        <v/>
      </c>
      <c r="K25" s="62" t="e">
        <f>(VLOOKUP($J25,Herbicide_Data!$A$1:$L$61,9,TRUE))</f>
        <v>#N/A</v>
      </c>
      <c r="L25" s="62" t="e">
        <f>VLOOKUP($J25,Herbicide_Data!$A$1:$L$61,12,TRUE)</f>
        <v>#N/A</v>
      </c>
      <c r="M25" s="16" t="e">
        <f t="shared" si="1"/>
        <v>#N/A</v>
      </c>
      <c r="N25" s="62" t="str">
        <f t="shared" si="8"/>
        <v>Triplet SF (3-Way) 228-312</v>
      </c>
      <c r="O25" s="63" t="str">
        <f>VLOOKUP($N25,Herbicide_Data!$A$1:$L$61,9)</f>
        <v>2,4-D, dimethylamine salt; Dicamba, dimethylamine salt;Mecoprop-p (MCPP-p), dimethylamine salt</v>
      </c>
      <c r="P25" s="62">
        <f>VLOOKUP($N25,Herbicide_Data!$A$1:$P$61,13)</f>
        <v>24</v>
      </c>
      <c r="Q25" s="16">
        <f t="shared" si="2"/>
        <v>4.9586776859504136</v>
      </c>
      <c r="R25" s="62" t="str">
        <f t="shared" si="9"/>
        <v>Resolute 4Fl (100-1139)</v>
      </c>
      <c r="S25" s="63" t="str">
        <f>VLOOKUP($R25,Herbicide_Data!$A$1:$L$61,9)</f>
        <v>Prodiamine</v>
      </c>
      <c r="T25" s="62">
        <f>VLOOKUP($R25,Herbicide_Data!$A$1:$Q$61,13)</f>
        <v>16</v>
      </c>
      <c r="U25" s="16">
        <f t="shared" si="3"/>
        <v>3.3057851239669422</v>
      </c>
      <c r="V25" s="62" t="b">
        <f t="shared" si="10"/>
        <v>0</v>
      </c>
      <c r="W25" s="63" t="e">
        <f>VLOOKUP($V25,Herbicide_Data!$A$1:$L$17,9)</f>
        <v>#N/A</v>
      </c>
      <c r="X25" s="62" t="e">
        <f>VLOOKUP($V25,Herbicide_Data!$A$1:$L$17,12)</f>
        <v>#N/A</v>
      </c>
      <c r="Y25" s="16" t="e">
        <f t="shared" si="4"/>
        <v>#N/A</v>
      </c>
      <c r="Z25" s="15"/>
      <c r="AA25" s="13"/>
      <c r="AB25" s="17"/>
      <c r="AC25" s="3"/>
      <c r="AD25" s="10"/>
      <c r="AE25" s="3"/>
      <c r="AF25" s="10"/>
      <c r="AG25" s="15"/>
      <c r="AH25" s="62" t="str">
        <f t="shared" si="11"/>
        <v>Surfactant</v>
      </c>
      <c r="AI25" s="62">
        <f>VLOOKUP($AH25,Herbicide_Data!$A$1:$Q$61,13)</f>
        <v>12.8</v>
      </c>
      <c r="AJ25" s="16">
        <f t="shared" si="6"/>
        <v>2.6446280991735538</v>
      </c>
      <c r="AK25" s="3"/>
      <c r="AL25" s="3"/>
      <c r="AM25" s="3"/>
      <c r="AN25" s="3"/>
      <c r="AO25" s="3"/>
      <c r="AP25" s="3"/>
      <c r="AQ25" s="18"/>
      <c r="AR25" s="19"/>
      <c r="AS25" s="19"/>
      <c r="AT25" s="20"/>
      <c r="AU25" s="20"/>
      <c r="AV25" s="21"/>
      <c r="AW25" s="22"/>
      <c r="AX25" s="19"/>
      <c r="AY25" s="19"/>
      <c r="AZ25" s="19"/>
      <c r="BA25" s="23"/>
      <c r="BB25" s="19"/>
      <c r="BC25" s="19"/>
      <c r="BD25" s="19"/>
    </row>
    <row r="26" spans="1:56" ht="72">
      <c r="A26" s="13" t="s">
        <v>546</v>
      </c>
      <c r="B26" s="11">
        <v>45726</v>
      </c>
      <c r="C26" s="12">
        <v>0.77083333333333337</v>
      </c>
      <c r="D26" s="12">
        <f t="shared" si="0"/>
        <v>0.79166663333333331</v>
      </c>
      <c r="E26" s="10" t="s">
        <v>85</v>
      </c>
      <c r="F26" s="10">
        <f>IFERROR(VLOOKUP(E26,Data!A$2:B$5,2,TRUE), "")</f>
        <v>48160</v>
      </c>
      <c r="G26" s="3" t="s">
        <v>581</v>
      </c>
      <c r="H26" s="13">
        <f>IFERROR(VLOOKUP(A26,Customer_Data!$A$1:$P$114,8,TRUE),"")</f>
        <v>7500</v>
      </c>
      <c r="I26" s="13"/>
      <c r="J26" s="3" t="str">
        <f t="shared" si="7"/>
        <v/>
      </c>
      <c r="K26" s="62" t="e">
        <f>(VLOOKUP($J26,Herbicide_Data!$A$1:$L$61,9,TRUE))</f>
        <v>#N/A</v>
      </c>
      <c r="L26" s="62" t="e">
        <f>VLOOKUP($J26,Herbicide_Data!$A$1:$L$61,12,TRUE)</f>
        <v>#N/A</v>
      </c>
      <c r="M26" s="16" t="e">
        <f t="shared" si="1"/>
        <v>#N/A</v>
      </c>
      <c r="N26" s="62" t="str">
        <f t="shared" si="8"/>
        <v>Triplet SF (3-Way) 228-312</v>
      </c>
      <c r="O26" s="63" t="str">
        <f>VLOOKUP($N26,Herbicide_Data!$A$1:$L$61,9)</f>
        <v>2,4-D, dimethylamine salt; Dicamba, dimethylamine salt;Mecoprop-p (MCPP-p), dimethylamine salt</v>
      </c>
      <c r="P26" s="62">
        <f>VLOOKUP($N26,Herbicide_Data!$A$1:$P$61,13)</f>
        <v>24</v>
      </c>
      <c r="Q26" s="16">
        <f t="shared" si="2"/>
        <v>4.1322314049586772</v>
      </c>
      <c r="R26" s="62" t="str">
        <f t="shared" si="9"/>
        <v>Resolute 4Fl (100-1139)</v>
      </c>
      <c r="S26" s="63" t="str">
        <f>VLOOKUP($R26,Herbicide_Data!$A$1:$L$61,9)</f>
        <v>Prodiamine</v>
      </c>
      <c r="T26" s="62">
        <f>VLOOKUP($R26,Herbicide_Data!$A$1:$Q$61,13)</f>
        <v>16</v>
      </c>
      <c r="U26" s="16">
        <f t="shared" si="3"/>
        <v>2.7548209366391183</v>
      </c>
      <c r="V26" s="62" t="b">
        <f t="shared" si="10"/>
        <v>0</v>
      </c>
      <c r="W26" s="63" t="e">
        <f>VLOOKUP($V26,Herbicide_Data!$A$1:$L$17,9)</f>
        <v>#N/A</v>
      </c>
      <c r="X26" s="62" t="e">
        <f>VLOOKUP($V26,Herbicide_Data!$A$1:$L$17,12)</f>
        <v>#N/A</v>
      </c>
      <c r="Y26" s="16" t="e">
        <f t="shared" si="4"/>
        <v>#N/A</v>
      </c>
      <c r="Z26" s="15"/>
      <c r="AA26" s="13"/>
      <c r="AB26" s="17"/>
      <c r="AC26" s="3"/>
      <c r="AD26" s="10"/>
      <c r="AE26" s="3"/>
      <c r="AF26" s="10"/>
      <c r="AG26" s="15"/>
      <c r="AH26" s="62" t="str">
        <f t="shared" si="11"/>
        <v>Surfactant</v>
      </c>
      <c r="AI26" s="62">
        <f>VLOOKUP($AH26,Herbicide_Data!$A$1:$Q$61,13)</f>
        <v>12.8</v>
      </c>
      <c r="AJ26" s="16">
        <f t="shared" si="6"/>
        <v>2.2038567493112948</v>
      </c>
      <c r="AK26" s="3"/>
      <c r="AL26" s="3"/>
      <c r="AM26" s="3"/>
      <c r="AN26" s="3"/>
      <c r="AO26" s="3"/>
      <c r="AP26" s="3"/>
      <c r="AQ26" s="18"/>
      <c r="AR26" s="19"/>
      <c r="AS26" s="19"/>
      <c r="AT26" s="20"/>
      <c r="AU26" s="20"/>
      <c r="AV26" s="21"/>
      <c r="AW26" s="22"/>
      <c r="AX26" s="19"/>
      <c r="AY26" s="19"/>
      <c r="AZ26" s="19"/>
      <c r="BA26" s="23"/>
      <c r="BB26" s="19"/>
      <c r="BC26" s="19"/>
      <c r="BD26" s="19"/>
    </row>
    <row r="27" spans="1:56" ht="72">
      <c r="A27" s="13" t="s">
        <v>586</v>
      </c>
      <c r="B27" s="11">
        <v>45727</v>
      </c>
      <c r="C27" s="12">
        <v>0.75</v>
      </c>
      <c r="D27" s="12">
        <f t="shared" si="0"/>
        <v>0.77083330000000005</v>
      </c>
      <c r="E27" s="10" t="s">
        <v>85</v>
      </c>
      <c r="F27" s="10">
        <f>IFERROR(VLOOKUP(E27,Data!A$2:B$5,2,TRUE), "")</f>
        <v>48160</v>
      </c>
      <c r="G27" s="3" t="s">
        <v>581</v>
      </c>
      <c r="H27" s="13">
        <f>IFERROR(VLOOKUP(A27,Customer_Data!$A$1:$P$114,8,TRUE),"")</f>
        <v>7000</v>
      </c>
      <c r="I27" s="13"/>
      <c r="J27" s="3" t="str">
        <f t="shared" si="7"/>
        <v/>
      </c>
      <c r="K27" s="62" t="e">
        <f>(VLOOKUP($J27,Herbicide_Data!$A$1:$L$61,9,TRUE))</f>
        <v>#N/A</v>
      </c>
      <c r="L27" s="62" t="e">
        <f>VLOOKUP($J27,Herbicide_Data!$A$1:$L$61,12,TRUE)</f>
        <v>#N/A</v>
      </c>
      <c r="M27" s="16" t="e">
        <f t="shared" si="1"/>
        <v>#N/A</v>
      </c>
      <c r="N27" s="62" t="str">
        <f t="shared" si="8"/>
        <v>Triplet SF (3-Way) 228-312</v>
      </c>
      <c r="O27" s="63" t="str">
        <f>VLOOKUP($N27,Herbicide_Data!$A$1:$L$61,9)</f>
        <v>2,4-D, dimethylamine salt; Dicamba, dimethylamine salt;Mecoprop-p (MCPP-p), dimethylamine salt</v>
      </c>
      <c r="P27" s="62">
        <f>VLOOKUP($N27,Herbicide_Data!$A$1:$P$61,13)</f>
        <v>24</v>
      </c>
      <c r="Q27" s="16">
        <f t="shared" si="2"/>
        <v>3.8567493112947657</v>
      </c>
      <c r="R27" s="62" t="str">
        <f t="shared" si="9"/>
        <v>Resolute 4Fl (100-1139)</v>
      </c>
      <c r="S27" s="63" t="str">
        <f>VLOOKUP($R27,Herbicide_Data!$A$1:$L$61,9)</f>
        <v>Prodiamine</v>
      </c>
      <c r="T27" s="62">
        <f>VLOOKUP($R27,Herbicide_Data!$A$1:$Q$61,13)</f>
        <v>16</v>
      </c>
      <c r="U27" s="16">
        <f t="shared" si="3"/>
        <v>2.5711662075298438</v>
      </c>
      <c r="V27" s="62" t="b">
        <f t="shared" si="10"/>
        <v>0</v>
      </c>
      <c r="W27" s="63" t="e">
        <f>VLOOKUP($V27,Herbicide_Data!$A$1:$L$17,9)</f>
        <v>#N/A</v>
      </c>
      <c r="X27" s="62" t="e">
        <f>VLOOKUP($V27,Herbicide_Data!$A$1:$L$17,12)</f>
        <v>#N/A</v>
      </c>
      <c r="Y27" s="16" t="e">
        <f t="shared" si="4"/>
        <v>#N/A</v>
      </c>
      <c r="Z27" s="15"/>
      <c r="AA27" s="13"/>
      <c r="AB27" s="17"/>
      <c r="AC27" s="3"/>
      <c r="AD27" s="10"/>
      <c r="AE27" s="3"/>
      <c r="AF27" s="10"/>
      <c r="AG27" s="15"/>
      <c r="AH27" s="62" t="str">
        <f t="shared" si="11"/>
        <v>Surfactant</v>
      </c>
      <c r="AI27" s="62">
        <f>VLOOKUP($AH27,Herbicide_Data!$A$1:$Q$61,13)</f>
        <v>12.8</v>
      </c>
      <c r="AJ27" s="16">
        <f t="shared" si="6"/>
        <v>2.0569329660238753</v>
      </c>
      <c r="AK27" s="3"/>
      <c r="AL27" s="3"/>
      <c r="AM27" s="3"/>
      <c r="AN27" s="3"/>
      <c r="AO27" s="3"/>
      <c r="AP27" s="3"/>
      <c r="AQ27" s="18"/>
      <c r="AR27" s="19"/>
      <c r="AS27" s="19"/>
      <c r="AT27" s="20"/>
      <c r="AU27" s="20"/>
      <c r="AV27" s="21"/>
      <c r="AW27" s="22"/>
      <c r="AX27" s="19"/>
      <c r="AY27" s="19"/>
      <c r="AZ27" s="19"/>
      <c r="BA27" s="23"/>
      <c r="BB27" s="19"/>
      <c r="BC27" s="19"/>
      <c r="BD27" s="19"/>
    </row>
    <row r="28" spans="1:56" ht="72">
      <c r="A28" s="13" t="s">
        <v>593</v>
      </c>
      <c r="B28" s="11">
        <v>45735</v>
      </c>
      <c r="C28" s="12">
        <v>0.72916666666666663</v>
      </c>
      <c r="D28" s="12">
        <f t="shared" si="0"/>
        <v>0.74999996666666657</v>
      </c>
      <c r="E28" s="10" t="s">
        <v>85</v>
      </c>
      <c r="F28" s="10">
        <f>IFERROR(VLOOKUP(E28,Data!A$2:B$5,2,TRUE), "")</f>
        <v>48160</v>
      </c>
      <c r="G28" s="3" t="s">
        <v>581</v>
      </c>
      <c r="H28" s="13">
        <f>IFERROR(VLOOKUP(A28,Customer_Data!$A$1:$P$114,8,TRUE),"")</f>
        <v>6500</v>
      </c>
      <c r="I28" s="13"/>
      <c r="J28" s="3" t="str">
        <f t="shared" si="7"/>
        <v/>
      </c>
      <c r="K28" s="62" t="e">
        <f>(VLOOKUP($J28,Herbicide_Data!$A$1:$L$61,9,TRUE))</f>
        <v>#N/A</v>
      </c>
      <c r="L28" s="62" t="e">
        <f>VLOOKUP($J28,Herbicide_Data!$A$1:$L$61,12,TRUE)</f>
        <v>#N/A</v>
      </c>
      <c r="M28" s="16" t="e">
        <f t="shared" si="1"/>
        <v>#N/A</v>
      </c>
      <c r="N28" s="62" t="str">
        <f t="shared" si="8"/>
        <v>Triplet SF (3-Way) 228-312</v>
      </c>
      <c r="O28" s="63" t="str">
        <f>VLOOKUP($N28,Herbicide_Data!$A$1:$L$61,9)</f>
        <v>2,4-D, dimethylamine salt; Dicamba, dimethylamine salt;Mecoprop-p (MCPP-p), dimethylamine salt</v>
      </c>
      <c r="P28" s="62">
        <f>VLOOKUP($N28,Herbicide_Data!$A$1:$P$61,13)</f>
        <v>24</v>
      </c>
      <c r="Q28" s="16">
        <f t="shared" si="2"/>
        <v>3.5812672176308542</v>
      </c>
      <c r="R28" s="62" t="str">
        <f t="shared" si="9"/>
        <v>Resolute 4Fl (100-1139)</v>
      </c>
      <c r="S28" s="63" t="str">
        <f>VLOOKUP($R28,Herbicide_Data!$A$1:$L$61,9)</f>
        <v>Prodiamine</v>
      </c>
      <c r="T28" s="62">
        <f>VLOOKUP($R28,Herbicide_Data!$A$1:$Q$61,13)</f>
        <v>16</v>
      </c>
      <c r="U28" s="16">
        <f t="shared" si="3"/>
        <v>2.3875114784205693</v>
      </c>
      <c r="V28" s="62" t="b">
        <f t="shared" si="10"/>
        <v>0</v>
      </c>
      <c r="W28" s="63" t="e">
        <f>VLOOKUP($V28,Herbicide_Data!$A$1:$L$17,9)</f>
        <v>#N/A</v>
      </c>
      <c r="X28" s="62" t="e">
        <f>VLOOKUP($V28,Herbicide_Data!$A$1:$L$17,12)</f>
        <v>#N/A</v>
      </c>
      <c r="Y28" s="16" t="e">
        <f t="shared" si="4"/>
        <v>#N/A</v>
      </c>
      <c r="Z28" s="15"/>
      <c r="AA28" s="13"/>
      <c r="AB28" s="17"/>
      <c r="AC28" s="3"/>
      <c r="AD28" s="10"/>
      <c r="AE28" s="3"/>
      <c r="AF28" s="10"/>
      <c r="AG28" s="15"/>
      <c r="AH28" s="62" t="str">
        <f t="shared" si="11"/>
        <v>Surfactant</v>
      </c>
      <c r="AI28" s="62">
        <f>VLOOKUP($AH28,Herbicide_Data!$A$1:$Q$61,13)</f>
        <v>12.8</v>
      </c>
      <c r="AJ28" s="16">
        <f t="shared" si="6"/>
        <v>1.9100091827364556</v>
      </c>
      <c r="AK28" s="3"/>
      <c r="AL28" s="3"/>
      <c r="AM28" s="3"/>
      <c r="AN28" s="3"/>
      <c r="AO28" s="3"/>
      <c r="AP28" s="3"/>
      <c r="AQ28" s="18"/>
      <c r="AR28" s="19"/>
      <c r="AS28" s="19"/>
      <c r="AT28" s="20"/>
      <c r="AU28" s="20"/>
      <c r="AV28" s="21"/>
      <c r="AW28" s="22"/>
      <c r="AX28" s="19"/>
      <c r="AY28" s="19"/>
      <c r="AZ28" s="19"/>
      <c r="BA28" s="23"/>
      <c r="BB28" s="19"/>
      <c r="BC28" s="19"/>
      <c r="BD28" s="19"/>
    </row>
    <row r="29" spans="1:56" ht="72">
      <c r="A29" s="13" t="s">
        <v>591</v>
      </c>
      <c r="B29" s="11">
        <v>45735</v>
      </c>
      <c r="C29" s="12">
        <v>0.75</v>
      </c>
      <c r="D29" s="12">
        <f t="shared" si="0"/>
        <v>0.77083330000000005</v>
      </c>
      <c r="E29" s="10" t="s">
        <v>85</v>
      </c>
      <c r="F29" s="10">
        <f>IFERROR(VLOOKUP(E29,Data!A$2:B$5,2,TRUE), "")</f>
        <v>48160</v>
      </c>
      <c r="G29" s="3" t="s">
        <v>581</v>
      </c>
      <c r="H29" s="13">
        <f>IFERROR(VLOOKUP(A29,Customer_Data!$A$1:$P$114,8,TRUE),"")</f>
        <v>9000</v>
      </c>
      <c r="I29" s="13"/>
      <c r="J29" s="3" t="str">
        <f t="shared" si="7"/>
        <v/>
      </c>
      <c r="K29" s="62" t="e">
        <f>(VLOOKUP($J29,Herbicide_Data!$A$1:$L$61,9,TRUE))</f>
        <v>#N/A</v>
      </c>
      <c r="L29" s="62" t="e">
        <f>VLOOKUP($J29,Herbicide_Data!$A$1:$L$61,12,TRUE)</f>
        <v>#N/A</v>
      </c>
      <c r="M29" s="16" t="e">
        <f t="shared" si="1"/>
        <v>#N/A</v>
      </c>
      <c r="N29" s="62" t="str">
        <f t="shared" si="8"/>
        <v>Triplet SF (3-Way) 228-312</v>
      </c>
      <c r="O29" s="63" t="str">
        <f>VLOOKUP($N29,Herbicide_Data!$A$1:$L$61,9)</f>
        <v>2,4-D, dimethylamine salt; Dicamba, dimethylamine salt;Mecoprop-p (MCPP-p), dimethylamine salt</v>
      </c>
      <c r="P29" s="62">
        <f>VLOOKUP($N29,Herbicide_Data!$A$1:$P$61,13)</f>
        <v>24</v>
      </c>
      <c r="Q29" s="16">
        <f t="shared" si="2"/>
        <v>4.9586776859504136</v>
      </c>
      <c r="R29" s="62" t="str">
        <f t="shared" si="9"/>
        <v>Resolute 4Fl (100-1139)</v>
      </c>
      <c r="S29" s="63" t="str">
        <f>VLOOKUP($R29,Herbicide_Data!$A$1:$L$61,9)</f>
        <v>Prodiamine</v>
      </c>
      <c r="T29" s="62">
        <f>VLOOKUP($R29,Herbicide_Data!$A$1:$Q$61,13)</f>
        <v>16</v>
      </c>
      <c r="U29" s="16">
        <f t="shared" si="3"/>
        <v>3.3057851239669422</v>
      </c>
      <c r="V29" s="62" t="b">
        <f t="shared" si="10"/>
        <v>0</v>
      </c>
      <c r="W29" s="63" t="e">
        <f>VLOOKUP($V29,Herbicide_Data!$A$1:$L$17,9)</f>
        <v>#N/A</v>
      </c>
      <c r="X29" s="62" t="e">
        <f>VLOOKUP($V29,Herbicide_Data!$A$1:$L$17,12)</f>
        <v>#N/A</v>
      </c>
      <c r="Y29" s="16" t="e">
        <f t="shared" si="4"/>
        <v>#N/A</v>
      </c>
      <c r="Z29" s="15"/>
      <c r="AA29" s="13"/>
      <c r="AB29" s="17"/>
      <c r="AC29" s="3"/>
      <c r="AD29" s="10"/>
      <c r="AE29" s="3"/>
      <c r="AF29" s="10"/>
      <c r="AG29" s="15"/>
      <c r="AH29" s="62" t="str">
        <f t="shared" si="11"/>
        <v>Surfactant</v>
      </c>
      <c r="AI29" s="62">
        <f>VLOOKUP($AH29,Herbicide_Data!$A$1:$Q$61,13)</f>
        <v>12.8</v>
      </c>
      <c r="AJ29" s="16">
        <f t="shared" si="6"/>
        <v>2.6446280991735538</v>
      </c>
      <c r="AK29" s="3"/>
      <c r="AL29" s="3"/>
      <c r="AM29" s="3"/>
      <c r="AN29" s="3"/>
      <c r="AO29" s="3"/>
      <c r="AP29" s="3"/>
      <c r="AQ29" s="18"/>
      <c r="AR29" s="19"/>
      <c r="AS29" s="19"/>
      <c r="AT29" s="20"/>
      <c r="AU29" s="20"/>
      <c r="AV29" s="21"/>
      <c r="AW29" s="22"/>
      <c r="AX29" s="19"/>
      <c r="AY29" s="19"/>
      <c r="AZ29" s="19"/>
      <c r="BA29" s="23"/>
      <c r="BB29" s="19"/>
      <c r="BC29" s="19"/>
      <c r="BD29" s="19"/>
    </row>
    <row r="30" spans="1:56" ht="72">
      <c r="A30" s="13" t="s">
        <v>595</v>
      </c>
      <c r="B30" s="11">
        <v>45735</v>
      </c>
      <c r="C30" s="12">
        <v>0.79166666666666663</v>
      </c>
      <c r="D30" s="12">
        <f t="shared" si="0"/>
        <v>0.81249996666666657</v>
      </c>
      <c r="E30" s="10" t="s">
        <v>85</v>
      </c>
      <c r="F30" s="10">
        <f>IFERROR(VLOOKUP(E30,Data!A$2:B$5,2,TRUE), "")</f>
        <v>48160</v>
      </c>
      <c r="G30" s="3" t="s">
        <v>581</v>
      </c>
      <c r="H30" s="13">
        <f>IFERROR(VLOOKUP(A30,Customer_Data!$A$1:$P$114,8,TRUE),"")</f>
        <v>5900</v>
      </c>
      <c r="I30" s="13"/>
      <c r="J30" s="3" t="str">
        <f t="shared" si="7"/>
        <v/>
      </c>
      <c r="K30" s="62" t="e">
        <f>(VLOOKUP($J30,Herbicide_Data!$A$1:$L$61,9,TRUE))</f>
        <v>#N/A</v>
      </c>
      <c r="L30" s="62" t="e">
        <f>VLOOKUP($J30,Herbicide_Data!$A$1:$L$61,12,TRUE)</f>
        <v>#N/A</v>
      </c>
      <c r="M30" s="16" t="e">
        <f t="shared" si="1"/>
        <v>#N/A</v>
      </c>
      <c r="N30" s="62" t="str">
        <f t="shared" si="8"/>
        <v>Triplet SF (3-Way) 228-312</v>
      </c>
      <c r="O30" s="63" t="str">
        <f>VLOOKUP($N30,Herbicide_Data!$A$1:$L$61,9)</f>
        <v>2,4-D, dimethylamine salt; Dicamba, dimethylamine salt;Mecoprop-p (MCPP-p), dimethylamine salt</v>
      </c>
      <c r="P30" s="62">
        <f>VLOOKUP($N30,Herbicide_Data!$A$1:$P$61,13)</f>
        <v>24</v>
      </c>
      <c r="Q30" s="16">
        <f t="shared" si="2"/>
        <v>3.2506887052341598</v>
      </c>
      <c r="R30" s="62" t="str">
        <f t="shared" si="9"/>
        <v>Resolute 4Fl (100-1139)</v>
      </c>
      <c r="S30" s="63" t="str">
        <f>VLOOKUP($R30,Herbicide_Data!$A$1:$L$61,9)</f>
        <v>Prodiamine</v>
      </c>
      <c r="T30" s="62">
        <f>VLOOKUP($R30,Herbicide_Data!$A$1:$Q$61,13)</f>
        <v>16</v>
      </c>
      <c r="U30" s="16">
        <f t="shared" si="3"/>
        <v>2.1671258034894398</v>
      </c>
      <c r="V30" s="62" t="b">
        <f t="shared" si="10"/>
        <v>0</v>
      </c>
      <c r="W30" s="63" t="e">
        <f>VLOOKUP($V30,Herbicide_Data!$A$1:$L$17,9)</f>
        <v>#N/A</v>
      </c>
      <c r="X30" s="62" t="e">
        <f>VLOOKUP($V30,Herbicide_Data!$A$1:$L$17,12)</f>
        <v>#N/A</v>
      </c>
      <c r="Y30" s="16" t="e">
        <f t="shared" si="4"/>
        <v>#N/A</v>
      </c>
      <c r="Z30" s="15"/>
      <c r="AA30" s="13"/>
      <c r="AB30" s="17"/>
      <c r="AC30" s="3"/>
      <c r="AD30" s="10"/>
      <c r="AE30" s="3"/>
      <c r="AF30" s="10"/>
      <c r="AG30" s="15"/>
      <c r="AH30" s="62" t="str">
        <f t="shared" si="11"/>
        <v>Surfactant</v>
      </c>
      <c r="AI30" s="62">
        <f>VLOOKUP($AH30,Herbicide_Data!$A$1:$Q$61,13)</f>
        <v>12.8</v>
      </c>
      <c r="AJ30" s="16">
        <f t="shared" si="6"/>
        <v>1.733700642791552</v>
      </c>
      <c r="AK30" s="3"/>
      <c r="AL30" s="3"/>
      <c r="AM30" s="3"/>
      <c r="AN30" s="3"/>
      <c r="AO30" s="3"/>
      <c r="AP30" s="3"/>
      <c r="AQ30" s="18"/>
      <c r="AR30" s="19"/>
      <c r="AS30" s="19"/>
      <c r="AT30" s="20"/>
      <c r="AU30" s="20"/>
      <c r="AV30" s="21"/>
      <c r="AW30" s="22"/>
      <c r="AX30" s="19"/>
      <c r="AY30" s="19"/>
      <c r="AZ30" s="19"/>
      <c r="BA30" s="23"/>
      <c r="BB30" s="19"/>
      <c r="BC30" s="19"/>
      <c r="BD30" s="19"/>
    </row>
    <row r="31" spans="1:56" ht="72">
      <c r="A31" s="13" t="s">
        <v>550</v>
      </c>
      <c r="B31" s="11">
        <v>45765</v>
      </c>
      <c r="C31" s="12">
        <v>0.625</v>
      </c>
      <c r="D31" s="12">
        <f t="shared" si="0"/>
        <v>0.64583330000000005</v>
      </c>
      <c r="E31" s="10" t="s">
        <v>85</v>
      </c>
      <c r="F31" s="10">
        <f>IFERROR(VLOOKUP(E31,Data!A$2:B$5,2,TRUE), "")</f>
        <v>48160</v>
      </c>
      <c r="G31" s="3" t="s">
        <v>582</v>
      </c>
      <c r="H31" s="13">
        <f>IFERROR(VLOOKUP(A31,Customer_Data!$A$1:$P$114,8,TRUE),"")</f>
        <v>4670</v>
      </c>
      <c r="I31" s="13"/>
      <c r="J31" s="3" t="str">
        <f t="shared" si="7"/>
        <v/>
      </c>
      <c r="K31" s="62" t="e">
        <f>(VLOOKUP($J31,Herbicide_Data!$A$1:$L$61,9,TRUE))</f>
        <v>#N/A</v>
      </c>
      <c r="L31" s="62" t="e">
        <f>VLOOKUP($J31,Herbicide_Data!$A$1:$L$61,12,TRUE)</f>
        <v>#N/A</v>
      </c>
      <c r="M31" s="16" t="e">
        <f t="shared" si="1"/>
        <v>#N/A</v>
      </c>
      <c r="N31" s="62" t="str">
        <f t="shared" si="8"/>
        <v>Triplet SF (3-Way) 228-312</v>
      </c>
      <c r="O31" s="63" t="str">
        <f>VLOOKUP($N31,Herbicide_Data!$A$1:$L$61,9)</f>
        <v>2,4-D, dimethylamine salt; Dicamba, dimethylamine salt;Mecoprop-p (MCPP-p), dimethylamine salt</v>
      </c>
      <c r="P31" s="62">
        <f>VLOOKUP($N31,Herbicide_Data!$A$1:$P$61,13)</f>
        <v>24</v>
      </c>
      <c r="Q31" s="16">
        <f t="shared" si="2"/>
        <v>2.5730027548209367</v>
      </c>
      <c r="R31" s="62" t="str">
        <f t="shared" si="9"/>
        <v>Certinty Turf 59639-226</v>
      </c>
      <c r="S31" s="63" t="str">
        <f>VLOOKUP($R31,Herbicide_Data!$A$1:$L$61,9)</f>
        <v>Sulfosulfuron</v>
      </c>
      <c r="T31" s="62">
        <f>VLOOKUP($R31,Herbicide_Data!$A$1:$Q$61,13)</f>
        <v>0</v>
      </c>
      <c r="U31" s="16">
        <f t="shared" si="3"/>
        <v>0</v>
      </c>
      <c r="V31" s="62" t="b">
        <f t="shared" si="10"/>
        <v>0</v>
      </c>
      <c r="W31" s="63" t="e">
        <f>VLOOKUP($V31,Herbicide_Data!$A$1:$L$17,9)</f>
        <v>#N/A</v>
      </c>
      <c r="X31" s="62" t="e">
        <f>VLOOKUP($V31,Herbicide_Data!$A$1:$L$17,12)</f>
        <v>#N/A</v>
      </c>
      <c r="Y31" s="16" t="e">
        <f t="shared" si="4"/>
        <v>#N/A</v>
      </c>
      <c r="Z31" s="15"/>
      <c r="AA31" s="13"/>
      <c r="AB31" s="17"/>
      <c r="AC31" s="3"/>
      <c r="AD31" s="10"/>
      <c r="AE31" s="3"/>
      <c r="AF31" s="10"/>
      <c r="AG31" s="15"/>
      <c r="AH31" s="62" t="str">
        <f t="shared" ref="AH31:AH94" si="12">IF($G31=("Spring Preemerge (Jan)"),"Surfactant",IF($G31=("Spring Preemerge (Apr)"),"Surfactant",""))</f>
        <v>Surfactant</v>
      </c>
      <c r="AI31" s="62">
        <f>VLOOKUP($AH31,Herbicide_Data!$A$1:$Q$61,13)</f>
        <v>12.8</v>
      </c>
      <c r="AJ31" s="16">
        <f t="shared" si="6"/>
        <v>1.3722681359044997</v>
      </c>
      <c r="AK31" s="3"/>
      <c r="AL31" s="3"/>
      <c r="AM31" s="3"/>
      <c r="AN31" s="3"/>
      <c r="AO31" s="3"/>
      <c r="AP31" s="3"/>
      <c r="AQ31" s="18"/>
      <c r="AR31" s="19"/>
      <c r="AS31" s="19"/>
      <c r="AT31" s="20"/>
      <c r="AU31" s="20"/>
      <c r="AV31" s="21"/>
      <c r="AW31" s="22"/>
      <c r="AX31" s="19"/>
      <c r="AY31" s="19"/>
      <c r="AZ31" s="19"/>
      <c r="BA31" s="23"/>
      <c r="BB31" s="19"/>
      <c r="BC31" s="19"/>
      <c r="BD31" s="19"/>
    </row>
    <row r="32" spans="1:56" ht="72">
      <c r="A32" s="13" t="s">
        <v>588</v>
      </c>
      <c r="B32" s="11">
        <v>45765</v>
      </c>
      <c r="C32" s="12">
        <v>0.66666666666666663</v>
      </c>
      <c r="D32" s="12">
        <f t="shared" si="0"/>
        <v>0.68749996666666657</v>
      </c>
      <c r="E32" s="10" t="s">
        <v>85</v>
      </c>
      <c r="F32" s="10">
        <f>IFERROR(VLOOKUP(E32,Data!A$2:B$5,2,TRUE), "")</f>
        <v>48160</v>
      </c>
      <c r="G32" s="3" t="s">
        <v>582</v>
      </c>
      <c r="H32" s="13">
        <f>IFERROR(VLOOKUP(A32,Customer_Data!$A$1:$P$114,8,TRUE),"")</f>
        <v>9000</v>
      </c>
      <c r="I32" s="13"/>
      <c r="J32" s="3" t="str">
        <f t="shared" si="7"/>
        <v/>
      </c>
      <c r="K32" s="62" t="e">
        <f>(VLOOKUP($J32,Herbicide_Data!$A$1:$L$61,9,TRUE))</f>
        <v>#N/A</v>
      </c>
      <c r="L32" s="62" t="e">
        <f>VLOOKUP($J32,Herbicide_Data!$A$1:$L$61,12,TRUE)</f>
        <v>#N/A</v>
      </c>
      <c r="M32" s="16" t="e">
        <f t="shared" si="1"/>
        <v>#N/A</v>
      </c>
      <c r="N32" s="62" t="str">
        <f t="shared" si="8"/>
        <v>Triplet SF (3-Way) 228-312</v>
      </c>
      <c r="O32" s="63" t="str">
        <f>VLOOKUP($N32,Herbicide_Data!$A$1:$L$61,9)</f>
        <v>2,4-D, dimethylamine salt; Dicamba, dimethylamine salt;Mecoprop-p (MCPP-p), dimethylamine salt</v>
      </c>
      <c r="P32" s="62">
        <f>VLOOKUP($N32,Herbicide_Data!$A$1:$P$61,13)</f>
        <v>24</v>
      </c>
      <c r="Q32" s="16">
        <f t="shared" si="2"/>
        <v>4.9586776859504136</v>
      </c>
      <c r="R32" s="62" t="str">
        <f t="shared" si="9"/>
        <v>Certinty Turf 59639-226</v>
      </c>
      <c r="S32" s="63" t="str">
        <f>VLOOKUP($R32,Herbicide_Data!$A$1:$L$61,9)</f>
        <v>Sulfosulfuron</v>
      </c>
      <c r="T32" s="62">
        <f>VLOOKUP($R32,Herbicide_Data!$A$1:$Q$61,13)</f>
        <v>0</v>
      </c>
      <c r="U32" s="16">
        <f t="shared" si="3"/>
        <v>0</v>
      </c>
      <c r="V32" s="62" t="b">
        <f t="shared" si="10"/>
        <v>0</v>
      </c>
      <c r="W32" s="63" t="e">
        <f>VLOOKUP($V32,Herbicide_Data!$A$1:$L$17,9)</f>
        <v>#N/A</v>
      </c>
      <c r="X32" s="62" t="e">
        <f>VLOOKUP($V32,Herbicide_Data!$A$1:$L$17,12)</f>
        <v>#N/A</v>
      </c>
      <c r="Y32" s="16" t="e">
        <f t="shared" si="4"/>
        <v>#N/A</v>
      </c>
      <c r="Z32" s="15"/>
      <c r="AA32" s="13"/>
      <c r="AB32" s="17"/>
      <c r="AC32" s="3"/>
      <c r="AD32" s="10"/>
      <c r="AE32" s="3"/>
      <c r="AF32" s="10"/>
      <c r="AG32" s="15"/>
      <c r="AH32" s="62" t="str">
        <f t="shared" si="12"/>
        <v>Surfactant</v>
      </c>
      <c r="AI32" s="62">
        <f>VLOOKUP($AH32,Herbicide_Data!$A$1:$Q$61,13)</f>
        <v>12.8</v>
      </c>
      <c r="AJ32" s="16">
        <f t="shared" si="6"/>
        <v>2.6446280991735538</v>
      </c>
      <c r="AK32" s="3"/>
      <c r="AL32" s="3"/>
      <c r="AM32" s="3"/>
      <c r="AN32" s="3"/>
      <c r="AO32" s="3"/>
      <c r="AP32" s="3"/>
      <c r="AQ32" s="18"/>
      <c r="AR32" s="19"/>
      <c r="AS32" s="19"/>
      <c r="AT32" s="20"/>
      <c r="AU32" s="20"/>
      <c r="AV32" s="21"/>
      <c r="AW32" s="22"/>
      <c r="AX32" s="19"/>
      <c r="AY32" s="19"/>
      <c r="AZ32" s="19"/>
      <c r="BA32" s="23"/>
      <c r="BB32" s="19"/>
      <c r="BC32" s="19"/>
      <c r="BD32" s="19"/>
    </row>
    <row r="33" spans="1:56" ht="72">
      <c r="A33" s="13" t="s">
        <v>483</v>
      </c>
      <c r="B33" s="11">
        <v>45765</v>
      </c>
      <c r="C33" s="12">
        <v>0.6875</v>
      </c>
      <c r="D33" s="12">
        <f t="shared" si="0"/>
        <v>0.70833330000000005</v>
      </c>
      <c r="E33" s="10" t="s">
        <v>85</v>
      </c>
      <c r="F33" s="10">
        <f>IFERROR(VLOOKUP(E33,Data!A$2:B$5,2,TRUE), "")</f>
        <v>48160</v>
      </c>
      <c r="G33" s="3" t="s">
        <v>582</v>
      </c>
      <c r="H33" s="13">
        <f>IFERROR(VLOOKUP(A33,Customer_Data!$A$1:$P$114,8,TRUE),"")</f>
        <v>8910</v>
      </c>
      <c r="I33" s="13"/>
      <c r="J33" s="3" t="str">
        <f t="shared" si="7"/>
        <v/>
      </c>
      <c r="K33" s="62" t="e">
        <f>(VLOOKUP($J33,Herbicide_Data!$A$1:$L$61,9,TRUE))</f>
        <v>#N/A</v>
      </c>
      <c r="L33" s="62" t="e">
        <f>VLOOKUP($J33,Herbicide_Data!$A$1:$L$61,12,TRUE)</f>
        <v>#N/A</v>
      </c>
      <c r="M33" s="16" t="e">
        <f t="shared" si="1"/>
        <v>#N/A</v>
      </c>
      <c r="N33" s="62" t="str">
        <f t="shared" si="8"/>
        <v>Triplet SF (3-Way) 228-312</v>
      </c>
      <c r="O33" s="63" t="str">
        <f>VLOOKUP($N33,Herbicide_Data!$A$1:$L$61,9)</f>
        <v>2,4-D, dimethylamine salt; Dicamba, dimethylamine salt;Mecoprop-p (MCPP-p), dimethylamine salt</v>
      </c>
      <c r="P33" s="62">
        <f>VLOOKUP($N33,Herbicide_Data!$A$1:$P$61,13)</f>
        <v>24</v>
      </c>
      <c r="Q33" s="16">
        <f t="shared" si="2"/>
        <v>4.9090909090909092</v>
      </c>
      <c r="R33" s="62" t="str">
        <f t="shared" si="9"/>
        <v>Certinty Turf 59639-226</v>
      </c>
      <c r="S33" s="63" t="str">
        <f>VLOOKUP($R33,Herbicide_Data!$A$1:$L$61,9)</f>
        <v>Sulfosulfuron</v>
      </c>
      <c r="T33" s="62">
        <f>VLOOKUP($R33,Herbicide_Data!$A$1:$Q$61,13)</f>
        <v>0</v>
      </c>
      <c r="U33" s="16">
        <f t="shared" si="3"/>
        <v>0</v>
      </c>
      <c r="V33" s="62" t="b">
        <f t="shared" si="10"/>
        <v>0</v>
      </c>
      <c r="W33" s="63" t="e">
        <f>VLOOKUP($V33,Herbicide_Data!$A$1:$L$17,9)</f>
        <v>#N/A</v>
      </c>
      <c r="X33" s="62" t="e">
        <f>VLOOKUP($V33,Herbicide_Data!$A$1:$L$17,12)</f>
        <v>#N/A</v>
      </c>
      <c r="Y33" s="16" t="e">
        <f t="shared" si="4"/>
        <v>#N/A</v>
      </c>
      <c r="Z33" s="15"/>
      <c r="AA33" s="13"/>
      <c r="AB33" s="17"/>
      <c r="AC33" s="3"/>
      <c r="AD33" s="10"/>
      <c r="AE33" s="3"/>
      <c r="AF33" s="10"/>
      <c r="AG33" s="15"/>
      <c r="AH33" s="62" t="str">
        <f t="shared" si="12"/>
        <v>Surfactant</v>
      </c>
      <c r="AI33" s="62">
        <f>VLOOKUP($AH33,Herbicide_Data!$A$1:$Q$61,13)</f>
        <v>12.8</v>
      </c>
      <c r="AJ33" s="16">
        <f t="shared" si="6"/>
        <v>2.6181818181818186</v>
      </c>
      <c r="AK33" s="3"/>
      <c r="AL33" s="3"/>
      <c r="AM33" s="3"/>
      <c r="AN33" s="3"/>
      <c r="AO33" s="3"/>
      <c r="AP33" s="3"/>
      <c r="AQ33" s="18"/>
      <c r="AR33" s="19"/>
      <c r="AS33" s="19"/>
      <c r="AT33" s="20"/>
      <c r="AU33" s="20"/>
      <c r="AV33" s="21"/>
      <c r="AW33" s="22"/>
      <c r="AX33" s="19"/>
      <c r="AY33" s="19"/>
      <c r="AZ33" s="19"/>
      <c r="BA33" s="23"/>
      <c r="BB33" s="19"/>
      <c r="BC33" s="19"/>
      <c r="BD33" s="19"/>
    </row>
    <row r="34" spans="1:56" ht="72">
      <c r="A34" s="13" t="s">
        <v>394</v>
      </c>
      <c r="B34" s="11">
        <v>45765</v>
      </c>
      <c r="C34" s="12">
        <v>0.70833333333333337</v>
      </c>
      <c r="D34" s="12">
        <f t="shared" si="0"/>
        <v>0.72916663333333331</v>
      </c>
      <c r="E34" s="10" t="s">
        <v>85</v>
      </c>
      <c r="F34" s="10">
        <f>IFERROR(VLOOKUP(E34,Data!A$2:B$5,2,TRUE), "")</f>
        <v>48160</v>
      </c>
      <c r="G34" s="3" t="s">
        <v>582</v>
      </c>
      <c r="H34" s="13">
        <f>IFERROR(VLOOKUP(A34,Customer_Data!$A$1:$P$114,8,TRUE),"")</f>
        <v>3100</v>
      </c>
      <c r="I34" s="13"/>
      <c r="J34" s="3" t="str">
        <f t="shared" si="7"/>
        <v/>
      </c>
      <c r="K34" s="62" t="e">
        <f>(VLOOKUP($J34,Herbicide_Data!$A$1:$L$61,9,TRUE))</f>
        <v>#N/A</v>
      </c>
      <c r="L34" s="62" t="e">
        <f>VLOOKUP($J34,Herbicide_Data!$A$1:$L$61,12,TRUE)</f>
        <v>#N/A</v>
      </c>
      <c r="M34" s="16" t="e">
        <f t="shared" si="1"/>
        <v>#N/A</v>
      </c>
      <c r="N34" s="62" t="str">
        <f t="shared" si="8"/>
        <v>Triplet SF (3-Way) 228-312</v>
      </c>
      <c r="O34" s="63" t="str">
        <f>VLOOKUP($N34,Herbicide_Data!$A$1:$L$61,9)</f>
        <v>2,4-D, dimethylamine salt; Dicamba, dimethylamine salt;Mecoprop-p (MCPP-p), dimethylamine salt</v>
      </c>
      <c r="P34" s="62">
        <f>VLOOKUP($N34,Herbicide_Data!$A$1:$P$61,13)</f>
        <v>24</v>
      </c>
      <c r="Q34" s="16">
        <f t="shared" si="2"/>
        <v>1.7079889807162536</v>
      </c>
      <c r="R34" s="62" t="str">
        <f t="shared" si="9"/>
        <v>Certinty Turf 59639-226</v>
      </c>
      <c r="S34" s="63" t="str">
        <f>VLOOKUP($R34,Herbicide_Data!$A$1:$L$61,9)</f>
        <v>Sulfosulfuron</v>
      </c>
      <c r="T34" s="62">
        <f>VLOOKUP($R34,Herbicide_Data!$A$1:$Q$61,13)</f>
        <v>0</v>
      </c>
      <c r="U34" s="16">
        <f t="shared" si="3"/>
        <v>0</v>
      </c>
      <c r="V34" s="62" t="b">
        <f t="shared" si="10"/>
        <v>0</v>
      </c>
      <c r="W34" s="63" t="e">
        <f>VLOOKUP($V34,Herbicide_Data!$A$1:$L$17,9)</f>
        <v>#N/A</v>
      </c>
      <c r="X34" s="62" t="e">
        <f>VLOOKUP($V34,Herbicide_Data!$A$1:$L$17,12)</f>
        <v>#N/A</v>
      </c>
      <c r="Y34" s="16" t="e">
        <f t="shared" si="4"/>
        <v>#N/A</v>
      </c>
      <c r="Z34" s="15"/>
      <c r="AA34" s="13"/>
      <c r="AB34" s="17"/>
      <c r="AC34" s="3"/>
      <c r="AD34" s="10"/>
      <c r="AE34" s="3"/>
      <c r="AF34" s="10"/>
      <c r="AG34" s="15"/>
      <c r="AH34" s="62" t="str">
        <f t="shared" si="12"/>
        <v>Surfactant</v>
      </c>
      <c r="AI34" s="62">
        <f>VLOOKUP($AH34,Herbicide_Data!$A$1:$Q$61,13)</f>
        <v>12.8</v>
      </c>
      <c r="AJ34" s="16">
        <f t="shared" si="6"/>
        <v>0.91092745638200201</v>
      </c>
      <c r="AK34" s="3"/>
      <c r="AL34" s="3"/>
      <c r="AM34" s="3"/>
      <c r="AN34" s="3"/>
      <c r="AO34" s="3"/>
      <c r="AP34" s="3"/>
      <c r="AQ34" s="18"/>
      <c r="AR34" s="19"/>
      <c r="AS34" s="19"/>
      <c r="AT34" s="20"/>
      <c r="AU34" s="20"/>
      <c r="AV34" s="21"/>
      <c r="AW34" s="22"/>
      <c r="AX34" s="19"/>
      <c r="AY34" s="19"/>
      <c r="AZ34" s="19"/>
      <c r="BA34" s="23"/>
      <c r="BB34" s="19"/>
      <c r="BC34" s="19"/>
      <c r="BD34" s="19"/>
    </row>
    <row r="35" spans="1:56" ht="72">
      <c r="A35" s="13" t="s">
        <v>597</v>
      </c>
      <c r="B35" s="11">
        <v>45765</v>
      </c>
      <c r="C35" s="12">
        <v>0.70833333333333337</v>
      </c>
      <c r="D35" s="12">
        <f t="shared" si="0"/>
        <v>0.72916663333333331</v>
      </c>
      <c r="E35" s="10" t="s">
        <v>85</v>
      </c>
      <c r="F35" s="10">
        <f>IFERROR(VLOOKUP(E35,Data!A$2:B$5,2,TRUE), "")</f>
        <v>48160</v>
      </c>
      <c r="G35" s="3" t="s">
        <v>582</v>
      </c>
      <c r="H35" s="13">
        <f>IFERROR(VLOOKUP(A35,Customer_Data!$A$1:$P$114,8,TRUE),"")</f>
        <v>6400</v>
      </c>
      <c r="I35" s="13"/>
      <c r="J35" s="3" t="str">
        <f t="shared" si="7"/>
        <v/>
      </c>
      <c r="K35" s="62" t="e">
        <f>(VLOOKUP($J35,Herbicide_Data!$A$1:$L$61,9,TRUE))</f>
        <v>#N/A</v>
      </c>
      <c r="L35" s="62" t="e">
        <f>VLOOKUP($J35,Herbicide_Data!$A$1:$L$61,12,TRUE)</f>
        <v>#N/A</v>
      </c>
      <c r="M35" s="16" t="e">
        <f t="shared" si="1"/>
        <v>#N/A</v>
      </c>
      <c r="N35" s="62" t="str">
        <f t="shared" si="8"/>
        <v>Triplet SF (3-Way) 228-312</v>
      </c>
      <c r="O35" s="63" t="str">
        <f>VLOOKUP($N35,Herbicide_Data!$A$1:$L$61,9)</f>
        <v>2,4-D, dimethylamine salt; Dicamba, dimethylamine salt;Mecoprop-p (MCPP-p), dimethylamine salt</v>
      </c>
      <c r="P35" s="62">
        <f>VLOOKUP($N35,Herbicide_Data!$A$1:$P$61,13)</f>
        <v>24</v>
      </c>
      <c r="Q35" s="16">
        <f t="shared" si="2"/>
        <v>3.5261707988980717</v>
      </c>
      <c r="R35" s="62" t="str">
        <f t="shared" si="9"/>
        <v>Certinty Turf 59639-226</v>
      </c>
      <c r="S35" s="63" t="str">
        <f>VLOOKUP($R35,Herbicide_Data!$A$1:$L$61,9)</f>
        <v>Sulfosulfuron</v>
      </c>
      <c r="T35" s="62">
        <f>VLOOKUP($R35,Herbicide_Data!$A$1:$Q$61,13)</f>
        <v>0</v>
      </c>
      <c r="U35" s="16">
        <f t="shared" si="3"/>
        <v>0</v>
      </c>
      <c r="V35" s="62" t="b">
        <f t="shared" si="10"/>
        <v>0</v>
      </c>
      <c r="W35" s="63" t="e">
        <f>VLOOKUP($V35,Herbicide_Data!$A$1:$L$17,9)</f>
        <v>#N/A</v>
      </c>
      <c r="X35" s="62" t="e">
        <f>VLOOKUP($V35,Herbicide_Data!$A$1:$L$17,12)</f>
        <v>#N/A</v>
      </c>
      <c r="Y35" s="16" t="e">
        <f t="shared" si="4"/>
        <v>#N/A</v>
      </c>
      <c r="Z35" s="15"/>
      <c r="AA35" s="13"/>
      <c r="AB35" s="17"/>
      <c r="AC35" s="3"/>
      <c r="AD35" s="10"/>
      <c r="AE35" s="3"/>
      <c r="AF35" s="10"/>
      <c r="AG35" s="15"/>
      <c r="AH35" s="62" t="str">
        <f t="shared" si="12"/>
        <v>Surfactant</v>
      </c>
      <c r="AI35" s="62">
        <f>VLOOKUP($AH35,Herbicide_Data!$A$1:$Q$61,13)</f>
        <v>12.8</v>
      </c>
      <c r="AJ35" s="16">
        <f t="shared" si="6"/>
        <v>1.8806244260789715</v>
      </c>
      <c r="AK35" s="3"/>
      <c r="AL35" s="3"/>
      <c r="AM35" s="3"/>
      <c r="AN35" s="3"/>
      <c r="AO35" s="3"/>
      <c r="AP35" s="3"/>
      <c r="AQ35" s="18"/>
      <c r="AR35" s="19"/>
      <c r="AS35" s="19"/>
      <c r="AT35" s="20"/>
      <c r="AU35" s="20"/>
      <c r="AV35" s="21"/>
      <c r="AW35" s="22"/>
      <c r="AX35" s="19"/>
      <c r="AY35" s="19"/>
      <c r="AZ35" s="19"/>
      <c r="BA35" s="23"/>
      <c r="BB35" s="19"/>
      <c r="BC35" s="19"/>
      <c r="BD35" s="19"/>
    </row>
    <row r="36" spans="1:56" ht="72">
      <c r="A36" s="13" t="s">
        <v>382</v>
      </c>
      <c r="B36" s="11">
        <v>45765</v>
      </c>
      <c r="C36" s="12">
        <v>0.72916666666666663</v>
      </c>
      <c r="D36" s="12">
        <f t="shared" si="0"/>
        <v>0.74999996666666657</v>
      </c>
      <c r="E36" s="10" t="s">
        <v>85</v>
      </c>
      <c r="F36" s="10">
        <f>IFERROR(VLOOKUP(E36,Data!A$2:B$5,2,TRUE), "")</f>
        <v>48160</v>
      </c>
      <c r="G36" s="3" t="s">
        <v>582</v>
      </c>
      <c r="H36" s="13">
        <f>IFERROR(VLOOKUP(A36,Customer_Data!$A$1:$P$114,8,TRUE),"")</f>
        <v>1800</v>
      </c>
      <c r="I36" s="13"/>
      <c r="J36" s="3" t="str">
        <f t="shared" si="7"/>
        <v/>
      </c>
      <c r="K36" s="62" t="e">
        <f>(VLOOKUP($J36,Herbicide_Data!$A$1:$L$61,9,TRUE))</f>
        <v>#N/A</v>
      </c>
      <c r="L36" s="62" t="e">
        <f>VLOOKUP($J36,Herbicide_Data!$A$1:$L$61,12,TRUE)</f>
        <v>#N/A</v>
      </c>
      <c r="M36" s="16" t="e">
        <f t="shared" si="1"/>
        <v>#N/A</v>
      </c>
      <c r="N36" s="62" t="str">
        <f t="shared" si="8"/>
        <v>Triplet SF (3-Way) 228-312</v>
      </c>
      <c r="O36" s="63" t="str">
        <f>VLOOKUP($N36,Herbicide_Data!$A$1:$L$61,9)</f>
        <v>2,4-D, dimethylamine salt; Dicamba, dimethylamine salt;Mecoprop-p (MCPP-p), dimethylamine salt</v>
      </c>
      <c r="P36" s="62">
        <f>VLOOKUP($N36,Herbicide_Data!$A$1:$P$61,13)</f>
        <v>24</v>
      </c>
      <c r="Q36" s="16">
        <f t="shared" si="2"/>
        <v>0.99173553719008267</v>
      </c>
      <c r="R36" s="62" t="str">
        <f t="shared" si="9"/>
        <v>Certinty Turf 59639-226</v>
      </c>
      <c r="S36" s="63" t="str">
        <f>VLOOKUP($R36,Herbicide_Data!$A$1:$L$61,9)</f>
        <v>Sulfosulfuron</v>
      </c>
      <c r="T36" s="62">
        <f>VLOOKUP($R36,Herbicide_Data!$A$1:$Q$61,13)</f>
        <v>0</v>
      </c>
      <c r="U36" s="16">
        <f t="shared" si="3"/>
        <v>0</v>
      </c>
      <c r="V36" s="62" t="b">
        <f t="shared" si="10"/>
        <v>0</v>
      </c>
      <c r="W36" s="63" t="e">
        <f>VLOOKUP($V36,Herbicide_Data!$A$1:$L$17,9)</f>
        <v>#N/A</v>
      </c>
      <c r="X36" s="62" t="e">
        <f>VLOOKUP($V36,Herbicide_Data!$A$1:$L$17,12)</f>
        <v>#N/A</v>
      </c>
      <c r="Y36" s="16" t="e">
        <f t="shared" si="4"/>
        <v>#N/A</v>
      </c>
      <c r="Z36" s="15"/>
      <c r="AA36" s="13"/>
      <c r="AB36" s="17"/>
      <c r="AC36" s="3"/>
      <c r="AD36" s="10"/>
      <c r="AE36" s="3"/>
      <c r="AF36" s="10"/>
      <c r="AG36" s="15"/>
      <c r="AH36" s="62" t="str">
        <f t="shared" si="12"/>
        <v>Surfactant</v>
      </c>
      <c r="AI36" s="62">
        <f>VLOOKUP($AH36,Herbicide_Data!$A$1:$Q$61,13)</f>
        <v>12.8</v>
      </c>
      <c r="AJ36" s="16">
        <f t="shared" si="6"/>
        <v>0.52892561983471076</v>
      </c>
      <c r="AK36" s="3"/>
      <c r="AL36" s="3"/>
      <c r="AM36" s="3"/>
      <c r="AN36" s="3"/>
      <c r="AO36" s="3"/>
      <c r="AP36" s="3"/>
      <c r="AQ36" s="18"/>
      <c r="AR36" s="19"/>
      <c r="AS36" s="19"/>
      <c r="AT36" s="20"/>
      <c r="AU36" s="20"/>
      <c r="AV36" s="21"/>
      <c r="AW36" s="22"/>
      <c r="AX36" s="19"/>
      <c r="AY36" s="19"/>
      <c r="AZ36" s="19"/>
      <c r="BA36" s="23"/>
      <c r="BB36" s="19"/>
      <c r="BC36" s="19"/>
      <c r="BD36" s="19"/>
    </row>
    <row r="37" spans="1:56" ht="72">
      <c r="A37" s="13" t="s">
        <v>616</v>
      </c>
      <c r="B37" s="11">
        <v>45765</v>
      </c>
      <c r="C37" s="12">
        <v>0.72916666666666663</v>
      </c>
      <c r="D37" s="12">
        <f t="shared" si="0"/>
        <v>0.74999996666666657</v>
      </c>
      <c r="E37" s="10" t="s">
        <v>85</v>
      </c>
      <c r="F37" s="10">
        <f>IFERROR(VLOOKUP(E37,Data!A$2:B$5,2,TRUE), "")</f>
        <v>48160</v>
      </c>
      <c r="G37" s="3" t="s">
        <v>582</v>
      </c>
      <c r="H37" s="13">
        <f>IFERROR(VLOOKUP(A37,Customer_Data!$A$1:$P$114,8,TRUE),"")</f>
        <v>4200</v>
      </c>
      <c r="I37" s="13"/>
      <c r="J37" s="3" t="str">
        <f t="shared" si="7"/>
        <v/>
      </c>
      <c r="K37" s="62" t="e">
        <f>(VLOOKUP($J37,Herbicide_Data!$A$1:$L$61,9,TRUE))</f>
        <v>#N/A</v>
      </c>
      <c r="L37" s="62" t="e">
        <f>VLOOKUP($J37,Herbicide_Data!$A$1:$L$61,12,TRUE)</f>
        <v>#N/A</v>
      </c>
      <c r="M37" s="16" t="e">
        <f t="shared" si="1"/>
        <v>#N/A</v>
      </c>
      <c r="N37" s="62" t="str">
        <f t="shared" si="8"/>
        <v>Triplet SF (3-Way) 228-312</v>
      </c>
      <c r="O37" s="63" t="str">
        <f>VLOOKUP($N37,Herbicide_Data!$A$1:$L$61,9)</f>
        <v>2,4-D, dimethylamine salt; Dicamba, dimethylamine salt;Mecoprop-p (MCPP-p), dimethylamine salt</v>
      </c>
      <c r="P37" s="62">
        <f>VLOOKUP($N37,Herbicide_Data!$A$1:$P$61,13)</f>
        <v>24</v>
      </c>
      <c r="Q37" s="16">
        <f t="shared" si="2"/>
        <v>2.3140495867768598</v>
      </c>
      <c r="R37" s="62" t="str">
        <f t="shared" si="9"/>
        <v>Certinty Turf 59639-226</v>
      </c>
      <c r="S37" s="63" t="str">
        <f>VLOOKUP($R37,Herbicide_Data!$A$1:$L$61,9)</f>
        <v>Sulfosulfuron</v>
      </c>
      <c r="T37" s="62">
        <f>VLOOKUP($R37,Herbicide_Data!$A$1:$Q$61,13)</f>
        <v>0</v>
      </c>
      <c r="U37" s="16">
        <f t="shared" si="3"/>
        <v>0</v>
      </c>
      <c r="V37" s="62" t="b">
        <f t="shared" si="10"/>
        <v>0</v>
      </c>
      <c r="W37" s="63" t="e">
        <f>VLOOKUP($V37,Herbicide_Data!$A$1:$L$17,9)</f>
        <v>#N/A</v>
      </c>
      <c r="X37" s="62" t="e">
        <f>VLOOKUP($V37,Herbicide_Data!$A$1:$L$17,12)</f>
        <v>#N/A</v>
      </c>
      <c r="Y37" s="16" t="e">
        <f t="shared" si="4"/>
        <v>#N/A</v>
      </c>
      <c r="Z37" s="15"/>
      <c r="AA37" s="13"/>
      <c r="AB37" s="17"/>
      <c r="AC37" s="3"/>
      <c r="AD37" s="10"/>
      <c r="AE37" s="3"/>
      <c r="AF37" s="10"/>
      <c r="AG37" s="15"/>
      <c r="AH37" s="62" t="str">
        <f t="shared" si="12"/>
        <v>Surfactant</v>
      </c>
      <c r="AI37" s="62">
        <f>VLOOKUP($AH37,Herbicide_Data!$A$1:$Q$61,13)</f>
        <v>12.8</v>
      </c>
      <c r="AJ37" s="16">
        <f t="shared" si="6"/>
        <v>1.2341597796143251</v>
      </c>
      <c r="AK37" s="3"/>
      <c r="AL37" s="3"/>
      <c r="AM37" s="3"/>
      <c r="AN37" s="3"/>
      <c r="AO37" s="3"/>
      <c r="AP37" s="3"/>
      <c r="AQ37" s="18"/>
      <c r="AR37" s="19"/>
      <c r="AS37" s="19"/>
      <c r="AT37" s="20"/>
      <c r="AU37" s="20"/>
      <c r="AV37" s="21"/>
      <c r="AW37" s="22"/>
      <c r="AX37" s="19"/>
      <c r="AY37" s="19"/>
      <c r="AZ37" s="19"/>
      <c r="BA37" s="23"/>
      <c r="BB37" s="19"/>
      <c r="BC37" s="19"/>
      <c r="BD37" s="19"/>
    </row>
    <row r="38" spans="1:56" ht="72">
      <c r="A38" s="13" t="s">
        <v>441</v>
      </c>
      <c r="B38" s="11">
        <v>45765</v>
      </c>
      <c r="C38" s="12">
        <v>0.75</v>
      </c>
      <c r="D38" s="12">
        <f t="shared" si="0"/>
        <v>0.77083330000000005</v>
      </c>
      <c r="E38" s="10" t="s">
        <v>85</v>
      </c>
      <c r="F38" s="10">
        <f>IFERROR(VLOOKUP(E38,Data!A$2:B$5,2,TRUE), "")</f>
        <v>48160</v>
      </c>
      <c r="G38" s="3" t="s">
        <v>582</v>
      </c>
      <c r="H38" s="13">
        <f>IFERROR(VLOOKUP(A38,Customer_Data!$A$1:$P$114,8,TRUE),"")</f>
        <v>2000</v>
      </c>
      <c r="I38" s="13"/>
      <c r="J38" s="3" t="str">
        <f t="shared" si="7"/>
        <v/>
      </c>
      <c r="K38" s="62" t="e">
        <f>(VLOOKUP($J38,Herbicide_Data!$A$1:$L$61,9,TRUE))</f>
        <v>#N/A</v>
      </c>
      <c r="L38" s="62" t="e">
        <f>VLOOKUP($J38,Herbicide_Data!$A$1:$L$61,12,TRUE)</f>
        <v>#N/A</v>
      </c>
      <c r="M38" s="16" t="e">
        <f t="shared" si="1"/>
        <v>#N/A</v>
      </c>
      <c r="N38" s="62" t="str">
        <f t="shared" si="8"/>
        <v>Triplet SF (3-Way) 228-312</v>
      </c>
      <c r="O38" s="63" t="str">
        <f>VLOOKUP($N38,Herbicide_Data!$A$1:$L$61,9)</f>
        <v>2,4-D, dimethylamine salt; Dicamba, dimethylamine salt;Mecoprop-p (MCPP-p), dimethylamine salt</v>
      </c>
      <c r="P38" s="62">
        <f>VLOOKUP($N38,Herbicide_Data!$A$1:$P$61,13)</f>
        <v>24</v>
      </c>
      <c r="Q38" s="16">
        <f t="shared" si="2"/>
        <v>1.1019283746556474</v>
      </c>
      <c r="R38" s="62" t="str">
        <f t="shared" si="9"/>
        <v>Certinty Turf 59639-226</v>
      </c>
      <c r="S38" s="63" t="str">
        <f>VLOOKUP($R38,Herbicide_Data!$A$1:$L$61,9)</f>
        <v>Sulfosulfuron</v>
      </c>
      <c r="T38" s="62">
        <f>VLOOKUP($R38,Herbicide_Data!$A$1:$Q$61,13)</f>
        <v>0</v>
      </c>
      <c r="U38" s="16">
        <f t="shared" si="3"/>
        <v>0</v>
      </c>
      <c r="V38" s="62" t="b">
        <f t="shared" si="10"/>
        <v>0</v>
      </c>
      <c r="W38" s="63" t="e">
        <f>VLOOKUP($V38,Herbicide_Data!$A$1:$L$17,9)</f>
        <v>#N/A</v>
      </c>
      <c r="X38" s="62" t="e">
        <f>VLOOKUP($V38,Herbicide_Data!$A$1:$L$17,12)</f>
        <v>#N/A</v>
      </c>
      <c r="Y38" s="16" t="e">
        <f t="shared" si="4"/>
        <v>#N/A</v>
      </c>
      <c r="Z38" s="15"/>
      <c r="AA38" s="13"/>
      <c r="AB38" s="17"/>
      <c r="AC38" s="3"/>
      <c r="AD38" s="10"/>
      <c r="AE38" s="3"/>
      <c r="AF38" s="10"/>
      <c r="AG38" s="15"/>
      <c r="AH38" s="62" t="str">
        <f t="shared" si="12"/>
        <v>Surfactant</v>
      </c>
      <c r="AI38" s="62">
        <f>VLOOKUP($AH38,Herbicide_Data!$A$1:$Q$61,13)</f>
        <v>12.8</v>
      </c>
      <c r="AJ38" s="16">
        <f t="shared" si="6"/>
        <v>0.58769513314967858</v>
      </c>
      <c r="AK38" s="3"/>
      <c r="AL38" s="3"/>
      <c r="AM38" s="3"/>
      <c r="AN38" s="3"/>
      <c r="AO38" s="3"/>
      <c r="AP38" s="3"/>
      <c r="AQ38" s="18"/>
      <c r="AR38" s="19"/>
      <c r="AS38" s="19"/>
      <c r="AT38" s="20"/>
      <c r="AU38" s="20"/>
      <c r="AV38" s="21"/>
      <c r="AW38" s="22"/>
      <c r="AX38" s="19"/>
      <c r="AY38" s="19"/>
      <c r="AZ38" s="19"/>
      <c r="BA38" s="23"/>
      <c r="BB38" s="19"/>
      <c r="BC38" s="19"/>
      <c r="BD38" s="19"/>
    </row>
    <row r="39" spans="1:56" ht="72">
      <c r="A39" s="13" t="s">
        <v>595</v>
      </c>
      <c r="B39" s="11">
        <v>45766</v>
      </c>
      <c r="C39" s="12">
        <f ca="1">IF(ISBLANK($A39),"",NOW()-TODAY())</f>
        <v>0.63285474536678521</v>
      </c>
      <c r="D39" s="12">
        <f t="shared" ca="1" si="0"/>
        <v>0.65368804536678526</v>
      </c>
      <c r="E39" s="10" t="s">
        <v>85</v>
      </c>
      <c r="F39" s="10">
        <f>IFERROR(VLOOKUP(E39,Data!A$2:B$5,2,TRUE), "")</f>
        <v>48160</v>
      </c>
      <c r="G39" s="3" t="s">
        <v>582</v>
      </c>
      <c r="H39" s="13">
        <f>IFERROR(VLOOKUP(A39,Customer_Data!$A$1:$P$114,8,TRUE),"")</f>
        <v>5900</v>
      </c>
      <c r="I39" s="13"/>
      <c r="J39" s="3" t="str">
        <f t="shared" si="7"/>
        <v/>
      </c>
      <c r="K39" s="62" t="e">
        <f>(VLOOKUP($J39,Herbicide_Data!$A$1:$L$61,9,TRUE))</f>
        <v>#N/A</v>
      </c>
      <c r="L39" s="62" t="e">
        <f>VLOOKUP($J39,Herbicide_Data!$A$1:$L$61,12,TRUE)</f>
        <v>#N/A</v>
      </c>
      <c r="M39" s="16" t="e">
        <f t="shared" si="1"/>
        <v>#N/A</v>
      </c>
      <c r="N39" s="62" t="str">
        <f t="shared" si="8"/>
        <v>Triplet SF (3-Way) 228-312</v>
      </c>
      <c r="O39" s="63" t="str">
        <f>VLOOKUP($N39,Herbicide_Data!$A$1:$L$61,9)</f>
        <v>2,4-D, dimethylamine salt; Dicamba, dimethylamine salt;Mecoprop-p (MCPP-p), dimethylamine salt</v>
      </c>
      <c r="P39" s="62">
        <f>VLOOKUP($N39,Herbicide_Data!$A$1:$P$61,13)</f>
        <v>24</v>
      </c>
      <c r="Q39" s="16">
        <f t="shared" si="2"/>
        <v>3.2506887052341598</v>
      </c>
      <c r="R39" s="62" t="str">
        <f t="shared" si="9"/>
        <v>Certinty Turf 59639-226</v>
      </c>
      <c r="S39" s="63" t="str">
        <f>VLOOKUP($R39,Herbicide_Data!$A$1:$L$61,9)</f>
        <v>Sulfosulfuron</v>
      </c>
      <c r="T39" s="62">
        <f>VLOOKUP($R39,Herbicide_Data!$A$1:$Q$61,13)</f>
        <v>0</v>
      </c>
      <c r="U39" s="16">
        <f t="shared" si="3"/>
        <v>0</v>
      </c>
      <c r="V39" s="62" t="b">
        <f t="shared" si="10"/>
        <v>0</v>
      </c>
      <c r="W39" s="63" t="e">
        <f>VLOOKUP($V39,Herbicide_Data!$A$1:$L$17,9)</f>
        <v>#N/A</v>
      </c>
      <c r="X39" s="62" t="e">
        <f>VLOOKUP($V39,Herbicide_Data!$A$1:$L$17,12)</f>
        <v>#N/A</v>
      </c>
      <c r="Y39" s="16" t="e">
        <f t="shared" si="4"/>
        <v>#N/A</v>
      </c>
      <c r="Z39" s="15"/>
      <c r="AA39" s="13"/>
      <c r="AB39" s="17"/>
      <c r="AC39" s="3"/>
      <c r="AD39" s="10"/>
      <c r="AE39" s="3"/>
      <c r="AF39" s="10"/>
      <c r="AG39" s="15"/>
      <c r="AH39" s="62" t="str">
        <f t="shared" si="12"/>
        <v>Surfactant</v>
      </c>
      <c r="AI39" s="62">
        <f>VLOOKUP($AH39,Herbicide_Data!$A$1:$Q$61,13)</f>
        <v>12.8</v>
      </c>
      <c r="AJ39" s="16">
        <f t="shared" si="6"/>
        <v>1.733700642791552</v>
      </c>
      <c r="AK39" s="3"/>
      <c r="AL39" s="3"/>
      <c r="AM39" s="3"/>
      <c r="AN39" s="3"/>
      <c r="AO39" s="3"/>
      <c r="AP39" s="3"/>
      <c r="AQ39" s="18"/>
      <c r="AR39" s="19"/>
      <c r="AS39" s="19"/>
      <c r="AT39" s="20"/>
      <c r="AU39" s="20"/>
      <c r="AV39" s="21"/>
      <c r="AW39" s="22"/>
      <c r="AX39" s="19"/>
      <c r="AY39" s="19"/>
      <c r="AZ39" s="19"/>
      <c r="BA39" s="23"/>
      <c r="BB39" s="19"/>
      <c r="BC39" s="19"/>
      <c r="BD39" s="19"/>
    </row>
    <row r="40" spans="1:56" ht="72">
      <c r="A40" s="13" t="s">
        <v>546</v>
      </c>
      <c r="B40" s="11">
        <v>45767</v>
      </c>
      <c r="C40" s="12">
        <v>0.625</v>
      </c>
      <c r="D40" s="12">
        <f t="shared" si="0"/>
        <v>0.64583330000000005</v>
      </c>
      <c r="E40" s="10" t="s">
        <v>85</v>
      </c>
      <c r="F40" s="10">
        <f>IFERROR(VLOOKUP(E40,Data!A$2:B$5,2,TRUE), "")</f>
        <v>48160</v>
      </c>
      <c r="G40" s="3" t="s">
        <v>582</v>
      </c>
      <c r="H40" s="13">
        <f>IFERROR(VLOOKUP(A40,Customer_Data!$A$1:$P$114,8,TRUE),"")</f>
        <v>7500</v>
      </c>
      <c r="I40" s="13"/>
      <c r="J40" s="3" t="str">
        <f t="shared" si="7"/>
        <v/>
      </c>
      <c r="K40" s="62" t="e">
        <f>(VLOOKUP($J40,Herbicide_Data!$A$1:$L$61,9,TRUE))</f>
        <v>#N/A</v>
      </c>
      <c r="L40" s="62" t="e">
        <f>VLOOKUP($J40,Herbicide_Data!$A$1:$L$61,12,TRUE)</f>
        <v>#N/A</v>
      </c>
      <c r="M40" s="16" t="e">
        <f t="shared" si="1"/>
        <v>#N/A</v>
      </c>
      <c r="N40" s="62" t="str">
        <f t="shared" si="8"/>
        <v>Triplet SF (3-Way) 228-312</v>
      </c>
      <c r="O40" s="63" t="str">
        <f>VLOOKUP($N40,Herbicide_Data!$A$1:$L$61,9)</f>
        <v>2,4-D, dimethylamine salt; Dicamba, dimethylamine salt;Mecoprop-p (MCPP-p), dimethylamine salt</v>
      </c>
      <c r="P40" s="62">
        <f>VLOOKUP($N40,Herbicide_Data!$A$1:$P$61,13)</f>
        <v>24</v>
      </c>
      <c r="Q40" s="16">
        <f t="shared" si="2"/>
        <v>4.1322314049586772</v>
      </c>
      <c r="R40" s="62" t="str">
        <f t="shared" si="9"/>
        <v>Certinty Turf 59639-226</v>
      </c>
      <c r="S40" s="63" t="str">
        <f>VLOOKUP($R40,Herbicide_Data!$A$1:$L$61,9)</f>
        <v>Sulfosulfuron</v>
      </c>
      <c r="T40" s="62">
        <f>VLOOKUP($R40,Herbicide_Data!$A$1:$Q$61,13)</f>
        <v>0</v>
      </c>
      <c r="U40" s="16">
        <f t="shared" si="3"/>
        <v>0</v>
      </c>
      <c r="V40" s="62" t="b">
        <f t="shared" si="10"/>
        <v>0</v>
      </c>
      <c r="W40" s="63" t="e">
        <f>VLOOKUP($V40,Herbicide_Data!$A$1:$L$17,9)</f>
        <v>#N/A</v>
      </c>
      <c r="X40" s="62" t="e">
        <f>VLOOKUP($V40,Herbicide_Data!$A$1:$L$17,12)</f>
        <v>#N/A</v>
      </c>
      <c r="Y40" s="16" t="e">
        <f t="shared" si="4"/>
        <v>#N/A</v>
      </c>
      <c r="Z40" s="15"/>
      <c r="AA40" s="13"/>
      <c r="AB40" s="17"/>
      <c r="AC40" s="3"/>
      <c r="AD40" s="10"/>
      <c r="AE40" s="3"/>
      <c r="AF40" s="10"/>
      <c r="AG40" s="15"/>
      <c r="AH40" s="62" t="str">
        <f t="shared" si="12"/>
        <v>Surfactant</v>
      </c>
      <c r="AI40" s="62">
        <f>VLOOKUP($AH40,Herbicide_Data!$A$1:$Q$61,13)</f>
        <v>12.8</v>
      </c>
      <c r="AJ40" s="16">
        <f t="shared" si="6"/>
        <v>2.2038567493112948</v>
      </c>
      <c r="AK40" s="3"/>
      <c r="AL40" s="3"/>
      <c r="AM40" s="3"/>
      <c r="AN40" s="3"/>
      <c r="AO40" s="3"/>
      <c r="AP40" s="3"/>
      <c r="AQ40" s="18"/>
      <c r="AR40" s="19"/>
      <c r="AS40" s="19"/>
      <c r="AT40" s="20"/>
      <c r="AU40" s="20"/>
      <c r="AV40" s="21"/>
      <c r="AW40" s="22"/>
      <c r="AX40" s="19"/>
      <c r="AY40" s="19"/>
      <c r="AZ40" s="19"/>
      <c r="BA40" s="23"/>
      <c r="BB40" s="19"/>
      <c r="BC40" s="19"/>
      <c r="BD40" s="19"/>
    </row>
    <row r="41" spans="1:56" ht="72">
      <c r="A41" s="13" t="s">
        <v>618</v>
      </c>
      <c r="B41" s="11">
        <v>45767</v>
      </c>
      <c r="C41" s="12">
        <v>0.64583333333333337</v>
      </c>
      <c r="D41" s="12">
        <f t="shared" si="0"/>
        <v>0.66666663333333331</v>
      </c>
      <c r="E41" s="10" t="s">
        <v>85</v>
      </c>
      <c r="F41" s="10">
        <f>IFERROR(VLOOKUP(E41,Data!A$2:B$5,2,TRUE), "")</f>
        <v>48160</v>
      </c>
      <c r="G41" s="3" t="s">
        <v>582</v>
      </c>
      <c r="H41" s="13">
        <f>IFERROR(VLOOKUP(A41,Customer_Data!$A$1:$P$114,8,TRUE),"")</f>
        <v>11000</v>
      </c>
      <c r="I41" s="13"/>
      <c r="J41" s="3" t="str">
        <f t="shared" si="7"/>
        <v/>
      </c>
      <c r="K41" s="62" t="e">
        <f>(VLOOKUP($J41,Herbicide_Data!$A$1:$L$61,9,TRUE))</f>
        <v>#N/A</v>
      </c>
      <c r="L41" s="62" t="e">
        <f>VLOOKUP($J41,Herbicide_Data!$A$1:$L$61,12,TRUE)</f>
        <v>#N/A</v>
      </c>
      <c r="M41" s="16" t="e">
        <f t="shared" si="1"/>
        <v>#N/A</v>
      </c>
      <c r="N41" s="62" t="str">
        <f t="shared" si="8"/>
        <v>Triplet SF (3-Way) 228-312</v>
      </c>
      <c r="O41" s="63" t="str">
        <f>VLOOKUP($N41,Herbicide_Data!$A$1:$L$61,9)</f>
        <v>2,4-D, dimethylamine salt; Dicamba, dimethylamine salt;Mecoprop-p (MCPP-p), dimethylamine salt</v>
      </c>
      <c r="P41" s="62">
        <f>VLOOKUP($N41,Herbicide_Data!$A$1:$P$61,13)</f>
        <v>24</v>
      </c>
      <c r="Q41" s="16">
        <f t="shared" si="2"/>
        <v>6.0606060606060606</v>
      </c>
      <c r="R41" s="62" t="str">
        <f t="shared" si="9"/>
        <v>Certinty Turf 59639-226</v>
      </c>
      <c r="S41" s="63" t="str">
        <f>VLOOKUP($R41,Herbicide_Data!$A$1:$L$61,9)</f>
        <v>Sulfosulfuron</v>
      </c>
      <c r="T41" s="62">
        <f>VLOOKUP($R41,Herbicide_Data!$A$1:$Q$61,13)</f>
        <v>0</v>
      </c>
      <c r="U41" s="16">
        <f t="shared" si="3"/>
        <v>0</v>
      </c>
      <c r="V41" s="62" t="b">
        <f t="shared" si="10"/>
        <v>0</v>
      </c>
      <c r="W41" s="63" t="e">
        <f>VLOOKUP($V41,Herbicide_Data!$A$1:$L$17,9)</f>
        <v>#N/A</v>
      </c>
      <c r="X41" s="62" t="e">
        <f>VLOOKUP($V41,Herbicide_Data!$A$1:$L$17,12)</f>
        <v>#N/A</v>
      </c>
      <c r="Y41" s="16" t="e">
        <f t="shared" si="4"/>
        <v>#N/A</v>
      </c>
      <c r="Z41" s="15"/>
      <c r="AA41" s="13"/>
      <c r="AB41" s="17"/>
      <c r="AC41" s="3"/>
      <c r="AD41" s="10"/>
      <c r="AE41" s="3"/>
      <c r="AF41" s="10"/>
      <c r="AG41" s="15"/>
      <c r="AH41" s="62" t="str">
        <f t="shared" si="12"/>
        <v>Surfactant</v>
      </c>
      <c r="AI41" s="62">
        <f>VLOOKUP($AH41,Herbicide_Data!$A$1:$Q$61,13)</f>
        <v>12.8</v>
      </c>
      <c r="AJ41" s="16">
        <f t="shared" si="6"/>
        <v>3.2323232323232327</v>
      </c>
      <c r="AK41" s="3"/>
      <c r="AL41" s="3"/>
      <c r="AM41" s="3"/>
      <c r="AN41" s="3"/>
      <c r="AO41" s="3"/>
      <c r="AP41" s="3"/>
      <c r="AQ41" s="18"/>
      <c r="AR41" s="19"/>
      <c r="AS41" s="19"/>
      <c r="AT41" s="20"/>
      <c r="AU41" s="20"/>
      <c r="AV41" s="21"/>
      <c r="AW41" s="22"/>
      <c r="AX41" s="19"/>
      <c r="AY41" s="19"/>
      <c r="AZ41" s="19"/>
      <c r="BA41" s="23"/>
      <c r="BB41" s="19"/>
      <c r="BC41" s="19"/>
      <c r="BD41" s="19"/>
    </row>
    <row r="42" spans="1:56" ht="72">
      <c r="A42" s="13" t="s">
        <v>578</v>
      </c>
      <c r="B42" s="11">
        <v>45773</v>
      </c>
      <c r="C42" s="12">
        <v>0.41666666666666669</v>
      </c>
      <c r="D42" s="12">
        <f t="shared" si="0"/>
        <v>0.43749996666666668</v>
      </c>
      <c r="E42" s="10" t="s">
        <v>85</v>
      </c>
      <c r="F42" s="10">
        <f>IFERROR(VLOOKUP(E42,Data!A$2:B$5,2,TRUE), "")</f>
        <v>48160</v>
      </c>
      <c r="G42" s="3" t="s">
        <v>582</v>
      </c>
      <c r="H42" s="13">
        <f>IFERROR(VLOOKUP(A42,Customer_Data!$A$1:$P$114,8,TRUE),"")</f>
        <v>13500</v>
      </c>
      <c r="I42" s="13"/>
      <c r="J42" s="3" t="str">
        <f t="shared" si="7"/>
        <v/>
      </c>
      <c r="K42" s="62" t="e">
        <f>(VLOOKUP($J42,Herbicide_Data!$A$1:$L$61,9,TRUE))</f>
        <v>#N/A</v>
      </c>
      <c r="L42" s="62" t="e">
        <f>VLOOKUP($J42,Herbicide_Data!$A$1:$L$61,12,TRUE)</f>
        <v>#N/A</v>
      </c>
      <c r="M42" s="16" t="e">
        <f t="shared" si="1"/>
        <v>#N/A</v>
      </c>
      <c r="N42" s="62" t="str">
        <f t="shared" si="8"/>
        <v>Triplet SF (3-Way) 228-312</v>
      </c>
      <c r="O42" s="63" t="str">
        <f>VLOOKUP($N42,Herbicide_Data!$A$1:$L$61,9)</f>
        <v>2,4-D, dimethylamine salt; Dicamba, dimethylamine salt;Mecoprop-p (MCPP-p), dimethylamine salt</v>
      </c>
      <c r="P42" s="62">
        <f>VLOOKUP($N42,Herbicide_Data!$A$1:$P$61,13)</f>
        <v>24</v>
      </c>
      <c r="Q42" s="16">
        <f t="shared" si="2"/>
        <v>7.4380165289256208</v>
      </c>
      <c r="R42" s="62" t="str">
        <f t="shared" si="9"/>
        <v>Certinty Turf 59639-226</v>
      </c>
      <c r="S42" s="63" t="str">
        <f>VLOOKUP($R42,Herbicide_Data!$A$1:$L$61,9)</f>
        <v>Sulfosulfuron</v>
      </c>
      <c r="T42" s="62">
        <f>VLOOKUP($R42,Herbicide_Data!$A$1:$Q$61,13)</f>
        <v>0</v>
      </c>
      <c r="U42" s="16">
        <f t="shared" si="3"/>
        <v>0</v>
      </c>
      <c r="V42" s="62" t="b">
        <f t="shared" si="10"/>
        <v>0</v>
      </c>
      <c r="W42" s="63" t="e">
        <f>VLOOKUP($V42,Herbicide_Data!$A$1:$L$17,9)</f>
        <v>#N/A</v>
      </c>
      <c r="X42" s="62" t="e">
        <f>VLOOKUP($V42,Herbicide_Data!$A$1:$L$17,12)</f>
        <v>#N/A</v>
      </c>
      <c r="Y42" s="16" t="e">
        <f t="shared" si="4"/>
        <v>#N/A</v>
      </c>
      <c r="Z42" s="15"/>
      <c r="AA42" s="13"/>
      <c r="AB42" s="17"/>
      <c r="AC42" s="3"/>
      <c r="AD42" s="10"/>
      <c r="AE42" s="3"/>
      <c r="AF42" s="10"/>
      <c r="AG42" s="15"/>
      <c r="AH42" s="62" t="str">
        <f t="shared" si="12"/>
        <v>Surfactant</v>
      </c>
      <c r="AI42" s="62">
        <f>VLOOKUP($AH42,Herbicide_Data!$A$1:$Q$61,13)</f>
        <v>12.8</v>
      </c>
      <c r="AJ42" s="16">
        <f t="shared" si="6"/>
        <v>3.9669421487603311</v>
      </c>
      <c r="AK42" s="3"/>
      <c r="AL42" s="3"/>
      <c r="AM42" s="3"/>
      <c r="AN42" s="3"/>
      <c r="AO42" s="3"/>
      <c r="AP42" s="3"/>
      <c r="AQ42" s="18"/>
      <c r="AR42" s="19"/>
      <c r="AS42" s="19"/>
      <c r="AT42" s="20"/>
      <c r="AU42" s="20"/>
      <c r="AV42" s="21"/>
      <c r="AW42" s="22"/>
      <c r="AX42" s="19"/>
      <c r="AY42" s="19"/>
      <c r="AZ42" s="19"/>
      <c r="BA42" s="23"/>
      <c r="BB42" s="19"/>
      <c r="BC42" s="19"/>
      <c r="BD42" s="19"/>
    </row>
    <row r="43" spans="1:56" ht="72">
      <c r="A43" s="13" t="s">
        <v>544</v>
      </c>
      <c r="B43" s="11">
        <v>45773</v>
      </c>
      <c r="C43" s="12">
        <f ca="1">IF(ISBLANK($A43),"",NOW()-TODAY())</f>
        <v>0.63285474536678521</v>
      </c>
      <c r="D43" s="12">
        <f t="shared" ca="1" si="0"/>
        <v>0.65368804536678526</v>
      </c>
      <c r="E43" s="10" t="s">
        <v>85</v>
      </c>
      <c r="F43" s="10">
        <f>IFERROR(VLOOKUP(E43,Data!A$2:B$5,2,TRUE), "")</f>
        <v>48160</v>
      </c>
      <c r="G43" s="3" t="s">
        <v>582</v>
      </c>
      <c r="H43" s="13">
        <f>IFERROR(VLOOKUP(A43,Customer_Data!$A$1:$P$114,8,TRUE),"")</f>
        <v>2750</v>
      </c>
      <c r="I43" s="13"/>
      <c r="J43" s="3" t="str">
        <f t="shared" si="7"/>
        <v/>
      </c>
      <c r="K43" s="62" t="e">
        <f>(VLOOKUP($J43,Herbicide_Data!$A$1:$L$61,9,TRUE))</f>
        <v>#N/A</v>
      </c>
      <c r="L43" s="62" t="e">
        <f>VLOOKUP($J43,Herbicide_Data!$A$1:$L$61,12,TRUE)</f>
        <v>#N/A</v>
      </c>
      <c r="M43" s="16" t="e">
        <f t="shared" si="1"/>
        <v>#N/A</v>
      </c>
      <c r="N43" s="62" t="str">
        <f t="shared" si="8"/>
        <v>Triplet SF (3-Way) 228-312</v>
      </c>
      <c r="O43" s="63" t="str">
        <f>VLOOKUP($N43,Herbicide_Data!$A$1:$L$61,9)</f>
        <v>2,4-D, dimethylamine salt; Dicamba, dimethylamine salt;Mecoprop-p (MCPP-p), dimethylamine salt</v>
      </c>
      <c r="P43" s="62">
        <f>VLOOKUP($N43,Herbicide_Data!$A$1:$P$61,13)</f>
        <v>24</v>
      </c>
      <c r="Q43" s="16">
        <f t="shared" si="2"/>
        <v>1.5151515151515151</v>
      </c>
      <c r="R43" s="62" t="str">
        <f t="shared" si="9"/>
        <v>Certinty Turf 59639-226</v>
      </c>
      <c r="S43" s="63" t="str">
        <f>VLOOKUP($R43,Herbicide_Data!$A$1:$L$61,9)</f>
        <v>Sulfosulfuron</v>
      </c>
      <c r="T43" s="62">
        <f>VLOOKUP($R43,Herbicide_Data!$A$1:$Q$61,13)</f>
        <v>0</v>
      </c>
      <c r="U43" s="16">
        <f t="shared" si="3"/>
        <v>0</v>
      </c>
      <c r="V43" s="62" t="b">
        <f t="shared" si="10"/>
        <v>0</v>
      </c>
      <c r="W43" s="63" t="e">
        <f>VLOOKUP($V43,Herbicide_Data!$A$1:$L$17,9)</f>
        <v>#N/A</v>
      </c>
      <c r="X43" s="62" t="e">
        <f>VLOOKUP($V43,Herbicide_Data!$A$1:$L$17,12)</f>
        <v>#N/A</v>
      </c>
      <c r="Y43" s="16" t="e">
        <f t="shared" si="4"/>
        <v>#N/A</v>
      </c>
      <c r="Z43" s="15"/>
      <c r="AA43" s="13"/>
      <c r="AB43" s="17"/>
      <c r="AC43" s="3"/>
      <c r="AD43" s="10"/>
      <c r="AE43" s="3"/>
      <c r="AF43" s="10"/>
      <c r="AG43" s="15"/>
      <c r="AH43" s="62" t="str">
        <f t="shared" si="12"/>
        <v>Surfactant</v>
      </c>
      <c r="AI43" s="62">
        <f>VLOOKUP($AH43,Herbicide_Data!$A$1:$Q$61,13)</f>
        <v>12.8</v>
      </c>
      <c r="AJ43" s="16">
        <f t="shared" si="6"/>
        <v>0.80808080808080818</v>
      </c>
      <c r="AK43" s="3"/>
      <c r="AL43" s="3"/>
      <c r="AM43" s="3"/>
      <c r="AN43" s="3"/>
      <c r="AO43" s="3"/>
      <c r="AP43" s="3"/>
      <c r="AQ43" s="18"/>
      <c r="AR43" s="19"/>
      <c r="AS43" s="19"/>
      <c r="AT43" s="20"/>
      <c r="AU43" s="20"/>
      <c r="AV43" s="21"/>
      <c r="AW43" s="22"/>
      <c r="AX43" s="19"/>
      <c r="AY43" s="19"/>
      <c r="AZ43" s="19"/>
      <c r="BA43" s="23"/>
      <c r="BB43" s="19"/>
      <c r="BC43" s="19"/>
      <c r="BD43" s="19"/>
    </row>
    <row r="44" spans="1:56" ht="72">
      <c r="A44" s="13" t="s">
        <v>379</v>
      </c>
      <c r="B44" s="11">
        <v>45774</v>
      </c>
      <c r="C44" s="12">
        <v>0.5</v>
      </c>
      <c r="D44" s="12">
        <f t="shared" si="0"/>
        <v>0.52083330000000005</v>
      </c>
      <c r="E44" s="10" t="s">
        <v>85</v>
      </c>
      <c r="F44" s="10">
        <f>IFERROR(VLOOKUP(E44,Data!A$2:B$5,2,TRUE), "")</f>
        <v>48160</v>
      </c>
      <c r="G44" s="3" t="s">
        <v>582</v>
      </c>
      <c r="H44" s="13">
        <f>IFERROR(VLOOKUP(A44,Customer_Data!$A$1:$P$114,8,TRUE),"")</f>
        <v>3687</v>
      </c>
      <c r="I44" s="13"/>
      <c r="J44" s="3" t="str">
        <f t="shared" si="7"/>
        <v/>
      </c>
      <c r="K44" s="62" t="e">
        <f>(VLOOKUP($J44,Herbicide_Data!$A$1:$L$61,9,TRUE))</f>
        <v>#N/A</v>
      </c>
      <c r="L44" s="62" t="e">
        <f>VLOOKUP($J44,Herbicide_Data!$A$1:$L$61,12,TRUE)</f>
        <v>#N/A</v>
      </c>
      <c r="M44" s="16" t="e">
        <f t="shared" si="1"/>
        <v>#N/A</v>
      </c>
      <c r="N44" s="62" t="str">
        <f t="shared" si="8"/>
        <v>Triplet SF (3-Way) 228-312</v>
      </c>
      <c r="O44" s="63" t="str">
        <f>VLOOKUP($N44,Herbicide_Data!$A$1:$L$61,9)</f>
        <v>2,4-D, dimethylamine salt; Dicamba, dimethylamine salt;Mecoprop-p (MCPP-p), dimethylamine salt</v>
      </c>
      <c r="P44" s="62">
        <f>VLOOKUP($N44,Herbicide_Data!$A$1:$P$61,13)</f>
        <v>24</v>
      </c>
      <c r="Q44" s="16">
        <f t="shared" si="2"/>
        <v>2.0314049586776859</v>
      </c>
      <c r="R44" s="62" t="str">
        <f t="shared" si="9"/>
        <v>Certinty Turf 59639-226</v>
      </c>
      <c r="S44" s="63" t="str">
        <f>VLOOKUP($R44,Herbicide_Data!$A$1:$L$61,9)</f>
        <v>Sulfosulfuron</v>
      </c>
      <c r="T44" s="62">
        <f>VLOOKUP($R44,Herbicide_Data!$A$1:$Q$61,13)</f>
        <v>0</v>
      </c>
      <c r="U44" s="16">
        <f t="shared" si="3"/>
        <v>0</v>
      </c>
      <c r="V44" s="62" t="b">
        <f t="shared" si="10"/>
        <v>0</v>
      </c>
      <c r="W44" s="63" t="e">
        <f>VLOOKUP($V44,Herbicide_Data!$A$1:$L$17,9)</f>
        <v>#N/A</v>
      </c>
      <c r="X44" s="62" t="e">
        <f>VLOOKUP($V44,Herbicide_Data!$A$1:$L$17,12)</f>
        <v>#N/A</v>
      </c>
      <c r="Y44" s="16" t="e">
        <f t="shared" si="4"/>
        <v>#N/A</v>
      </c>
      <c r="Z44" s="15"/>
      <c r="AA44" s="13"/>
      <c r="AB44" s="17"/>
      <c r="AC44" s="3"/>
      <c r="AD44" s="10"/>
      <c r="AE44" s="3"/>
      <c r="AF44" s="10"/>
      <c r="AG44" s="15"/>
      <c r="AH44" s="62" t="str">
        <f t="shared" si="12"/>
        <v>Surfactant</v>
      </c>
      <c r="AI44" s="62">
        <f>VLOOKUP($AH44,Herbicide_Data!$A$1:$Q$61,13)</f>
        <v>12.8</v>
      </c>
      <c r="AJ44" s="16">
        <f t="shared" si="6"/>
        <v>1.0834159779614325</v>
      </c>
      <c r="AK44" s="3"/>
      <c r="AL44" s="3"/>
      <c r="AM44" s="3"/>
      <c r="AN44" s="3"/>
      <c r="AO44" s="3"/>
      <c r="AP44" s="3"/>
      <c r="AQ44" s="18"/>
      <c r="AR44" s="19"/>
      <c r="AS44" s="19"/>
      <c r="AT44" s="20"/>
      <c r="AU44" s="20"/>
      <c r="AV44" s="21"/>
      <c r="AW44" s="22"/>
      <c r="AX44" s="19"/>
      <c r="AY44" s="19"/>
      <c r="AZ44" s="19"/>
      <c r="BA44" s="23"/>
      <c r="BB44" s="19"/>
      <c r="BC44" s="19"/>
      <c r="BD44" s="19"/>
    </row>
    <row r="45" spans="1:56" ht="72">
      <c r="A45" s="13" t="s">
        <v>572</v>
      </c>
      <c r="B45" s="11">
        <v>45775</v>
      </c>
      <c r="C45" s="12">
        <v>0.70833333333333337</v>
      </c>
      <c r="D45" s="12">
        <f t="shared" si="0"/>
        <v>0.72916663333333331</v>
      </c>
      <c r="E45" s="10" t="s">
        <v>85</v>
      </c>
      <c r="F45" s="10">
        <f>IFERROR(VLOOKUP(E45,Data!A$2:B$5,2,TRUE), "")</f>
        <v>48160</v>
      </c>
      <c r="G45" s="3" t="s">
        <v>582</v>
      </c>
      <c r="H45" s="13">
        <f>IFERROR(VLOOKUP(A45,Customer_Data!$A$1:$P$114,8,TRUE),"")</f>
        <v>4150</v>
      </c>
      <c r="I45" s="13"/>
      <c r="J45" s="3" t="str">
        <f t="shared" si="7"/>
        <v/>
      </c>
      <c r="K45" s="62" t="e">
        <f>(VLOOKUP($J45,Herbicide_Data!$A$1:$L$61,9,TRUE))</f>
        <v>#N/A</v>
      </c>
      <c r="L45" s="62" t="e">
        <f>VLOOKUP($J45,Herbicide_Data!$A$1:$L$61,12,TRUE)</f>
        <v>#N/A</v>
      </c>
      <c r="M45" s="16" t="e">
        <f t="shared" si="1"/>
        <v>#N/A</v>
      </c>
      <c r="N45" s="62" t="str">
        <f t="shared" si="8"/>
        <v>Triplet SF (3-Way) 228-312</v>
      </c>
      <c r="O45" s="63" t="str">
        <f>VLOOKUP($N45,Herbicide_Data!$A$1:$L$61,9)</f>
        <v>2,4-D, dimethylamine salt; Dicamba, dimethylamine salt;Mecoprop-p (MCPP-p), dimethylamine salt</v>
      </c>
      <c r="P45" s="62">
        <f>VLOOKUP($N45,Herbicide_Data!$A$1:$P$61,13)</f>
        <v>24</v>
      </c>
      <c r="Q45" s="16">
        <f t="shared" si="2"/>
        <v>2.2865013774104685</v>
      </c>
      <c r="R45" s="62" t="str">
        <f t="shared" si="9"/>
        <v>Certinty Turf 59639-226</v>
      </c>
      <c r="S45" s="63" t="str">
        <f>VLOOKUP($R45,Herbicide_Data!$A$1:$L$61,9)</f>
        <v>Sulfosulfuron</v>
      </c>
      <c r="T45" s="62">
        <f>VLOOKUP($R45,Herbicide_Data!$A$1:$Q$61,13)</f>
        <v>0</v>
      </c>
      <c r="U45" s="16">
        <f t="shared" si="3"/>
        <v>0</v>
      </c>
      <c r="V45" s="62" t="b">
        <f t="shared" si="10"/>
        <v>0</v>
      </c>
      <c r="W45" s="63" t="e">
        <f>VLOOKUP($V45,Herbicide_Data!$A$1:$L$17,9)</f>
        <v>#N/A</v>
      </c>
      <c r="X45" s="62" t="e">
        <f>VLOOKUP($V45,Herbicide_Data!$A$1:$L$17,12)</f>
        <v>#N/A</v>
      </c>
      <c r="Y45" s="16" t="e">
        <f t="shared" si="4"/>
        <v>#N/A</v>
      </c>
      <c r="Z45" s="15"/>
      <c r="AA45" s="13"/>
      <c r="AB45" s="17"/>
      <c r="AC45" s="3"/>
      <c r="AD45" s="10"/>
      <c r="AE45" s="3"/>
      <c r="AF45" s="10"/>
      <c r="AG45" s="15"/>
      <c r="AH45" s="62" t="str">
        <f t="shared" si="12"/>
        <v>Surfactant</v>
      </c>
      <c r="AI45" s="62">
        <f>VLOOKUP($AH45,Herbicide_Data!$A$1:$Q$61,13)</f>
        <v>12.8</v>
      </c>
      <c r="AJ45" s="16">
        <f t="shared" si="6"/>
        <v>1.2194674012855833</v>
      </c>
      <c r="AK45" s="3"/>
      <c r="AL45" s="3"/>
      <c r="AM45" s="3"/>
      <c r="AN45" s="3"/>
      <c r="AO45" s="3"/>
      <c r="AP45" s="3"/>
      <c r="AQ45" s="18"/>
      <c r="AR45" s="19"/>
      <c r="AS45" s="19"/>
      <c r="AT45" s="20"/>
      <c r="AU45" s="20"/>
      <c r="AV45" s="21"/>
      <c r="AW45" s="22"/>
      <c r="AX45" s="19"/>
      <c r="AY45" s="19"/>
      <c r="AZ45" s="19"/>
      <c r="BA45" s="23"/>
      <c r="BB45" s="19"/>
      <c r="BC45" s="19"/>
      <c r="BD45" s="19"/>
    </row>
    <row r="46" spans="1:56" ht="72">
      <c r="A46" s="13" t="s">
        <v>576</v>
      </c>
      <c r="B46" s="11">
        <v>45775</v>
      </c>
      <c r="C46" s="12">
        <v>0.72916666666666663</v>
      </c>
      <c r="D46" s="12">
        <f t="shared" si="0"/>
        <v>0.74999996666666657</v>
      </c>
      <c r="E46" s="10" t="s">
        <v>85</v>
      </c>
      <c r="F46" s="10">
        <f>IFERROR(VLOOKUP(E46,Data!A$2:B$5,2,TRUE), "")</f>
        <v>48160</v>
      </c>
      <c r="G46" s="3" t="s">
        <v>582</v>
      </c>
      <c r="H46" s="13">
        <f>IFERROR(VLOOKUP(A46,Customer_Data!$A$1:$P$114,8,TRUE),"")</f>
        <v>3875</v>
      </c>
      <c r="I46" s="13"/>
      <c r="J46" s="3" t="str">
        <f t="shared" si="7"/>
        <v/>
      </c>
      <c r="K46" s="62" t="e">
        <f>(VLOOKUP($J46,Herbicide_Data!$A$1:$L$61,9,TRUE))</f>
        <v>#N/A</v>
      </c>
      <c r="L46" s="62" t="e">
        <f>VLOOKUP($J46,Herbicide_Data!$A$1:$L$61,12,TRUE)</f>
        <v>#N/A</v>
      </c>
      <c r="M46" s="16" t="e">
        <f t="shared" si="1"/>
        <v>#N/A</v>
      </c>
      <c r="N46" s="62" t="str">
        <f t="shared" si="8"/>
        <v>Triplet SF (3-Way) 228-312</v>
      </c>
      <c r="O46" s="63" t="str">
        <f>VLOOKUP($N46,Herbicide_Data!$A$1:$L$61,9)</f>
        <v>2,4-D, dimethylamine salt; Dicamba, dimethylamine salt;Mecoprop-p (MCPP-p), dimethylamine salt</v>
      </c>
      <c r="P46" s="62">
        <f>VLOOKUP($N46,Herbicide_Data!$A$1:$P$61,13)</f>
        <v>24</v>
      </c>
      <c r="Q46" s="16">
        <f t="shared" si="2"/>
        <v>2.1349862258953167</v>
      </c>
      <c r="R46" s="62" t="str">
        <f t="shared" si="9"/>
        <v>Certinty Turf 59639-226</v>
      </c>
      <c r="S46" s="63" t="str">
        <f>VLOOKUP($R46,Herbicide_Data!$A$1:$L$61,9)</f>
        <v>Sulfosulfuron</v>
      </c>
      <c r="T46" s="62">
        <f>VLOOKUP($R46,Herbicide_Data!$A$1:$Q$61,13)</f>
        <v>0</v>
      </c>
      <c r="U46" s="16">
        <f t="shared" si="3"/>
        <v>0</v>
      </c>
      <c r="V46" s="62" t="b">
        <f t="shared" si="10"/>
        <v>0</v>
      </c>
      <c r="W46" s="63" t="e">
        <f>VLOOKUP($V46,Herbicide_Data!$A$1:$L$17,9)</f>
        <v>#N/A</v>
      </c>
      <c r="X46" s="62" t="e">
        <f>VLOOKUP($V46,Herbicide_Data!$A$1:$L$17,12)</f>
        <v>#N/A</v>
      </c>
      <c r="Y46" s="16" t="e">
        <f t="shared" si="4"/>
        <v>#N/A</v>
      </c>
      <c r="Z46" s="15"/>
      <c r="AA46" s="13"/>
      <c r="AB46" s="17"/>
      <c r="AC46" s="3"/>
      <c r="AD46" s="10"/>
      <c r="AE46" s="3"/>
      <c r="AF46" s="10"/>
      <c r="AG46" s="15"/>
      <c r="AH46" s="62" t="str">
        <f t="shared" si="12"/>
        <v>Surfactant</v>
      </c>
      <c r="AI46" s="62">
        <f>VLOOKUP($AH46,Herbicide_Data!$A$1:$Q$61,13)</f>
        <v>12.8</v>
      </c>
      <c r="AJ46" s="16">
        <f t="shared" si="6"/>
        <v>1.1386593204775024</v>
      </c>
      <c r="AK46" s="3"/>
      <c r="AL46" s="3"/>
      <c r="AM46" s="3"/>
      <c r="AN46" s="3"/>
      <c r="AO46" s="3"/>
      <c r="AP46" s="3"/>
      <c r="AQ46" s="18"/>
      <c r="AR46" s="19"/>
      <c r="AS46" s="19"/>
      <c r="AT46" s="20"/>
      <c r="AU46" s="20"/>
      <c r="AV46" s="21"/>
      <c r="AW46" s="22"/>
      <c r="AX46" s="19"/>
      <c r="AY46" s="19"/>
      <c r="AZ46" s="19"/>
      <c r="BA46" s="23"/>
      <c r="BB46" s="19"/>
      <c r="BC46" s="19"/>
      <c r="BD46" s="19"/>
    </row>
    <row r="47" spans="1:56" ht="72">
      <c r="A47" s="13" t="s">
        <v>586</v>
      </c>
      <c r="B47" s="11">
        <v>45775</v>
      </c>
      <c r="C47" s="12">
        <v>0.75</v>
      </c>
      <c r="D47" s="12">
        <f t="shared" si="0"/>
        <v>0.77083330000000005</v>
      </c>
      <c r="E47" s="10" t="s">
        <v>85</v>
      </c>
      <c r="F47" s="10">
        <f>IFERROR(VLOOKUP(E47,Data!A$2:B$5,2,TRUE), "")</f>
        <v>48160</v>
      </c>
      <c r="G47" s="3" t="s">
        <v>582</v>
      </c>
      <c r="H47" s="13">
        <f>IFERROR(VLOOKUP(A47,Customer_Data!$A$1:$P$114,8,TRUE),"")</f>
        <v>7000</v>
      </c>
      <c r="I47" s="13"/>
      <c r="J47" s="3" t="str">
        <f t="shared" si="7"/>
        <v/>
      </c>
      <c r="K47" s="62" t="e">
        <f>(VLOOKUP($J47,Herbicide_Data!$A$1:$L$61,9,TRUE))</f>
        <v>#N/A</v>
      </c>
      <c r="L47" s="62" t="e">
        <f>VLOOKUP($J47,Herbicide_Data!$A$1:$L$61,12,TRUE)</f>
        <v>#N/A</v>
      </c>
      <c r="M47" s="16" t="e">
        <f t="shared" si="1"/>
        <v>#N/A</v>
      </c>
      <c r="N47" s="62" t="str">
        <f t="shared" si="8"/>
        <v>Triplet SF (3-Way) 228-312</v>
      </c>
      <c r="O47" s="63" t="str">
        <f>VLOOKUP($N47,Herbicide_Data!$A$1:$L$61,9)</f>
        <v>2,4-D, dimethylamine salt; Dicamba, dimethylamine salt;Mecoprop-p (MCPP-p), dimethylamine salt</v>
      </c>
      <c r="P47" s="62">
        <f>VLOOKUP($N47,Herbicide_Data!$A$1:$P$61,13)</f>
        <v>24</v>
      </c>
      <c r="Q47" s="16">
        <f t="shared" si="2"/>
        <v>3.8567493112947657</v>
      </c>
      <c r="R47" s="62" t="str">
        <f t="shared" si="9"/>
        <v>Certinty Turf 59639-226</v>
      </c>
      <c r="S47" s="63" t="str">
        <f>VLOOKUP($R47,Herbicide_Data!$A$1:$L$61,9)</f>
        <v>Sulfosulfuron</v>
      </c>
      <c r="T47" s="62">
        <f>VLOOKUP($R47,Herbicide_Data!$A$1:$Q$61,13)</f>
        <v>0</v>
      </c>
      <c r="U47" s="16">
        <f t="shared" si="3"/>
        <v>0</v>
      </c>
      <c r="V47" s="62" t="b">
        <f t="shared" si="10"/>
        <v>0</v>
      </c>
      <c r="W47" s="63" t="e">
        <f>VLOOKUP($V47,Herbicide_Data!$A$1:$L$17,9)</f>
        <v>#N/A</v>
      </c>
      <c r="X47" s="62" t="e">
        <f>VLOOKUP($V47,Herbicide_Data!$A$1:$L$17,12)</f>
        <v>#N/A</v>
      </c>
      <c r="Y47" s="16" t="e">
        <f t="shared" si="4"/>
        <v>#N/A</v>
      </c>
      <c r="Z47" s="15"/>
      <c r="AA47" s="13"/>
      <c r="AB47" s="17"/>
      <c r="AC47" s="3"/>
      <c r="AD47" s="10"/>
      <c r="AE47" s="3"/>
      <c r="AF47" s="10"/>
      <c r="AG47" s="15"/>
      <c r="AH47" s="62" t="str">
        <f t="shared" si="12"/>
        <v>Surfactant</v>
      </c>
      <c r="AI47" s="62">
        <f>VLOOKUP($AH47,Herbicide_Data!$A$1:$Q$61,13)</f>
        <v>12.8</v>
      </c>
      <c r="AJ47" s="16">
        <f t="shared" si="6"/>
        <v>2.0569329660238753</v>
      </c>
      <c r="AK47" s="3"/>
      <c r="AL47" s="3"/>
      <c r="AM47" s="3"/>
      <c r="AN47" s="3"/>
      <c r="AO47" s="3"/>
      <c r="AP47" s="3"/>
      <c r="AQ47" s="18"/>
      <c r="AR47" s="19"/>
      <c r="AS47" s="19"/>
      <c r="AT47" s="20"/>
      <c r="AU47" s="20"/>
      <c r="AV47" s="21"/>
      <c r="AW47" s="22"/>
      <c r="AX47" s="19"/>
      <c r="AY47" s="19"/>
      <c r="AZ47" s="19"/>
      <c r="BA47" s="23"/>
      <c r="BB47" s="19"/>
      <c r="BC47" s="19"/>
      <c r="BD47" s="19"/>
    </row>
    <row r="48" spans="1:56" ht="72">
      <c r="A48" s="13" t="s">
        <v>591</v>
      </c>
      <c r="B48" s="11">
        <v>45775</v>
      </c>
      <c r="C48" s="12">
        <v>0.77083333333333337</v>
      </c>
      <c r="D48" s="12">
        <f t="shared" si="0"/>
        <v>0.79166663333333331</v>
      </c>
      <c r="E48" s="10" t="s">
        <v>85</v>
      </c>
      <c r="F48" s="10">
        <f>IFERROR(VLOOKUP(E48,Data!A$2:B$5,2,TRUE), "")</f>
        <v>48160</v>
      </c>
      <c r="G48" s="3" t="s">
        <v>582</v>
      </c>
      <c r="H48" s="13">
        <f>IFERROR(VLOOKUP(A48,Customer_Data!$A$1:$P$114,8,TRUE),"")</f>
        <v>9000</v>
      </c>
      <c r="I48" s="13"/>
      <c r="J48" s="3" t="str">
        <f t="shared" si="7"/>
        <v/>
      </c>
      <c r="K48" s="62" t="e">
        <f>(VLOOKUP($J48,Herbicide_Data!$A$1:$L$61,9,TRUE))</f>
        <v>#N/A</v>
      </c>
      <c r="L48" s="62" t="e">
        <f>VLOOKUP($J48,Herbicide_Data!$A$1:$L$61,12,TRUE)</f>
        <v>#N/A</v>
      </c>
      <c r="M48" s="16" t="e">
        <f t="shared" si="1"/>
        <v>#N/A</v>
      </c>
      <c r="N48" s="62" t="str">
        <f t="shared" si="8"/>
        <v>Triplet SF (3-Way) 228-312</v>
      </c>
      <c r="O48" s="63" t="str">
        <f>VLOOKUP($N48,Herbicide_Data!$A$1:$L$61,9)</f>
        <v>2,4-D, dimethylamine salt; Dicamba, dimethylamine salt;Mecoprop-p (MCPP-p), dimethylamine salt</v>
      </c>
      <c r="P48" s="62">
        <f>VLOOKUP($N48,Herbicide_Data!$A$1:$P$61,13)</f>
        <v>24</v>
      </c>
      <c r="Q48" s="16">
        <f t="shared" si="2"/>
        <v>4.9586776859504136</v>
      </c>
      <c r="R48" s="62" t="str">
        <f t="shared" si="9"/>
        <v>Certinty Turf 59639-226</v>
      </c>
      <c r="S48" s="63" t="str">
        <f>VLOOKUP($R48,Herbicide_Data!$A$1:$L$61,9)</f>
        <v>Sulfosulfuron</v>
      </c>
      <c r="T48" s="62">
        <f>VLOOKUP($R48,Herbicide_Data!$A$1:$Q$61,13)</f>
        <v>0</v>
      </c>
      <c r="U48" s="16">
        <f t="shared" si="3"/>
        <v>0</v>
      </c>
      <c r="V48" s="62" t="b">
        <f t="shared" si="10"/>
        <v>0</v>
      </c>
      <c r="W48" s="63" t="e">
        <f>VLOOKUP($V48,Herbicide_Data!$A$1:$L$17,9)</f>
        <v>#N/A</v>
      </c>
      <c r="X48" s="62" t="e">
        <f>VLOOKUP($V48,Herbicide_Data!$A$1:$L$17,12)</f>
        <v>#N/A</v>
      </c>
      <c r="Y48" s="16" t="e">
        <f t="shared" si="4"/>
        <v>#N/A</v>
      </c>
      <c r="Z48" s="15"/>
      <c r="AA48" s="13"/>
      <c r="AB48" s="17"/>
      <c r="AC48" s="3"/>
      <c r="AD48" s="10"/>
      <c r="AE48" s="3"/>
      <c r="AF48" s="10"/>
      <c r="AG48" s="15"/>
      <c r="AH48" s="62" t="str">
        <f t="shared" si="12"/>
        <v>Surfactant</v>
      </c>
      <c r="AI48" s="62">
        <f>VLOOKUP($AH48,Herbicide_Data!$A$1:$Q$61,13)</f>
        <v>12.8</v>
      </c>
      <c r="AJ48" s="16">
        <f t="shared" si="6"/>
        <v>2.6446280991735538</v>
      </c>
      <c r="AK48" s="3"/>
      <c r="AL48" s="3"/>
      <c r="AM48" s="3"/>
      <c r="AN48" s="3"/>
      <c r="AO48" s="3"/>
      <c r="AP48" s="3"/>
      <c r="AQ48" s="18"/>
      <c r="AR48" s="19"/>
      <c r="AS48" s="19"/>
      <c r="AT48" s="20"/>
      <c r="AU48" s="20"/>
      <c r="AV48" s="21"/>
      <c r="AW48" s="22"/>
      <c r="AX48" s="19"/>
      <c r="AY48" s="19"/>
      <c r="AZ48" s="19"/>
      <c r="BA48" s="23"/>
      <c r="BB48" s="19"/>
      <c r="BC48" s="19"/>
      <c r="BD48" s="19"/>
    </row>
    <row r="49" spans="1:56" ht="72">
      <c r="A49" s="13" t="s">
        <v>593</v>
      </c>
      <c r="B49" s="11">
        <v>45775</v>
      </c>
      <c r="C49" s="12">
        <v>0.79166666666666663</v>
      </c>
      <c r="D49" s="12">
        <f t="shared" si="0"/>
        <v>0.81249996666666657</v>
      </c>
      <c r="E49" s="10" t="s">
        <v>85</v>
      </c>
      <c r="F49" s="10">
        <f>IFERROR(VLOOKUP(E49,Data!A$2:B$5,2,TRUE), "")</f>
        <v>48160</v>
      </c>
      <c r="G49" s="3" t="s">
        <v>582</v>
      </c>
      <c r="H49" s="13">
        <f>IFERROR(VLOOKUP(A49,Customer_Data!$A$1:$P$114,8,TRUE),"")</f>
        <v>6500</v>
      </c>
      <c r="I49" s="13"/>
      <c r="J49" s="3" t="str">
        <f t="shared" si="7"/>
        <v/>
      </c>
      <c r="K49" s="62" t="e">
        <f>(VLOOKUP($J49,Herbicide_Data!$A$1:$L$61,9,TRUE))</f>
        <v>#N/A</v>
      </c>
      <c r="L49" s="62" t="e">
        <f>VLOOKUP($J49,Herbicide_Data!$A$1:$L$61,12,TRUE)</f>
        <v>#N/A</v>
      </c>
      <c r="M49" s="16" t="e">
        <f t="shared" si="1"/>
        <v>#N/A</v>
      </c>
      <c r="N49" s="62" t="str">
        <f t="shared" si="8"/>
        <v>Triplet SF (3-Way) 228-312</v>
      </c>
      <c r="O49" s="63" t="str">
        <f>VLOOKUP($N49,Herbicide_Data!$A$1:$L$61,9)</f>
        <v>2,4-D, dimethylamine salt; Dicamba, dimethylamine salt;Mecoprop-p (MCPP-p), dimethylamine salt</v>
      </c>
      <c r="P49" s="62">
        <f>VLOOKUP($N49,Herbicide_Data!$A$1:$P$61,13)</f>
        <v>24</v>
      </c>
      <c r="Q49" s="16">
        <f t="shared" si="2"/>
        <v>3.5812672176308542</v>
      </c>
      <c r="R49" s="62" t="str">
        <f t="shared" si="9"/>
        <v>Certinty Turf 59639-226</v>
      </c>
      <c r="S49" s="63" t="str">
        <f>VLOOKUP($R49,Herbicide_Data!$A$1:$L$61,9)</f>
        <v>Sulfosulfuron</v>
      </c>
      <c r="T49" s="62">
        <f>VLOOKUP($R49,Herbicide_Data!$A$1:$Q$61,13)</f>
        <v>0</v>
      </c>
      <c r="U49" s="16">
        <f t="shared" si="3"/>
        <v>0</v>
      </c>
      <c r="V49" s="62" t="b">
        <f t="shared" si="10"/>
        <v>0</v>
      </c>
      <c r="W49" s="63" t="e">
        <f>VLOOKUP($V49,Herbicide_Data!$A$1:$L$17,9)</f>
        <v>#N/A</v>
      </c>
      <c r="X49" s="62" t="e">
        <f>VLOOKUP($V49,Herbicide_Data!$A$1:$L$17,12)</f>
        <v>#N/A</v>
      </c>
      <c r="Y49" s="16" t="e">
        <f t="shared" si="4"/>
        <v>#N/A</v>
      </c>
      <c r="Z49" s="15"/>
      <c r="AA49" s="13"/>
      <c r="AB49" s="17"/>
      <c r="AC49" s="3"/>
      <c r="AD49" s="10"/>
      <c r="AE49" s="3"/>
      <c r="AF49" s="10"/>
      <c r="AG49" s="15"/>
      <c r="AH49" s="62" t="str">
        <f t="shared" si="12"/>
        <v>Surfactant</v>
      </c>
      <c r="AI49" s="62">
        <f>VLOOKUP($AH49,Herbicide_Data!$A$1:$Q$61,13)</f>
        <v>12.8</v>
      </c>
      <c r="AJ49" s="16">
        <f t="shared" si="6"/>
        <v>1.9100091827364556</v>
      </c>
      <c r="AK49" s="3"/>
      <c r="AL49" s="3"/>
      <c r="AM49" s="3"/>
      <c r="AN49" s="3"/>
      <c r="AO49" s="3"/>
      <c r="AP49" s="3"/>
      <c r="AQ49" s="18"/>
      <c r="AR49" s="19"/>
      <c r="AS49" s="19"/>
      <c r="AT49" s="20"/>
      <c r="AU49" s="20"/>
      <c r="AV49" s="21"/>
      <c r="AW49" s="22"/>
      <c r="AX49" s="19"/>
      <c r="AY49" s="19"/>
      <c r="AZ49" s="19"/>
      <c r="BA49" s="23"/>
      <c r="BB49" s="19"/>
      <c r="BC49" s="19"/>
      <c r="BD49" s="19"/>
    </row>
    <row r="50" spans="1:56" ht="72">
      <c r="A50" s="13" t="s">
        <v>86</v>
      </c>
      <c r="B50" s="11">
        <v>45781</v>
      </c>
      <c r="C50" s="12">
        <v>0.54166666666666663</v>
      </c>
      <c r="D50" s="12">
        <f t="shared" si="0"/>
        <v>0.56249996666666657</v>
      </c>
      <c r="E50" s="10" t="s">
        <v>86</v>
      </c>
      <c r="F50" s="10">
        <f>IFERROR(VLOOKUP(E50,Data!A$2:B$5,2,TRUE), "")</f>
        <v>48182</v>
      </c>
      <c r="G50" s="3" t="s">
        <v>582</v>
      </c>
      <c r="H50" s="13">
        <f>IFERROR(VLOOKUP(A50,Customer_Data!$A$1:$P$114,8,TRUE),"")</f>
        <v>5361</v>
      </c>
      <c r="I50" s="13"/>
      <c r="J50" s="3" t="str">
        <f t="shared" si="7"/>
        <v/>
      </c>
      <c r="K50" s="62" t="e">
        <f>(VLOOKUP($J50,Herbicide_Data!$A$1:$L$61,9,TRUE))</f>
        <v>#N/A</v>
      </c>
      <c r="L50" s="62" t="e">
        <f>VLOOKUP($J50,Herbicide_Data!$A$1:$L$61,12,TRUE)</f>
        <v>#N/A</v>
      </c>
      <c r="M50" s="16" t="e">
        <f t="shared" si="1"/>
        <v>#N/A</v>
      </c>
      <c r="N50" s="62" t="str">
        <f t="shared" si="8"/>
        <v>Triplet SF (3-Way) 228-312</v>
      </c>
      <c r="O50" s="63" t="str">
        <f>VLOOKUP($N50,Herbicide_Data!$A$1:$L$61,9)</f>
        <v>2,4-D, dimethylamine salt; Dicamba, dimethylamine salt;Mecoprop-p (MCPP-p), dimethylamine salt</v>
      </c>
      <c r="P50" s="62">
        <f>VLOOKUP($N50,Herbicide_Data!$A$1:$P$61,13)</f>
        <v>24</v>
      </c>
      <c r="Q50" s="16">
        <f t="shared" si="2"/>
        <v>2.9537190082644629</v>
      </c>
      <c r="R50" s="62" t="str">
        <f t="shared" si="9"/>
        <v>Certinty Turf 59639-226</v>
      </c>
      <c r="S50" s="63" t="str">
        <f>VLOOKUP($R50,Herbicide_Data!$A$1:$L$61,9)</f>
        <v>Sulfosulfuron</v>
      </c>
      <c r="T50" s="62">
        <f>VLOOKUP($R50,Herbicide_Data!$A$1:$Q$61,13)</f>
        <v>0</v>
      </c>
      <c r="U50" s="16">
        <f t="shared" si="3"/>
        <v>0</v>
      </c>
      <c r="V50" s="62" t="b">
        <f t="shared" si="10"/>
        <v>0</v>
      </c>
      <c r="W50" s="63" t="e">
        <f>VLOOKUP($V50,Herbicide_Data!$A$1:$L$17,9)</f>
        <v>#N/A</v>
      </c>
      <c r="X50" s="62" t="e">
        <f>VLOOKUP($V50,Herbicide_Data!$A$1:$L$17,12)</f>
        <v>#N/A</v>
      </c>
      <c r="Y50" s="16" t="e">
        <f t="shared" si="4"/>
        <v>#N/A</v>
      </c>
      <c r="Z50" s="15"/>
      <c r="AA50" s="13"/>
      <c r="AB50" s="17"/>
      <c r="AC50" s="3"/>
      <c r="AD50" s="10"/>
      <c r="AE50" s="3"/>
      <c r="AF50" s="10"/>
      <c r="AG50" s="15"/>
      <c r="AH50" s="62" t="str">
        <f t="shared" si="12"/>
        <v>Surfactant</v>
      </c>
      <c r="AI50" s="62">
        <f>VLOOKUP($AH50,Herbicide_Data!$A$1:$Q$61,13)</f>
        <v>12.8</v>
      </c>
      <c r="AJ50" s="16">
        <f t="shared" si="6"/>
        <v>1.5753168044077137</v>
      </c>
      <c r="AK50" s="3"/>
      <c r="AL50" s="3"/>
      <c r="AM50" s="3"/>
      <c r="AN50" s="3"/>
      <c r="AO50" s="3"/>
      <c r="AP50" s="3"/>
      <c r="AQ50" s="18"/>
      <c r="AR50" s="19"/>
      <c r="AS50" s="19"/>
      <c r="AT50" s="20"/>
      <c r="AU50" s="20"/>
      <c r="AV50" s="21"/>
      <c r="AW50" s="22"/>
      <c r="AX50" s="19"/>
      <c r="AY50" s="19"/>
      <c r="AZ50" s="19"/>
      <c r="BA50" s="23"/>
      <c r="BB50" s="19"/>
      <c r="BC50" s="19"/>
      <c r="BD50" s="19"/>
    </row>
    <row r="51" spans="1:56">
      <c r="A51" s="13" t="s">
        <v>394</v>
      </c>
      <c r="B51" s="11">
        <v>45801</v>
      </c>
      <c r="C51" s="12">
        <f t="shared" ref="C51:C103" ca="1" si="13">IF(ISBLANK($A51),"",NOW()-TODAY())</f>
        <v>0.63285474536678521</v>
      </c>
      <c r="D51" s="12">
        <f t="shared" ca="1" si="0"/>
        <v>0.65368804536678526</v>
      </c>
      <c r="E51" s="10" t="s">
        <v>85</v>
      </c>
      <c r="F51" s="10">
        <f>IFERROR(VLOOKUP(E51,Data!A$2:B$5,2,TRUE), "")</f>
        <v>48160</v>
      </c>
      <c r="G51" s="3" t="s">
        <v>98</v>
      </c>
      <c r="H51" s="13">
        <f>IFERROR(VLOOKUP(A51,Customer_Data!$A$1:$P$114,8,TRUE),"")</f>
        <v>3100</v>
      </c>
      <c r="I51" s="13"/>
      <c r="J51" s="3" t="str">
        <f t="shared" si="7"/>
        <v>Harrell's 34-0-5</v>
      </c>
      <c r="K51" s="62" t="str">
        <f>(VLOOKUP($J51,Herbicide_Data!$A$1:$L$61,9,TRUE))</f>
        <v>Nitrogen</v>
      </c>
      <c r="L51" s="62">
        <f>VLOOKUP($J51,Herbicide_Data!$A$1:$L$61,12,TRUE)</f>
        <v>2.94</v>
      </c>
      <c r="M51" s="16">
        <f t="shared" si="1"/>
        <v>0.20922865013774106</v>
      </c>
      <c r="N51" s="62" t="str">
        <f t="shared" si="8"/>
        <v/>
      </c>
      <c r="O51" s="63" t="e">
        <f>VLOOKUP($N51,Herbicide_Data!$A$1:$L$61,9)</f>
        <v>#N/A</v>
      </c>
      <c r="P51" s="62" t="e">
        <f>VLOOKUP($N51,Herbicide_Data!$A$1:$P$61,13)</f>
        <v>#N/A</v>
      </c>
      <c r="Q51" s="16" t="e">
        <f t="shared" si="2"/>
        <v>#N/A</v>
      </c>
      <c r="R51" s="62" t="str">
        <f t="shared" si="9"/>
        <v/>
      </c>
      <c r="S51" s="63" t="e">
        <f>VLOOKUP($R51,Herbicide_Data!$A$1:$L$61,9)</f>
        <v>#N/A</v>
      </c>
      <c r="T51" s="62" t="e">
        <f>VLOOKUP($R51,Herbicide_Data!$A$1:$Q$61,13)</f>
        <v>#N/A</v>
      </c>
      <c r="U51" s="16" t="e">
        <f t="shared" si="3"/>
        <v>#N/A</v>
      </c>
      <c r="V51" s="62" t="b">
        <f t="shared" si="10"/>
        <v>0</v>
      </c>
      <c r="W51" s="63" t="e">
        <f>VLOOKUP($V51,Herbicide_Data!$A$1:$L$17,9)</f>
        <v>#N/A</v>
      </c>
      <c r="X51" s="62" t="e">
        <f>VLOOKUP($V51,Herbicide_Data!$A$1:$L$17,12)</f>
        <v>#N/A</v>
      </c>
      <c r="Y51" s="16" t="e">
        <f t="shared" si="4"/>
        <v>#N/A</v>
      </c>
      <c r="Z51" s="15"/>
      <c r="AA51" s="13"/>
      <c r="AB51" s="17"/>
      <c r="AC51" s="3"/>
      <c r="AD51" s="10"/>
      <c r="AE51" s="3"/>
      <c r="AF51" s="10"/>
      <c r="AG51" s="15"/>
      <c r="AH51" s="62" t="str">
        <f t="shared" si="12"/>
        <v/>
      </c>
      <c r="AI51" s="62" t="e">
        <f>VLOOKUP($AH51,Herbicide_Data!$A$1:$Q$61,13)</f>
        <v>#N/A</v>
      </c>
      <c r="AJ51" s="16" t="e">
        <f t="shared" si="6"/>
        <v>#N/A</v>
      </c>
      <c r="AK51" s="3"/>
      <c r="AL51" s="3"/>
      <c r="AM51" s="3"/>
      <c r="AN51" s="3"/>
      <c r="AO51" s="3"/>
      <c r="AP51" s="3"/>
      <c r="AQ51" s="18"/>
      <c r="AR51" s="19"/>
      <c r="AS51" s="19"/>
      <c r="AT51" s="20"/>
      <c r="AU51" s="20"/>
      <c r="AV51" s="21"/>
      <c r="AW51" s="22"/>
      <c r="AX51" s="19"/>
      <c r="AY51" s="19"/>
      <c r="AZ51" s="19"/>
      <c r="BA51" s="23"/>
      <c r="BB51" s="19"/>
      <c r="BC51" s="19"/>
      <c r="BD51" s="19"/>
    </row>
    <row r="52" spans="1:56">
      <c r="A52" s="13" t="s">
        <v>394</v>
      </c>
      <c r="B52" s="11">
        <v>45871</v>
      </c>
      <c r="C52" s="12">
        <v>0.4375</v>
      </c>
      <c r="D52" s="12">
        <f t="shared" si="0"/>
        <v>0.4583333</v>
      </c>
      <c r="E52" s="10" t="s">
        <v>85</v>
      </c>
      <c r="F52" s="10">
        <f>IFERROR(VLOOKUP(E52,Data!A$2:B$5,2,TRUE), "")</f>
        <v>48160</v>
      </c>
      <c r="G52" s="3" t="s">
        <v>98</v>
      </c>
      <c r="H52" s="13">
        <f>IFERROR(VLOOKUP(A52,Customer_Data!$A$1:$P$114,8,TRUE),"")</f>
        <v>3100</v>
      </c>
      <c r="I52" s="13"/>
      <c r="J52" s="3" t="str">
        <f t="shared" si="7"/>
        <v>Harrell's 34-0-5</v>
      </c>
      <c r="K52" s="62" t="str">
        <f>(VLOOKUP($J52,Herbicide_Data!$A$1:$L$61,9,TRUE))</f>
        <v>Nitrogen</v>
      </c>
      <c r="L52" s="62">
        <f>VLOOKUP($J52,Herbicide_Data!$A$1:$L$61,12,TRUE)</f>
        <v>2.94</v>
      </c>
      <c r="M52" s="16">
        <f t="shared" si="1"/>
        <v>0.20922865013774106</v>
      </c>
      <c r="N52" s="62" t="str">
        <f t="shared" si="8"/>
        <v/>
      </c>
      <c r="O52" s="63" t="e">
        <f>VLOOKUP($N52,Herbicide_Data!$A$1:$L$61,9)</f>
        <v>#N/A</v>
      </c>
      <c r="P52" s="62" t="e">
        <f>VLOOKUP($N52,Herbicide_Data!$A$1:$P$61,13)</f>
        <v>#N/A</v>
      </c>
      <c r="Q52" s="16" t="e">
        <f t="shared" si="2"/>
        <v>#N/A</v>
      </c>
      <c r="R52" s="62" t="str">
        <f t="shared" si="9"/>
        <v/>
      </c>
      <c r="S52" s="63" t="e">
        <f>VLOOKUP($R52,Herbicide_Data!$A$1:$L$61,9)</f>
        <v>#N/A</v>
      </c>
      <c r="T52" s="62" t="e">
        <f>VLOOKUP($R52,Herbicide_Data!$A$1:$Q$61,13)</f>
        <v>#N/A</v>
      </c>
      <c r="U52" s="16" t="e">
        <f t="shared" si="3"/>
        <v>#N/A</v>
      </c>
      <c r="V52" s="62" t="b">
        <f t="shared" si="10"/>
        <v>0</v>
      </c>
      <c r="W52" s="63" t="e">
        <f>VLOOKUP($V52,Herbicide_Data!$A$1:$L$17,9)</f>
        <v>#N/A</v>
      </c>
      <c r="X52" s="62" t="e">
        <f>VLOOKUP($V52,Herbicide_Data!$A$1:$L$17,12)</f>
        <v>#N/A</v>
      </c>
      <c r="Y52" s="16" t="e">
        <f t="shared" si="4"/>
        <v>#N/A</v>
      </c>
      <c r="Z52" s="15"/>
      <c r="AA52" s="13"/>
      <c r="AB52" s="17"/>
      <c r="AC52" s="3"/>
      <c r="AD52" s="10"/>
      <c r="AE52" s="3"/>
      <c r="AF52" s="10"/>
      <c r="AG52" s="15"/>
      <c r="AH52" s="62" t="str">
        <f t="shared" si="12"/>
        <v/>
      </c>
      <c r="AI52" s="62" t="e">
        <f>VLOOKUP($AH52,Herbicide_Data!$A$1:$Q$61,13)</f>
        <v>#N/A</v>
      </c>
      <c r="AJ52" s="16" t="e">
        <f t="shared" si="6"/>
        <v>#N/A</v>
      </c>
      <c r="AK52" s="3"/>
      <c r="AL52" s="3"/>
      <c r="AM52" s="3"/>
      <c r="AN52" s="3"/>
      <c r="AO52" s="3"/>
      <c r="AP52" s="3"/>
      <c r="AQ52" s="18"/>
      <c r="AR52" s="19"/>
      <c r="AS52" s="19"/>
      <c r="AT52" s="20"/>
      <c r="AU52" s="20"/>
      <c r="AV52" s="21"/>
      <c r="AW52" s="22"/>
      <c r="AX52" s="19"/>
      <c r="AY52" s="19"/>
      <c r="AZ52" s="19"/>
      <c r="BA52" s="23"/>
      <c r="BB52" s="19"/>
      <c r="BC52" s="19"/>
      <c r="BD52" s="19"/>
    </row>
    <row r="53" spans="1:56" ht="72">
      <c r="A53" s="13" t="s">
        <v>394</v>
      </c>
      <c r="B53" s="11">
        <v>45956</v>
      </c>
      <c r="C53" s="12">
        <f t="shared" ca="1" si="13"/>
        <v>0.63285474536678521</v>
      </c>
      <c r="D53" s="12">
        <f t="shared" ca="1" si="0"/>
        <v>0.65368804536678526</v>
      </c>
      <c r="E53" s="10" t="s">
        <v>85</v>
      </c>
      <c r="F53" s="10">
        <f>IFERROR(VLOOKUP(E53,Data!A$2:B$5,2,TRUE), "")</f>
        <v>48160</v>
      </c>
      <c r="G53" s="3" t="s">
        <v>378</v>
      </c>
      <c r="H53" s="13">
        <f>IFERROR(VLOOKUP(A53,Customer_Data!$A$1:$P$114,8,TRUE),"")</f>
        <v>3100</v>
      </c>
      <c r="I53" s="13"/>
      <c r="J53" s="3" t="str">
        <f t="shared" si="7"/>
        <v>Princep Liquid (100-526)</v>
      </c>
      <c r="K53" s="62" t="str">
        <f>(VLOOKUP($J53,Herbicide_Data!$A$1:$L$61,9,TRUE))</f>
        <v>Simazine</v>
      </c>
      <c r="L53" s="62">
        <f>VLOOKUP($J53,Herbicide_Data!$A$1:$L$61,12,TRUE)</f>
        <v>32</v>
      </c>
      <c r="M53" s="16">
        <f t="shared" si="1"/>
        <v>2.2773186409550048</v>
      </c>
      <c r="N53" s="62" t="str">
        <f t="shared" si="8"/>
        <v>Triplet SF (3-Way) 228-312</v>
      </c>
      <c r="O53" s="63" t="str">
        <f>VLOOKUP($N53,Herbicide_Data!$A$1:$L$61,9)</f>
        <v>2,4-D, dimethylamine salt; Dicamba, dimethylamine salt;Mecoprop-p (MCPP-p), dimethylamine salt</v>
      </c>
      <c r="P53" s="62">
        <f>VLOOKUP($N53,Herbicide_Data!$A$1:$P$61,13)</f>
        <v>24</v>
      </c>
      <c r="Q53" s="16">
        <f t="shared" si="2"/>
        <v>1.7079889807162536</v>
      </c>
      <c r="R53" s="62" t="str">
        <f t="shared" si="9"/>
        <v>Resolute 4Fl (100-1139)</v>
      </c>
      <c r="S53" s="63" t="str">
        <f>VLOOKUP($R53,Herbicide_Data!$A$1:$L$61,9)</f>
        <v>Prodiamine</v>
      </c>
      <c r="T53" s="62">
        <f>VLOOKUP($R53,Herbicide_Data!$A$1:$Q$61,13)</f>
        <v>16</v>
      </c>
      <c r="U53" s="16">
        <f t="shared" si="3"/>
        <v>1.1386593204775024</v>
      </c>
      <c r="V53" s="62" t="b">
        <f t="shared" si="10"/>
        <v>0</v>
      </c>
      <c r="W53" s="63" t="e">
        <f>VLOOKUP($V53,Herbicide_Data!$A$1:$L$17,9)</f>
        <v>#N/A</v>
      </c>
      <c r="X53" s="62" t="e">
        <f>VLOOKUP($V53,Herbicide_Data!$A$1:$L$17,12)</f>
        <v>#N/A</v>
      </c>
      <c r="Y53" s="16" t="e">
        <f t="shared" si="4"/>
        <v>#N/A</v>
      </c>
      <c r="Z53" s="15"/>
      <c r="AA53" s="13"/>
      <c r="AB53" s="17"/>
      <c r="AC53" s="3"/>
      <c r="AD53" s="10"/>
      <c r="AE53" s="3"/>
      <c r="AF53" s="10"/>
      <c r="AG53" s="15"/>
      <c r="AH53" s="62" t="str">
        <f t="shared" si="12"/>
        <v/>
      </c>
      <c r="AI53" s="62" t="e">
        <f>VLOOKUP($AH53,Herbicide_Data!$A$1:$Q$61,13)</f>
        <v>#N/A</v>
      </c>
      <c r="AJ53" s="16" t="e">
        <f t="shared" si="6"/>
        <v>#N/A</v>
      </c>
      <c r="AK53" s="3"/>
      <c r="AL53" s="3"/>
      <c r="AM53" s="3"/>
      <c r="AN53" s="3"/>
      <c r="AO53" s="3"/>
      <c r="AP53" s="3"/>
      <c r="AQ53" s="18"/>
      <c r="AR53" s="19"/>
      <c r="AS53" s="19"/>
      <c r="AT53" s="20"/>
      <c r="AU53" s="20"/>
      <c r="AV53" s="21"/>
      <c r="AW53" s="22"/>
      <c r="AX53" s="19"/>
      <c r="AY53" s="19"/>
      <c r="AZ53" s="19"/>
      <c r="BA53" s="23"/>
      <c r="BB53" s="19"/>
      <c r="BC53" s="19"/>
      <c r="BD53" s="19"/>
    </row>
    <row r="54" spans="1:56">
      <c r="A54" s="13" t="s">
        <v>382</v>
      </c>
      <c r="B54" s="11">
        <v>45801</v>
      </c>
      <c r="C54" s="12">
        <f t="shared" ca="1" si="13"/>
        <v>0.63285474536678521</v>
      </c>
      <c r="D54" s="12">
        <f t="shared" ca="1" si="0"/>
        <v>0.65368804536678526</v>
      </c>
      <c r="E54" s="10" t="s">
        <v>86</v>
      </c>
      <c r="F54" s="10">
        <f>IFERROR(VLOOKUP(E54,Data!A$2:B$5,2,TRUE), "")</f>
        <v>48182</v>
      </c>
      <c r="G54" s="3" t="s">
        <v>98</v>
      </c>
      <c r="H54" s="13">
        <f>IFERROR(VLOOKUP(A54,Customer_Data!$A$1:$P$114,8,TRUE),"")</f>
        <v>1800</v>
      </c>
      <c r="I54" s="13"/>
      <c r="J54" s="3" t="str">
        <f t="shared" si="7"/>
        <v>Harrell's 34-0-5</v>
      </c>
      <c r="K54" s="62" t="str">
        <f>(VLOOKUP($J54,Herbicide_Data!$A$1:$L$61,9,TRUE))</f>
        <v>Nitrogen</v>
      </c>
      <c r="L54" s="62">
        <f>VLOOKUP($J54,Herbicide_Data!$A$1:$L$61,12,TRUE)</f>
        <v>2.94</v>
      </c>
      <c r="M54" s="16">
        <f t="shared" si="1"/>
        <v>0.12148760330578512</v>
      </c>
      <c r="N54" s="62" t="str">
        <f t="shared" si="8"/>
        <v/>
      </c>
      <c r="O54" s="63" t="e">
        <f>VLOOKUP($N54,Herbicide_Data!$A$1:$L$61,9)</f>
        <v>#N/A</v>
      </c>
      <c r="P54" s="62" t="e">
        <f>VLOOKUP($N54,Herbicide_Data!$A$1:$P$61,13)</f>
        <v>#N/A</v>
      </c>
      <c r="Q54" s="16" t="e">
        <f t="shared" si="2"/>
        <v>#N/A</v>
      </c>
      <c r="R54" s="62" t="str">
        <f t="shared" si="9"/>
        <v/>
      </c>
      <c r="S54" s="63" t="e">
        <f>VLOOKUP($R54,Herbicide_Data!$A$1:$L$61,9)</f>
        <v>#N/A</v>
      </c>
      <c r="T54" s="62" t="e">
        <f>VLOOKUP($R54,Herbicide_Data!$A$1:$Q$61,13)</f>
        <v>#N/A</v>
      </c>
      <c r="U54" s="16" t="e">
        <f t="shared" si="3"/>
        <v>#N/A</v>
      </c>
      <c r="V54" s="62" t="b">
        <f t="shared" si="10"/>
        <v>0</v>
      </c>
      <c r="W54" s="63" t="e">
        <f>VLOOKUP($V54,Herbicide_Data!$A$1:$L$17,9)</f>
        <v>#N/A</v>
      </c>
      <c r="X54" s="62" t="e">
        <f>VLOOKUP($V54,Herbicide_Data!$A$1:$L$17,12)</f>
        <v>#N/A</v>
      </c>
      <c r="Y54" s="16" t="e">
        <f t="shared" si="4"/>
        <v>#N/A</v>
      </c>
      <c r="Z54" s="15"/>
      <c r="AA54" s="13"/>
      <c r="AB54" s="17"/>
      <c r="AC54" s="3"/>
      <c r="AD54" s="10"/>
      <c r="AE54" s="3"/>
      <c r="AF54" s="10"/>
      <c r="AG54" s="15"/>
      <c r="AH54" s="62" t="str">
        <f t="shared" si="12"/>
        <v/>
      </c>
      <c r="AI54" s="62" t="e">
        <f>VLOOKUP($AH54,Herbicide_Data!$A$1:$Q$61,13)</f>
        <v>#N/A</v>
      </c>
      <c r="AJ54" s="16" t="e">
        <f t="shared" si="6"/>
        <v>#N/A</v>
      </c>
      <c r="AK54" s="3"/>
      <c r="AL54" s="3"/>
      <c r="AM54" s="3"/>
      <c r="AN54" s="3"/>
      <c r="AO54" s="3"/>
      <c r="AP54" s="3"/>
      <c r="AQ54" s="18"/>
      <c r="AR54" s="19"/>
      <c r="AS54" s="19"/>
      <c r="AT54" s="20"/>
      <c r="AU54" s="20"/>
      <c r="AV54" s="21"/>
      <c r="AW54" s="22"/>
      <c r="AX54" s="19"/>
      <c r="AY54" s="19"/>
      <c r="AZ54" s="19"/>
      <c r="BA54" s="23"/>
      <c r="BB54" s="19"/>
      <c r="BC54" s="19"/>
      <c r="BD54" s="19"/>
    </row>
    <row r="55" spans="1:56">
      <c r="A55" s="13" t="s">
        <v>382</v>
      </c>
      <c r="B55" s="11">
        <v>45871</v>
      </c>
      <c r="C55" s="12">
        <v>0.5</v>
      </c>
      <c r="D55" s="12">
        <f t="shared" si="0"/>
        <v>0.52083330000000005</v>
      </c>
      <c r="E55" s="10" t="s">
        <v>85</v>
      </c>
      <c r="F55" s="10">
        <f>IFERROR(VLOOKUP(E55,Data!A$2:B$5,2,TRUE), "")</f>
        <v>48160</v>
      </c>
      <c r="G55" s="3" t="s">
        <v>98</v>
      </c>
      <c r="H55" s="13">
        <f>IFERROR(VLOOKUP(A55,Customer_Data!$A$1:$P$114,8,TRUE),"")</f>
        <v>1800</v>
      </c>
      <c r="I55" s="13"/>
      <c r="J55" s="3" t="str">
        <f t="shared" si="7"/>
        <v>Harrell's 34-0-5</v>
      </c>
      <c r="K55" s="62" t="str">
        <f>(VLOOKUP($J55,Herbicide_Data!$A$1:$L$61,9,TRUE))</f>
        <v>Nitrogen</v>
      </c>
      <c r="L55" s="62">
        <f>VLOOKUP($J55,Herbicide_Data!$A$1:$L$61,12,TRUE)</f>
        <v>2.94</v>
      </c>
      <c r="M55" s="16">
        <f t="shared" si="1"/>
        <v>0.12148760330578512</v>
      </c>
      <c r="N55" s="62" t="str">
        <f t="shared" si="8"/>
        <v/>
      </c>
      <c r="O55" s="63" t="e">
        <f>VLOOKUP($N55,Herbicide_Data!$A$1:$L$61,9)</f>
        <v>#N/A</v>
      </c>
      <c r="P55" s="62" t="e">
        <f>VLOOKUP($N55,Herbicide_Data!$A$1:$P$61,13)</f>
        <v>#N/A</v>
      </c>
      <c r="Q55" s="16" t="e">
        <f t="shared" si="2"/>
        <v>#N/A</v>
      </c>
      <c r="R55" s="62" t="str">
        <f t="shared" si="9"/>
        <v/>
      </c>
      <c r="S55" s="63" t="e">
        <f>VLOOKUP($R55,Herbicide_Data!$A$1:$L$61,9)</f>
        <v>#N/A</v>
      </c>
      <c r="T55" s="62" t="e">
        <f>VLOOKUP($R55,Herbicide_Data!$A$1:$Q$61,13)</f>
        <v>#N/A</v>
      </c>
      <c r="U55" s="16" t="e">
        <f t="shared" si="3"/>
        <v>#N/A</v>
      </c>
      <c r="V55" s="62" t="b">
        <f t="shared" si="10"/>
        <v>0</v>
      </c>
      <c r="W55" s="63" t="e">
        <f>VLOOKUP($V55,Herbicide_Data!$A$1:$L$17,9)</f>
        <v>#N/A</v>
      </c>
      <c r="X55" s="62" t="e">
        <f>VLOOKUP($V55,Herbicide_Data!$A$1:$L$17,12)</f>
        <v>#N/A</v>
      </c>
      <c r="Y55" s="16" t="e">
        <f t="shared" si="4"/>
        <v>#N/A</v>
      </c>
      <c r="Z55" s="15"/>
      <c r="AA55" s="13"/>
      <c r="AB55" s="17"/>
      <c r="AC55" s="3"/>
      <c r="AD55" s="10"/>
      <c r="AE55" s="3"/>
      <c r="AF55" s="10"/>
      <c r="AG55" s="15"/>
      <c r="AH55" s="62" t="str">
        <f t="shared" si="12"/>
        <v/>
      </c>
      <c r="AI55" s="62" t="e">
        <f>VLOOKUP($AH55,Herbicide_Data!$A$1:$Q$61,13)</f>
        <v>#N/A</v>
      </c>
      <c r="AJ55" s="16" t="e">
        <f t="shared" si="6"/>
        <v>#N/A</v>
      </c>
      <c r="AK55" s="3"/>
      <c r="AL55" s="3"/>
      <c r="AM55" s="3"/>
      <c r="AN55" s="3"/>
      <c r="AO55" s="3"/>
      <c r="AP55" s="3"/>
      <c r="AQ55" s="18"/>
      <c r="AR55" s="19"/>
      <c r="AS55" s="19"/>
      <c r="AT55" s="20"/>
      <c r="AU55" s="20"/>
      <c r="AV55" s="21"/>
      <c r="AW55" s="22"/>
      <c r="AX55" s="19"/>
      <c r="AY55" s="19"/>
      <c r="AZ55" s="19"/>
      <c r="BA55" s="23"/>
      <c r="BB55" s="19"/>
      <c r="BC55" s="19"/>
      <c r="BD55" s="19"/>
    </row>
    <row r="56" spans="1:56" ht="72">
      <c r="A56" s="13" t="s">
        <v>382</v>
      </c>
      <c r="B56" s="11">
        <v>45948</v>
      </c>
      <c r="C56" s="12">
        <v>0.375</v>
      </c>
      <c r="D56" s="12">
        <f t="shared" si="0"/>
        <v>0.3958333</v>
      </c>
      <c r="E56" s="10" t="s">
        <v>85</v>
      </c>
      <c r="F56" s="10">
        <f>IFERROR(VLOOKUP(E56,Data!A$2:B$5,2,TRUE), "")</f>
        <v>48160</v>
      </c>
      <c r="G56" s="3" t="s">
        <v>378</v>
      </c>
      <c r="H56" s="13">
        <f>IFERROR(VLOOKUP(A56,Customer_Data!$A$1:$P$114,8,TRUE),"")</f>
        <v>1800</v>
      </c>
      <c r="I56" s="13"/>
      <c r="J56" s="3" t="str">
        <f t="shared" si="7"/>
        <v>Princep Liquid (100-526)</v>
      </c>
      <c r="K56" s="62" t="str">
        <f>(VLOOKUP($J56,Herbicide_Data!$A$1:$L$61,9,TRUE))</f>
        <v>Simazine</v>
      </c>
      <c r="L56" s="62">
        <f>VLOOKUP($J56,Herbicide_Data!$A$1:$L$61,12,TRUE)</f>
        <v>32</v>
      </c>
      <c r="M56" s="16">
        <f t="shared" si="1"/>
        <v>1.3223140495867769</v>
      </c>
      <c r="N56" s="62" t="str">
        <f t="shared" si="8"/>
        <v>Triplet SF (3-Way) 228-312</v>
      </c>
      <c r="O56" s="63" t="str">
        <f>VLOOKUP($N56,Herbicide_Data!$A$1:$L$61,9)</f>
        <v>2,4-D, dimethylamine salt; Dicamba, dimethylamine salt;Mecoprop-p (MCPP-p), dimethylamine salt</v>
      </c>
      <c r="P56" s="62">
        <f>VLOOKUP($N56,Herbicide_Data!$A$1:$P$61,13)</f>
        <v>24</v>
      </c>
      <c r="Q56" s="16">
        <f t="shared" si="2"/>
        <v>0.99173553719008267</v>
      </c>
      <c r="R56" s="62" t="str">
        <f t="shared" si="9"/>
        <v>Resolute 4Fl (100-1139)</v>
      </c>
      <c r="S56" s="63" t="str">
        <f>VLOOKUP($R56,Herbicide_Data!$A$1:$L$61,9)</f>
        <v>Prodiamine</v>
      </c>
      <c r="T56" s="62">
        <f>VLOOKUP($R56,Herbicide_Data!$A$1:$Q$61,13)</f>
        <v>16</v>
      </c>
      <c r="U56" s="16">
        <f t="shared" si="3"/>
        <v>0.66115702479338845</v>
      </c>
      <c r="V56" s="62" t="b">
        <f t="shared" si="10"/>
        <v>0</v>
      </c>
      <c r="W56" s="63" t="e">
        <f>VLOOKUP($V56,Herbicide_Data!$A$1:$L$17,9)</f>
        <v>#N/A</v>
      </c>
      <c r="X56" s="62" t="e">
        <f>VLOOKUP($V56,Herbicide_Data!$A$1:$L$17,12)</f>
        <v>#N/A</v>
      </c>
      <c r="Y56" s="16" t="e">
        <f t="shared" si="4"/>
        <v>#N/A</v>
      </c>
      <c r="Z56" s="15"/>
      <c r="AA56" s="13"/>
      <c r="AB56" s="17"/>
      <c r="AC56" s="3"/>
      <c r="AD56" s="10"/>
      <c r="AE56" s="3"/>
      <c r="AF56" s="10"/>
      <c r="AG56" s="15"/>
      <c r="AH56" s="62" t="str">
        <f t="shared" si="12"/>
        <v/>
      </c>
      <c r="AI56" s="62" t="e">
        <f>VLOOKUP($AH56,Herbicide_Data!$A$1:$Q$61,13)</f>
        <v>#N/A</v>
      </c>
      <c r="AJ56" s="16" t="e">
        <f t="shared" si="6"/>
        <v>#N/A</v>
      </c>
      <c r="AK56" s="3"/>
      <c r="AL56" s="3"/>
      <c r="AM56" s="3"/>
      <c r="AN56" s="3"/>
      <c r="AO56" s="3"/>
      <c r="AP56" s="3"/>
      <c r="AQ56" s="18"/>
      <c r="AR56" s="19"/>
      <c r="AS56" s="19"/>
      <c r="AT56" s="20"/>
      <c r="AU56" s="20"/>
      <c r="AV56" s="21"/>
      <c r="AW56" s="22"/>
      <c r="AX56" s="19"/>
      <c r="AY56" s="19"/>
      <c r="AZ56" s="19"/>
      <c r="BA56" s="23"/>
      <c r="BB56" s="19"/>
      <c r="BC56" s="19"/>
      <c r="BD56" s="19"/>
    </row>
    <row r="57" spans="1:56">
      <c r="A57" s="13" t="s">
        <v>379</v>
      </c>
      <c r="B57" s="11">
        <v>45801</v>
      </c>
      <c r="C57" s="12">
        <f t="shared" ca="1" si="13"/>
        <v>0.63285474536678521</v>
      </c>
      <c r="D57" s="12">
        <f t="shared" ca="1" si="0"/>
        <v>0.65368804536678526</v>
      </c>
      <c r="E57" s="10" t="s">
        <v>86</v>
      </c>
      <c r="F57" s="10">
        <f>IFERROR(VLOOKUP(E57,Data!A$2:B$5,2,TRUE), "")</f>
        <v>48182</v>
      </c>
      <c r="G57" s="3" t="s">
        <v>98</v>
      </c>
      <c r="H57" s="13">
        <f>IFERROR(VLOOKUP(A57,Customer_Data!$A$1:$P$114,8,TRUE),"")</f>
        <v>3687</v>
      </c>
      <c r="I57" s="13"/>
      <c r="J57" s="3" t="str">
        <f t="shared" si="7"/>
        <v>Harrell's 34-0-5</v>
      </c>
      <c r="K57" s="62" t="str">
        <f>(VLOOKUP($J57,Herbicide_Data!$A$1:$L$61,9,TRUE))</f>
        <v>Nitrogen</v>
      </c>
      <c r="L57" s="62">
        <f>VLOOKUP($J57,Herbicide_Data!$A$1:$L$61,12,TRUE)</f>
        <v>2.94</v>
      </c>
      <c r="M57" s="16">
        <f t="shared" si="1"/>
        <v>0.24884710743801652</v>
      </c>
      <c r="N57" s="62" t="str">
        <f t="shared" si="8"/>
        <v/>
      </c>
      <c r="O57" s="63" t="e">
        <f>VLOOKUP($N57,Herbicide_Data!$A$1:$L$61,9)</f>
        <v>#N/A</v>
      </c>
      <c r="P57" s="62" t="e">
        <f>VLOOKUP($N57,Herbicide_Data!$A$1:$P$61,13)</f>
        <v>#N/A</v>
      </c>
      <c r="Q57" s="16" t="e">
        <f t="shared" si="2"/>
        <v>#N/A</v>
      </c>
      <c r="R57" s="62" t="str">
        <f t="shared" si="9"/>
        <v/>
      </c>
      <c r="S57" s="63" t="e">
        <f>VLOOKUP($R57,Herbicide_Data!$A$1:$L$61,9)</f>
        <v>#N/A</v>
      </c>
      <c r="T57" s="62" t="e">
        <f>VLOOKUP($R57,Herbicide_Data!$A$1:$Q$61,13)</f>
        <v>#N/A</v>
      </c>
      <c r="U57" s="16" t="e">
        <f t="shared" si="3"/>
        <v>#N/A</v>
      </c>
      <c r="V57" s="62" t="b">
        <f t="shared" si="10"/>
        <v>0</v>
      </c>
      <c r="W57" s="63" t="e">
        <f>VLOOKUP($V57,Herbicide_Data!$A$1:$L$17,9)</f>
        <v>#N/A</v>
      </c>
      <c r="X57" s="62" t="e">
        <f>VLOOKUP($V57,Herbicide_Data!$A$1:$L$17,12)</f>
        <v>#N/A</v>
      </c>
      <c r="Y57" s="16" t="e">
        <f t="shared" si="4"/>
        <v>#N/A</v>
      </c>
      <c r="Z57" s="15"/>
      <c r="AA57" s="13"/>
      <c r="AB57" s="17"/>
      <c r="AC57" s="3"/>
      <c r="AD57" s="10"/>
      <c r="AE57" s="3"/>
      <c r="AF57" s="10"/>
      <c r="AG57" s="15"/>
      <c r="AH57" s="62" t="str">
        <f t="shared" si="12"/>
        <v/>
      </c>
      <c r="AI57" s="62" t="e">
        <f>VLOOKUP($AH57,Herbicide_Data!$A$1:$Q$61,13)</f>
        <v>#N/A</v>
      </c>
      <c r="AJ57" s="16" t="e">
        <f t="shared" si="6"/>
        <v>#N/A</v>
      </c>
      <c r="AK57" s="3"/>
      <c r="AL57" s="3"/>
      <c r="AM57" s="3"/>
      <c r="AN57" s="3"/>
      <c r="AO57" s="3"/>
      <c r="AP57" s="3"/>
      <c r="AQ57" s="18"/>
      <c r="AR57" s="19"/>
      <c r="AS57" s="19"/>
      <c r="AT57" s="20"/>
      <c r="AU57" s="20"/>
      <c r="AV57" s="21"/>
      <c r="AW57" s="22"/>
      <c r="AX57" s="19"/>
      <c r="AY57" s="19"/>
      <c r="AZ57" s="19"/>
      <c r="BA57" s="23"/>
      <c r="BB57" s="19"/>
      <c r="BC57" s="19"/>
      <c r="BD57" s="19"/>
    </row>
    <row r="58" spans="1:56">
      <c r="A58" s="13" t="s">
        <v>379</v>
      </c>
      <c r="B58" s="11">
        <v>45871</v>
      </c>
      <c r="C58" s="12">
        <v>0.66666666666666663</v>
      </c>
      <c r="D58" s="12">
        <f t="shared" si="0"/>
        <v>0.68749996666666657</v>
      </c>
      <c r="E58" s="10" t="s">
        <v>86</v>
      </c>
      <c r="F58" s="10">
        <f>IFERROR(VLOOKUP(E58,Data!A$2:B$5,2,TRUE), "")</f>
        <v>48182</v>
      </c>
      <c r="G58" s="3" t="s">
        <v>98</v>
      </c>
      <c r="H58" s="13">
        <f>IFERROR(VLOOKUP(A58,Customer_Data!$A$1:$P$114,8,TRUE),"")</f>
        <v>3687</v>
      </c>
      <c r="I58" s="13"/>
      <c r="J58" s="3" t="str">
        <f t="shared" si="7"/>
        <v>Harrell's 34-0-5</v>
      </c>
      <c r="K58" s="62" t="str">
        <f>(VLOOKUP($J58,Herbicide_Data!$A$1:$L$61,9,TRUE))</f>
        <v>Nitrogen</v>
      </c>
      <c r="L58" s="62">
        <f>VLOOKUP($J58,Herbicide_Data!$A$1:$L$61,12,TRUE)</f>
        <v>2.94</v>
      </c>
      <c r="M58" s="16">
        <f t="shared" si="1"/>
        <v>0.24884710743801652</v>
      </c>
      <c r="N58" s="62" t="str">
        <f t="shared" si="8"/>
        <v/>
      </c>
      <c r="O58" s="63" t="e">
        <f>VLOOKUP($N58,Herbicide_Data!$A$1:$L$61,9)</f>
        <v>#N/A</v>
      </c>
      <c r="P58" s="62" t="e">
        <f>VLOOKUP($N58,Herbicide_Data!$A$1:$P$61,13)</f>
        <v>#N/A</v>
      </c>
      <c r="Q58" s="16" t="e">
        <f t="shared" si="2"/>
        <v>#N/A</v>
      </c>
      <c r="R58" s="62" t="str">
        <f t="shared" si="9"/>
        <v/>
      </c>
      <c r="S58" s="63" t="e">
        <f>VLOOKUP($R58,Herbicide_Data!$A$1:$L$61,9)</f>
        <v>#N/A</v>
      </c>
      <c r="T58" s="62" t="e">
        <f>VLOOKUP($R58,Herbicide_Data!$A$1:$Q$61,13)</f>
        <v>#N/A</v>
      </c>
      <c r="U58" s="16" t="e">
        <f t="shared" si="3"/>
        <v>#N/A</v>
      </c>
      <c r="V58" s="62" t="b">
        <f t="shared" si="10"/>
        <v>0</v>
      </c>
      <c r="W58" s="63" t="e">
        <f>VLOOKUP($V58,Herbicide_Data!$A$1:$L$17,9)</f>
        <v>#N/A</v>
      </c>
      <c r="X58" s="62" t="e">
        <f>VLOOKUP($V58,Herbicide_Data!$A$1:$L$17,12)</f>
        <v>#N/A</v>
      </c>
      <c r="Y58" s="16" t="e">
        <f t="shared" si="4"/>
        <v>#N/A</v>
      </c>
      <c r="Z58" s="15"/>
      <c r="AA58" s="13"/>
      <c r="AB58" s="17"/>
      <c r="AC58" s="3"/>
      <c r="AD58" s="10"/>
      <c r="AE58" s="3"/>
      <c r="AF58" s="10"/>
      <c r="AG58" s="15"/>
      <c r="AH58" s="62" t="str">
        <f t="shared" si="12"/>
        <v/>
      </c>
      <c r="AI58" s="62" t="e">
        <f>VLOOKUP($AH58,Herbicide_Data!$A$1:$Q$61,13)</f>
        <v>#N/A</v>
      </c>
      <c r="AJ58" s="16" t="e">
        <f t="shared" si="6"/>
        <v>#N/A</v>
      </c>
      <c r="AK58" s="3"/>
      <c r="AL58" s="3"/>
      <c r="AM58" s="3"/>
      <c r="AN58" s="3"/>
      <c r="AO58" s="3"/>
      <c r="AP58" s="3"/>
      <c r="AQ58" s="18"/>
      <c r="AR58" s="19"/>
      <c r="AS58" s="19"/>
      <c r="AT58" s="20"/>
      <c r="AU58" s="20"/>
      <c r="AV58" s="21"/>
      <c r="AW58" s="22"/>
      <c r="AX58" s="19"/>
      <c r="AY58" s="19"/>
      <c r="AZ58" s="19"/>
      <c r="BA58" s="23"/>
      <c r="BB58" s="19"/>
      <c r="BC58" s="19"/>
      <c r="BD58" s="19"/>
    </row>
    <row r="59" spans="1:56" ht="72">
      <c r="A59" s="13" t="s">
        <v>379</v>
      </c>
      <c r="B59" s="11">
        <v>45948</v>
      </c>
      <c r="C59" s="12">
        <v>0.33333333333333331</v>
      </c>
      <c r="D59" s="12">
        <f t="shared" si="0"/>
        <v>0.35416663333333331</v>
      </c>
      <c r="E59" s="10" t="s">
        <v>85</v>
      </c>
      <c r="F59" s="10">
        <f>IFERROR(VLOOKUP(E59,Data!A$2:B$5,2,TRUE), "")</f>
        <v>48160</v>
      </c>
      <c r="G59" s="3" t="s">
        <v>378</v>
      </c>
      <c r="H59" s="13">
        <f>IFERROR(VLOOKUP(A59,Customer_Data!$A$1:$P$114,8,TRUE),"")</f>
        <v>3687</v>
      </c>
      <c r="I59" s="13"/>
      <c r="J59" s="3" t="str">
        <f t="shared" si="7"/>
        <v>Princep Liquid (100-526)</v>
      </c>
      <c r="K59" s="62" t="str">
        <f>(VLOOKUP($J59,Herbicide_Data!$A$1:$L$61,9,TRUE))</f>
        <v>Simazine</v>
      </c>
      <c r="L59" s="62">
        <f>VLOOKUP($J59,Herbicide_Data!$A$1:$L$61,12,TRUE)</f>
        <v>32</v>
      </c>
      <c r="M59" s="16">
        <f t="shared" si="1"/>
        <v>2.7085399449035812</v>
      </c>
      <c r="N59" s="62" t="str">
        <f t="shared" si="8"/>
        <v>Triplet SF (3-Way) 228-312</v>
      </c>
      <c r="O59" s="63" t="str">
        <f>VLOOKUP($N59,Herbicide_Data!$A$1:$L$61,9)</f>
        <v>2,4-D, dimethylamine salt; Dicamba, dimethylamine salt;Mecoprop-p (MCPP-p), dimethylamine salt</v>
      </c>
      <c r="P59" s="62">
        <f>VLOOKUP($N59,Herbicide_Data!$A$1:$P$61,13)</f>
        <v>24</v>
      </c>
      <c r="Q59" s="16">
        <f t="shared" si="2"/>
        <v>2.0314049586776859</v>
      </c>
      <c r="R59" s="62" t="str">
        <f t="shared" si="9"/>
        <v>Resolute 4Fl (100-1139)</v>
      </c>
      <c r="S59" s="63" t="str">
        <f>VLOOKUP($R59,Herbicide_Data!$A$1:$L$61,9)</f>
        <v>Prodiamine</v>
      </c>
      <c r="T59" s="62">
        <f>VLOOKUP($R59,Herbicide_Data!$A$1:$Q$61,13)</f>
        <v>16</v>
      </c>
      <c r="U59" s="16">
        <f t="shared" si="3"/>
        <v>1.3542699724517906</v>
      </c>
      <c r="V59" s="62" t="b">
        <f t="shared" si="10"/>
        <v>0</v>
      </c>
      <c r="W59" s="63" t="e">
        <f>VLOOKUP($V59,Herbicide_Data!$A$1:$L$17,9)</f>
        <v>#N/A</v>
      </c>
      <c r="X59" s="62" t="e">
        <f>VLOOKUP($V59,Herbicide_Data!$A$1:$L$17,12)</f>
        <v>#N/A</v>
      </c>
      <c r="Y59" s="16" t="e">
        <f t="shared" si="4"/>
        <v>#N/A</v>
      </c>
      <c r="Z59" s="15"/>
      <c r="AA59" s="13"/>
      <c r="AB59" s="17"/>
      <c r="AC59" s="3"/>
      <c r="AD59" s="10"/>
      <c r="AE59" s="3"/>
      <c r="AF59" s="10"/>
      <c r="AG59" s="15"/>
      <c r="AH59" s="62" t="str">
        <f t="shared" si="12"/>
        <v/>
      </c>
      <c r="AI59" s="62" t="e">
        <f>VLOOKUP($AH59,Herbicide_Data!$A$1:$Q$61,13)</f>
        <v>#N/A</v>
      </c>
      <c r="AJ59" s="16" t="e">
        <f t="shared" si="6"/>
        <v>#N/A</v>
      </c>
      <c r="AK59" s="3"/>
      <c r="AL59" s="3"/>
      <c r="AM59" s="3"/>
      <c r="AN59" s="3"/>
      <c r="AO59" s="3"/>
      <c r="AP59" s="3"/>
      <c r="AQ59" s="18"/>
      <c r="AR59" s="19"/>
      <c r="AS59" s="19"/>
      <c r="AT59" s="20"/>
      <c r="AU59" s="20"/>
      <c r="AV59" s="21"/>
      <c r="AW59" s="22"/>
      <c r="AX59" s="19"/>
      <c r="AY59" s="19"/>
      <c r="AZ59" s="19"/>
      <c r="BA59" s="23"/>
      <c r="BB59" s="19"/>
      <c r="BC59" s="19"/>
      <c r="BD59" s="19"/>
    </row>
    <row r="60" spans="1:56">
      <c r="A60" s="13" t="s">
        <v>441</v>
      </c>
      <c r="B60" s="11">
        <v>45802</v>
      </c>
      <c r="C60" s="12">
        <v>0.41666666666666669</v>
      </c>
      <c r="D60" s="12">
        <f t="shared" si="0"/>
        <v>0.43749996666666668</v>
      </c>
      <c r="E60" s="10" t="s">
        <v>85</v>
      </c>
      <c r="F60" s="10">
        <f>IFERROR(VLOOKUP(E60,Data!A$2:B$5,2,TRUE), "")</f>
        <v>48160</v>
      </c>
      <c r="G60" s="3" t="s">
        <v>98</v>
      </c>
      <c r="H60" s="13">
        <f>IFERROR(VLOOKUP(A60,Customer_Data!$A$1:$P$114,8,TRUE),"")</f>
        <v>2000</v>
      </c>
      <c r="I60" s="13"/>
      <c r="J60" s="3" t="str">
        <f t="shared" si="7"/>
        <v>Harrell's 34-0-5</v>
      </c>
      <c r="K60" s="62" t="str">
        <f>(VLOOKUP($J60,Herbicide_Data!$A$1:$L$61,9,TRUE))</f>
        <v>Nitrogen</v>
      </c>
      <c r="L60" s="62">
        <f>VLOOKUP($J60,Herbicide_Data!$A$1:$L$61,12,TRUE)</f>
        <v>2.94</v>
      </c>
      <c r="M60" s="16">
        <f t="shared" si="1"/>
        <v>0.13498622589531678</v>
      </c>
      <c r="N60" s="62" t="str">
        <f t="shared" si="8"/>
        <v/>
      </c>
      <c r="O60" s="63" t="e">
        <f>VLOOKUP($N60,Herbicide_Data!$A$1:$L$61,9)</f>
        <v>#N/A</v>
      </c>
      <c r="P60" s="62" t="e">
        <f>VLOOKUP($N60,Herbicide_Data!$A$1:$P$61,13)</f>
        <v>#N/A</v>
      </c>
      <c r="Q60" s="16" t="e">
        <f t="shared" si="2"/>
        <v>#N/A</v>
      </c>
      <c r="R60" s="62" t="str">
        <f t="shared" si="9"/>
        <v/>
      </c>
      <c r="S60" s="63" t="e">
        <f>VLOOKUP($R60,Herbicide_Data!$A$1:$L$61,9)</f>
        <v>#N/A</v>
      </c>
      <c r="T60" s="62" t="e">
        <f>VLOOKUP($R60,Herbicide_Data!$A$1:$Q$61,13)</f>
        <v>#N/A</v>
      </c>
      <c r="U60" s="16" t="e">
        <f t="shared" si="3"/>
        <v>#N/A</v>
      </c>
      <c r="V60" s="62" t="b">
        <f t="shared" si="10"/>
        <v>0</v>
      </c>
      <c r="W60" s="63" t="e">
        <f>VLOOKUP($V60,Herbicide_Data!$A$1:$L$17,9)</f>
        <v>#N/A</v>
      </c>
      <c r="X60" s="62" t="e">
        <f>VLOOKUP($V60,Herbicide_Data!$A$1:$L$17,12)</f>
        <v>#N/A</v>
      </c>
      <c r="Y60" s="16" t="e">
        <f t="shared" si="4"/>
        <v>#N/A</v>
      </c>
      <c r="Z60" s="15"/>
      <c r="AA60" s="13"/>
      <c r="AB60" s="17"/>
      <c r="AC60" s="3"/>
      <c r="AD60" s="10"/>
      <c r="AE60" s="3"/>
      <c r="AF60" s="10"/>
      <c r="AG60" s="15"/>
      <c r="AH60" s="62" t="str">
        <f t="shared" si="12"/>
        <v/>
      </c>
      <c r="AI60" s="62" t="e">
        <f>VLOOKUP($AH60,Herbicide_Data!$A$1:$Q$61,13)</f>
        <v>#N/A</v>
      </c>
      <c r="AJ60" s="16" t="e">
        <f t="shared" si="6"/>
        <v>#N/A</v>
      </c>
      <c r="AK60" s="3"/>
      <c r="AL60" s="3"/>
      <c r="AM60" s="3"/>
      <c r="AN60" s="3"/>
      <c r="AO60" s="3"/>
      <c r="AP60" s="3"/>
      <c r="AQ60" s="18"/>
      <c r="AR60" s="19"/>
      <c r="AS60" s="19"/>
      <c r="AT60" s="20"/>
      <c r="AU60" s="20"/>
      <c r="AV60" s="21"/>
      <c r="AW60" s="22"/>
      <c r="AX60" s="19"/>
      <c r="AY60" s="19"/>
      <c r="AZ60" s="19"/>
      <c r="BA60" s="23"/>
      <c r="BB60" s="19"/>
      <c r="BC60" s="19"/>
      <c r="BD60" s="19"/>
    </row>
    <row r="61" spans="1:56" ht="72">
      <c r="A61" s="13" t="s">
        <v>441</v>
      </c>
      <c r="B61" s="11">
        <v>45948</v>
      </c>
      <c r="C61" s="12">
        <f t="shared" ca="1" si="13"/>
        <v>0.63285474536678521</v>
      </c>
      <c r="D61" s="12">
        <f t="shared" ca="1" si="0"/>
        <v>0.65368804536678526</v>
      </c>
      <c r="E61" s="10" t="s">
        <v>85</v>
      </c>
      <c r="F61" s="10">
        <f>IFERROR(VLOOKUP(E61,Data!A$2:B$5,2,TRUE), "")</f>
        <v>48160</v>
      </c>
      <c r="G61" s="3" t="s">
        <v>378</v>
      </c>
      <c r="H61" s="13">
        <f>IFERROR(VLOOKUP(A61,Customer_Data!$A$1:$P$114,8,TRUE),"")</f>
        <v>2000</v>
      </c>
      <c r="I61" s="13"/>
      <c r="J61" s="3" t="str">
        <f t="shared" si="7"/>
        <v>Princep Liquid (100-526)</v>
      </c>
      <c r="K61" s="62" t="str">
        <f>(VLOOKUP($J61,Herbicide_Data!$A$1:$L$61,9,TRUE))</f>
        <v>Simazine</v>
      </c>
      <c r="L61" s="62">
        <f>VLOOKUP($J61,Herbicide_Data!$A$1:$L$61,12,TRUE)</f>
        <v>32</v>
      </c>
      <c r="M61" s="16">
        <f t="shared" si="1"/>
        <v>1.4692378328741964</v>
      </c>
      <c r="N61" s="62" t="str">
        <f t="shared" si="8"/>
        <v>Triplet SF (3-Way) 228-312</v>
      </c>
      <c r="O61" s="63" t="str">
        <f>VLOOKUP($N61,Herbicide_Data!$A$1:$L$61,9)</f>
        <v>2,4-D, dimethylamine salt; Dicamba, dimethylamine salt;Mecoprop-p (MCPP-p), dimethylamine salt</v>
      </c>
      <c r="P61" s="62">
        <f>VLOOKUP($N61,Herbicide_Data!$A$1:$P$61,13)</f>
        <v>24</v>
      </c>
      <c r="Q61" s="16">
        <f t="shared" si="2"/>
        <v>1.1019283746556474</v>
      </c>
      <c r="R61" s="62" t="str">
        <f t="shared" si="9"/>
        <v>Resolute 4Fl (100-1139)</v>
      </c>
      <c r="S61" s="63" t="str">
        <f>VLOOKUP($R61,Herbicide_Data!$A$1:$L$61,9)</f>
        <v>Prodiamine</v>
      </c>
      <c r="T61" s="62">
        <f>VLOOKUP($R61,Herbicide_Data!$A$1:$Q$61,13)</f>
        <v>16</v>
      </c>
      <c r="U61" s="16">
        <f t="shared" si="3"/>
        <v>0.7346189164370982</v>
      </c>
      <c r="V61" s="62" t="b">
        <f t="shared" si="10"/>
        <v>0</v>
      </c>
      <c r="W61" s="63" t="e">
        <f>VLOOKUP($V61,Herbicide_Data!$A$1:$L$17,9)</f>
        <v>#N/A</v>
      </c>
      <c r="X61" s="62" t="e">
        <f>VLOOKUP($V61,Herbicide_Data!$A$1:$L$17,12)</f>
        <v>#N/A</v>
      </c>
      <c r="Y61" s="16" t="e">
        <f t="shared" si="4"/>
        <v>#N/A</v>
      </c>
      <c r="Z61" s="15"/>
      <c r="AA61" s="13"/>
      <c r="AB61" s="17"/>
      <c r="AC61" s="3"/>
      <c r="AD61" s="10"/>
      <c r="AE61" s="3"/>
      <c r="AF61" s="10"/>
      <c r="AG61" s="15"/>
      <c r="AH61" s="62" t="str">
        <f t="shared" si="12"/>
        <v/>
      </c>
      <c r="AI61" s="62" t="e">
        <f>VLOOKUP($AH61,Herbicide_Data!$A$1:$Q$61,13)</f>
        <v>#N/A</v>
      </c>
      <c r="AJ61" s="16" t="e">
        <f t="shared" si="6"/>
        <v>#N/A</v>
      </c>
      <c r="AK61" s="3"/>
      <c r="AL61" s="3"/>
      <c r="AM61" s="3"/>
      <c r="AN61" s="3"/>
      <c r="AO61" s="3"/>
      <c r="AP61" s="3"/>
      <c r="AQ61" s="18"/>
      <c r="AR61" s="19"/>
      <c r="AS61" s="19"/>
      <c r="AT61" s="20"/>
      <c r="AU61" s="20"/>
      <c r="AV61" s="21"/>
      <c r="AW61" s="22"/>
      <c r="AX61" s="19"/>
      <c r="AY61" s="19"/>
      <c r="AZ61" s="19"/>
      <c r="BA61" s="23"/>
      <c r="BB61" s="19"/>
      <c r="BC61" s="19"/>
      <c r="BD61" s="19"/>
    </row>
    <row r="62" spans="1:56">
      <c r="A62" s="13" t="s">
        <v>483</v>
      </c>
      <c r="B62" s="11">
        <v>45801</v>
      </c>
      <c r="C62" s="12">
        <v>0.45833333333333331</v>
      </c>
      <c r="D62" s="12">
        <f t="shared" si="0"/>
        <v>0.47916663333333331</v>
      </c>
      <c r="E62" s="10" t="s">
        <v>85</v>
      </c>
      <c r="F62" s="10">
        <f>IFERROR(VLOOKUP(E62,Data!A$2:B$5,2,TRUE), "")</f>
        <v>48160</v>
      </c>
      <c r="G62" s="3" t="s">
        <v>98</v>
      </c>
      <c r="H62" s="13">
        <f>IFERROR(VLOOKUP(A62,Customer_Data!$A$1:$P$114,8,TRUE),"")</f>
        <v>8910</v>
      </c>
      <c r="I62" s="13"/>
      <c r="J62" s="3" t="str">
        <f t="shared" si="7"/>
        <v>Harrell's 34-0-5</v>
      </c>
      <c r="K62" s="62" t="str">
        <f>(VLOOKUP($J62,Herbicide_Data!$A$1:$L$61,9,TRUE))</f>
        <v>Nitrogen</v>
      </c>
      <c r="L62" s="62">
        <f>VLOOKUP($J62,Herbicide_Data!$A$1:$L$61,12,TRUE)</f>
        <v>2.94</v>
      </c>
      <c r="M62" s="16">
        <f t="shared" si="1"/>
        <v>0.60136363636363643</v>
      </c>
      <c r="N62" s="62" t="str">
        <f t="shared" si="8"/>
        <v/>
      </c>
      <c r="O62" s="63" t="e">
        <f>VLOOKUP($N62,Herbicide_Data!$A$1:$L$61,9)</f>
        <v>#N/A</v>
      </c>
      <c r="P62" s="62" t="e">
        <f>VLOOKUP($N62,Herbicide_Data!$A$1:$P$61,13)</f>
        <v>#N/A</v>
      </c>
      <c r="Q62" s="16" t="e">
        <f t="shared" si="2"/>
        <v>#N/A</v>
      </c>
      <c r="R62" s="62" t="str">
        <f t="shared" si="9"/>
        <v/>
      </c>
      <c r="S62" s="63" t="e">
        <f>VLOOKUP($R62,Herbicide_Data!$A$1:$L$61,9)</f>
        <v>#N/A</v>
      </c>
      <c r="T62" s="62" t="e">
        <f>VLOOKUP($R62,Herbicide_Data!$A$1:$Q$61,13)</f>
        <v>#N/A</v>
      </c>
      <c r="U62" s="16" t="e">
        <f t="shared" si="3"/>
        <v>#N/A</v>
      </c>
      <c r="V62" s="62" t="b">
        <f t="shared" si="10"/>
        <v>0</v>
      </c>
      <c r="W62" s="63" t="e">
        <f>VLOOKUP($V62,Herbicide_Data!$A$1:$L$17,9)</f>
        <v>#N/A</v>
      </c>
      <c r="X62" s="62" t="e">
        <f>VLOOKUP($V62,Herbicide_Data!$A$1:$L$17,12)</f>
        <v>#N/A</v>
      </c>
      <c r="Y62" s="16" t="e">
        <f t="shared" si="4"/>
        <v>#N/A</v>
      </c>
      <c r="Z62" s="15"/>
      <c r="AA62" s="13"/>
      <c r="AB62" s="17"/>
      <c r="AC62" s="3"/>
      <c r="AD62" s="10"/>
      <c r="AE62" s="3"/>
      <c r="AF62" s="10"/>
      <c r="AG62" s="15"/>
      <c r="AH62" s="62" t="str">
        <f t="shared" si="12"/>
        <v/>
      </c>
      <c r="AI62" s="62" t="e">
        <f>VLOOKUP($AH62,Herbicide_Data!$A$1:$Q$61,13)</f>
        <v>#N/A</v>
      </c>
      <c r="AJ62" s="16" t="e">
        <f t="shared" si="6"/>
        <v>#N/A</v>
      </c>
      <c r="AK62" s="3"/>
      <c r="AL62" s="3"/>
      <c r="AM62" s="3"/>
      <c r="AN62" s="3"/>
      <c r="AO62" s="3"/>
      <c r="AP62" s="3"/>
      <c r="AQ62" s="18"/>
      <c r="AR62" s="19"/>
      <c r="AS62" s="19"/>
      <c r="AT62" s="20"/>
      <c r="AU62" s="20"/>
      <c r="AV62" s="21"/>
      <c r="AW62" s="22"/>
      <c r="AX62" s="19"/>
      <c r="AY62" s="19"/>
      <c r="AZ62" s="19"/>
      <c r="BA62" s="23"/>
      <c r="BB62" s="19"/>
      <c r="BC62" s="19"/>
      <c r="BD62" s="19"/>
    </row>
    <row r="63" spans="1:56" ht="72">
      <c r="A63" s="13" t="s">
        <v>483</v>
      </c>
      <c r="B63" s="11">
        <v>45948</v>
      </c>
      <c r="C63" s="12">
        <v>0.375</v>
      </c>
      <c r="D63" s="12">
        <f t="shared" si="0"/>
        <v>0.3958333</v>
      </c>
      <c r="E63" s="10" t="s">
        <v>85</v>
      </c>
      <c r="F63" s="10">
        <f>IFERROR(VLOOKUP(E63,Data!A$2:B$5,2,TRUE), "")</f>
        <v>48160</v>
      </c>
      <c r="G63" s="3" t="s">
        <v>378</v>
      </c>
      <c r="H63" s="13">
        <f>IFERROR(VLOOKUP(A63,Customer_Data!$A$1:$P$114,8,TRUE),"")</f>
        <v>8910</v>
      </c>
      <c r="I63" s="13"/>
      <c r="J63" s="3" t="str">
        <f t="shared" si="7"/>
        <v>Princep Liquid (100-526)</v>
      </c>
      <c r="K63" s="62" t="str">
        <f>(VLOOKUP($J63,Herbicide_Data!$A$1:$L$61,9,TRUE))</f>
        <v>Simazine</v>
      </c>
      <c r="L63" s="62">
        <f>VLOOKUP($J63,Herbicide_Data!$A$1:$L$61,12,TRUE)</f>
        <v>32</v>
      </c>
      <c r="M63" s="16">
        <f t="shared" si="1"/>
        <v>6.5454545454545459</v>
      </c>
      <c r="N63" s="62" t="str">
        <f t="shared" si="8"/>
        <v>Triplet SF (3-Way) 228-312</v>
      </c>
      <c r="O63" s="63" t="str">
        <f>VLOOKUP($N63,Herbicide_Data!$A$1:$L$61,9)</f>
        <v>2,4-D, dimethylamine salt; Dicamba, dimethylamine salt;Mecoprop-p (MCPP-p), dimethylamine salt</v>
      </c>
      <c r="P63" s="62">
        <f>VLOOKUP($N63,Herbicide_Data!$A$1:$P$61,13)</f>
        <v>24</v>
      </c>
      <c r="Q63" s="16">
        <f t="shared" si="2"/>
        <v>4.9090909090909092</v>
      </c>
      <c r="R63" s="62" t="str">
        <f t="shared" si="9"/>
        <v>Resolute 4Fl (100-1139)</v>
      </c>
      <c r="S63" s="63" t="str">
        <f>VLOOKUP($R63,Herbicide_Data!$A$1:$L$61,9)</f>
        <v>Prodiamine</v>
      </c>
      <c r="T63" s="62">
        <f>VLOOKUP($R63,Herbicide_Data!$A$1:$Q$61,13)</f>
        <v>16</v>
      </c>
      <c r="U63" s="16">
        <f t="shared" si="3"/>
        <v>3.2727272727272729</v>
      </c>
      <c r="V63" s="62" t="b">
        <f t="shared" si="10"/>
        <v>0</v>
      </c>
      <c r="W63" s="63" t="e">
        <f>VLOOKUP($V63,Herbicide_Data!$A$1:$L$17,9)</f>
        <v>#N/A</v>
      </c>
      <c r="X63" s="62" t="e">
        <f>VLOOKUP($V63,Herbicide_Data!$A$1:$L$17,12)</f>
        <v>#N/A</v>
      </c>
      <c r="Y63" s="16" t="e">
        <f t="shared" si="4"/>
        <v>#N/A</v>
      </c>
      <c r="Z63" s="15"/>
      <c r="AA63" s="13"/>
      <c r="AB63" s="17"/>
      <c r="AC63" s="3"/>
      <c r="AD63" s="10"/>
      <c r="AE63" s="3"/>
      <c r="AF63" s="10"/>
      <c r="AG63" s="15"/>
      <c r="AH63" s="62" t="str">
        <f t="shared" si="12"/>
        <v/>
      </c>
      <c r="AI63" s="62" t="e">
        <f>VLOOKUP($AH63,Herbicide_Data!$A$1:$Q$61,13)</f>
        <v>#N/A</v>
      </c>
      <c r="AJ63" s="16" t="e">
        <f t="shared" si="6"/>
        <v>#N/A</v>
      </c>
      <c r="AK63" s="3"/>
      <c r="AL63" s="3"/>
      <c r="AM63" s="3"/>
      <c r="AN63" s="3"/>
      <c r="AO63" s="3"/>
      <c r="AP63" s="3"/>
      <c r="AQ63" s="18"/>
      <c r="AR63" s="19"/>
      <c r="AS63" s="19"/>
      <c r="AT63" s="20"/>
      <c r="AU63" s="20"/>
      <c r="AV63" s="21"/>
      <c r="AW63" s="22"/>
      <c r="AX63" s="19"/>
      <c r="AY63" s="19"/>
      <c r="AZ63" s="19"/>
      <c r="BA63" s="23"/>
      <c r="BB63" s="19"/>
      <c r="BC63" s="19"/>
      <c r="BD63" s="19"/>
    </row>
    <row r="64" spans="1:56">
      <c r="A64" s="13" t="s">
        <v>544</v>
      </c>
      <c r="B64" s="11">
        <v>45801</v>
      </c>
      <c r="C64" s="12">
        <v>0.625</v>
      </c>
      <c r="D64" s="12">
        <f t="shared" si="0"/>
        <v>0.64583330000000005</v>
      </c>
      <c r="E64" s="10" t="s">
        <v>85</v>
      </c>
      <c r="F64" s="10">
        <f>IFERROR(VLOOKUP(E64,Data!A$2:B$5,2,TRUE), "")</f>
        <v>48160</v>
      </c>
      <c r="G64" s="3" t="s">
        <v>98</v>
      </c>
      <c r="H64" s="13">
        <f>IFERROR(VLOOKUP(A64,Customer_Data!$A$1:$P$114,8,TRUE),"")</f>
        <v>2750</v>
      </c>
      <c r="I64" s="13"/>
      <c r="J64" s="3" t="str">
        <f t="shared" si="7"/>
        <v>Harrell's 34-0-5</v>
      </c>
      <c r="K64" s="62" t="str">
        <f>(VLOOKUP($J64,Herbicide_Data!$A$1:$L$61,9,TRUE))</f>
        <v>Nitrogen</v>
      </c>
      <c r="L64" s="62">
        <f>VLOOKUP($J64,Herbicide_Data!$A$1:$L$61,12,TRUE)</f>
        <v>2.94</v>
      </c>
      <c r="M64" s="16">
        <f t="shared" si="1"/>
        <v>0.18560606060606061</v>
      </c>
      <c r="N64" s="62" t="str">
        <f t="shared" si="8"/>
        <v/>
      </c>
      <c r="O64" s="63" t="e">
        <f>VLOOKUP($N64,Herbicide_Data!$A$1:$L$61,9)</f>
        <v>#N/A</v>
      </c>
      <c r="P64" s="62" t="e">
        <f>VLOOKUP($N64,Herbicide_Data!$A$1:$P$61,13)</f>
        <v>#N/A</v>
      </c>
      <c r="Q64" s="16" t="e">
        <f t="shared" si="2"/>
        <v>#N/A</v>
      </c>
      <c r="R64" s="62" t="str">
        <f t="shared" si="9"/>
        <v/>
      </c>
      <c r="S64" s="63" t="e">
        <f>VLOOKUP($R64,Herbicide_Data!$A$1:$L$61,9)</f>
        <v>#N/A</v>
      </c>
      <c r="T64" s="62" t="e">
        <f>VLOOKUP($R64,Herbicide_Data!$A$1:$Q$61,13)</f>
        <v>#N/A</v>
      </c>
      <c r="U64" s="16" t="e">
        <f t="shared" si="3"/>
        <v>#N/A</v>
      </c>
      <c r="V64" s="62" t="b">
        <f t="shared" si="10"/>
        <v>0</v>
      </c>
      <c r="W64" s="63" t="e">
        <f>VLOOKUP($V64,Herbicide_Data!$A$1:$L$17,9)</f>
        <v>#N/A</v>
      </c>
      <c r="X64" s="62" t="e">
        <f>VLOOKUP($V64,Herbicide_Data!$A$1:$L$17,12)</f>
        <v>#N/A</v>
      </c>
      <c r="Y64" s="16" t="e">
        <f t="shared" si="4"/>
        <v>#N/A</v>
      </c>
      <c r="Z64" s="15"/>
      <c r="AA64" s="13"/>
      <c r="AB64" s="17"/>
      <c r="AC64" s="3"/>
      <c r="AD64" s="10"/>
      <c r="AE64" s="3"/>
      <c r="AF64" s="10"/>
      <c r="AG64" s="15"/>
      <c r="AH64" s="62" t="str">
        <f t="shared" si="12"/>
        <v/>
      </c>
      <c r="AI64" s="62" t="e">
        <f>VLOOKUP($AH64,Herbicide_Data!$A$1:$Q$61,13)</f>
        <v>#N/A</v>
      </c>
      <c r="AJ64" s="16" t="e">
        <f t="shared" si="6"/>
        <v>#N/A</v>
      </c>
      <c r="AK64" s="3"/>
      <c r="AL64" s="3"/>
      <c r="AM64" s="3"/>
      <c r="AN64" s="3"/>
      <c r="AO64" s="3"/>
      <c r="AP64" s="3"/>
      <c r="AQ64" s="18"/>
      <c r="AR64" s="19"/>
      <c r="AS64" s="19"/>
      <c r="AT64" s="20"/>
      <c r="AU64" s="20"/>
      <c r="AV64" s="21"/>
      <c r="AW64" s="22"/>
      <c r="AX64" s="19"/>
      <c r="AY64" s="19"/>
      <c r="AZ64" s="19"/>
      <c r="BA64" s="23"/>
      <c r="BB64" s="19"/>
      <c r="BC64" s="19"/>
      <c r="BD64" s="19"/>
    </row>
    <row r="65" spans="1:56" ht="72">
      <c r="A65" s="13" t="s">
        <v>544</v>
      </c>
      <c r="B65" s="11">
        <v>45948</v>
      </c>
      <c r="C65" s="12">
        <v>0.58333333333333337</v>
      </c>
      <c r="D65" s="12">
        <f t="shared" si="0"/>
        <v>0.60416663333333331</v>
      </c>
      <c r="E65" s="10" t="s">
        <v>85</v>
      </c>
      <c r="F65" s="10">
        <f>IFERROR(VLOOKUP(E65,Data!A$2:B$5,2,TRUE), "")</f>
        <v>48160</v>
      </c>
      <c r="G65" s="3" t="s">
        <v>378</v>
      </c>
      <c r="H65" s="13">
        <f>IFERROR(VLOOKUP(A65,Customer_Data!$A$1:$P$114,8,TRUE),"")</f>
        <v>2750</v>
      </c>
      <c r="I65" s="13"/>
      <c r="J65" s="3" t="str">
        <f t="shared" si="7"/>
        <v>Princep Liquid (100-526)</v>
      </c>
      <c r="K65" s="62" t="str">
        <f>(VLOOKUP($J65,Herbicide_Data!$A$1:$L$61,9,TRUE))</f>
        <v>Simazine</v>
      </c>
      <c r="L65" s="62">
        <f>VLOOKUP($J65,Herbicide_Data!$A$1:$L$61,12,TRUE)</f>
        <v>32</v>
      </c>
      <c r="M65" s="16">
        <f t="shared" si="1"/>
        <v>2.0202020202020203</v>
      </c>
      <c r="N65" s="62" t="str">
        <f t="shared" si="8"/>
        <v>Triplet SF (3-Way) 228-312</v>
      </c>
      <c r="O65" s="63" t="str">
        <f>VLOOKUP($N65,Herbicide_Data!$A$1:$L$61,9)</f>
        <v>2,4-D, dimethylamine salt; Dicamba, dimethylamine salt;Mecoprop-p (MCPP-p), dimethylamine salt</v>
      </c>
      <c r="P65" s="62">
        <f>VLOOKUP($N65,Herbicide_Data!$A$1:$P$61,13)</f>
        <v>24</v>
      </c>
      <c r="Q65" s="16">
        <f t="shared" si="2"/>
        <v>1.5151515151515151</v>
      </c>
      <c r="R65" s="62" t="str">
        <f t="shared" si="9"/>
        <v>Resolute 4Fl (100-1139)</v>
      </c>
      <c r="S65" s="63" t="str">
        <f>VLOOKUP($R65,Herbicide_Data!$A$1:$L$61,9)</f>
        <v>Prodiamine</v>
      </c>
      <c r="T65" s="62">
        <f>VLOOKUP($R65,Herbicide_Data!$A$1:$Q$61,13)</f>
        <v>16</v>
      </c>
      <c r="U65" s="16">
        <f t="shared" si="3"/>
        <v>1.0101010101010102</v>
      </c>
      <c r="V65" s="62" t="b">
        <f t="shared" si="10"/>
        <v>0</v>
      </c>
      <c r="W65" s="63" t="e">
        <f>VLOOKUP($V65,Herbicide_Data!$A$1:$L$17,9)</f>
        <v>#N/A</v>
      </c>
      <c r="X65" s="62" t="e">
        <f>VLOOKUP($V65,Herbicide_Data!$A$1:$L$17,12)</f>
        <v>#N/A</v>
      </c>
      <c r="Y65" s="16" t="e">
        <f t="shared" si="4"/>
        <v>#N/A</v>
      </c>
      <c r="Z65" s="15"/>
      <c r="AA65" s="13"/>
      <c r="AB65" s="17"/>
      <c r="AC65" s="3"/>
      <c r="AD65" s="10"/>
      <c r="AE65" s="3"/>
      <c r="AF65" s="10"/>
      <c r="AG65" s="15"/>
      <c r="AH65" s="62" t="str">
        <f t="shared" si="12"/>
        <v/>
      </c>
      <c r="AI65" s="62" t="e">
        <f>VLOOKUP($AH65,Herbicide_Data!$A$1:$Q$61,13)</f>
        <v>#N/A</v>
      </c>
      <c r="AJ65" s="16" t="e">
        <f t="shared" si="6"/>
        <v>#N/A</v>
      </c>
      <c r="AK65" s="3"/>
      <c r="AL65" s="3"/>
      <c r="AM65" s="3"/>
      <c r="AN65" s="3"/>
      <c r="AO65" s="3"/>
      <c r="AP65" s="3"/>
      <c r="AQ65" s="18"/>
      <c r="AR65" s="19"/>
      <c r="AS65" s="19"/>
      <c r="AT65" s="20"/>
      <c r="AU65" s="20"/>
      <c r="AV65" s="21"/>
      <c r="AW65" s="22"/>
      <c r="AX65" s="19"/>
      <c r="AY65" s="19"/>
      <c r="AZ65" s="19"/>
      <c r="BA65" s="23"/>
      <c r="BB65" s="19"/>
      <c r="BC65" s="19"/>
      <c r="BD65" s="19"/>
    </row>
    <row r="66" spans="1:56">
      <c r="A66" s="13" t="s">
        <v>546</v>
      </c>
      <c r="B66" s="11">
        <v>45802</v>
      </c>
      <c r="C66" s="12">
        <v>0.41666666666666669</v>
      </c>
      <c r="D66" s="12">
        <f t="shared" ref="D66:D129" si="14">C66+0.0208333</f>
        <v>0.43749996666666668</v>
      </c>
      <c r="E66" s="10" t="s">
        <v>85</v>
      </c>
      <c r="F66" s="10">
        <f>IFERROR(VLOOKUP(E66,Data!A$2:B$5,2,TRUE), "")</f>
        <v>48160</v>
      </c>
      <c r="G66" s="3" t="s">
        <v>98</v>
      </c>
      <c r="H66" s="13">
        <f>IFERROR(VLOOKUP(A66,Customer_Data!$A$1:$P$114,8,TRUE),"")</f>
        <v>7500</v>
      </c>
      <c r="I66" s="13"/>
      <c r="J66" s="3" t="str">
        <f t="shared" si="7"/>
        <v>Harrell's 34-0-5</v>
      </c>
      <c r="K66" s="62" t="str">
        <f>(VLOOKUP($J66,Herbicide_Data!$A$1:$L$61,9,TRUE))</f>
        <v>Nitrogen</v>
      </c>
      <c r="L66" s="62">
        <f>VLOOKUP($J66,Herbicide_Data!$A$1:$L$61,12,TRUE)</f>
        <v>2.94</v>
      </c>
      <c r="M66" s="16">
        <f t="shared" ref="M66:M129" si="15">L66*(H66/43560)</f>
        <v>0.50619834710743794</v>
      </c>
      <c r="N66" s="62" t="str">
        <f t="shared" si="8"/>
        <v/>
      </c>
      <c r="O66" s="63" t="e">
        <f>VLOOKUP($N66,Herbicide_Data!$A$1:$L$61,9)</f>
        <v>#N/A</v>
      </c>
      <c r="P66" s="62" t="e">
        <f>VLOOKUP($N66,Herbicide_Data!$A$1:$P$61,13)</f>
        <v>#N/A</v>
      </c>
      <c r="Q66" s="16" t="e">
        <f t="shared" ref="Q66:Q129" si="16">P66*($H66/43560)</f>
        <v>#N/A</v>
      </c>
      <c r="R66" s="62" t="str">
        <f t="shared" si="9"/>
        <v/>
      </c>
      <c r="S66" s="63" t="e">
        <f>VLOOKUP($R66,Herbicide_Data!$A$1:$L$61,9)</f>
        <v>#N/A</v>
      </c>
      <c r="T66" s="62" t="e">
        <f>VLOOKUP($R66,Herbicide_Data!$A$1:$Q$61,13)</f>
        <v>#N/A</v>
      </c>
      <c r="U66" s="16" t="e">
        <f t="shared" ref="U66:U129" si="17">T66*($H66/43560)</f>
        <v>#N/A</v>
      </c>
      <c r="V66" s="62" t="b">
        <f t="shared" si="10"/>
        <v>0</v>
      </c>
      <c r="W66" s="63" t="e">
        <f>VLOOKUP($V66,Herbicide_Data!$A$1:$L$17,9)</f>
        <v>#N/A</v>
      </c>
      <c r="X66" s="62" t="e">
        <f>VLOOKUP($V66,Herbicide_Data!$A$1:$L$17,12)</f>
        <v>#N/A</v>
      </c>
      <c r="Y66" s="16" t="e">
        <f t="shared" ref="Y66:Y129" si="18">X66*($H66/43560)</f>
        <v>#N/A</v>
      </c>
      <c r="Z66" s="15"/>
      <c r="AA66" s="13"/>
      <c r="AB66" s="17"/>
      <c r="AC66" s="3"/>
      <c r="AD66" s="10"/>
      <c r="AE66" s="3"/>
      <c r="AF66" s="10"/>
      <c r="AG66" s="15"/>
      <c r="AH66" s="62" t="str">
        <f t="shared" si="12"/>
        <v/>
      </c>
      <c r="AI66" s="62" t="e">
        <f>VLOOKUP($AH66,Herbicide_Data!$A$1:$Q$61,13)</f>
        <v>#N/A</v>
      </c>
      <c r="AJ66" s="16" t="e">
        <f t="shared" ref="AJ66:AJ129" si="19">AI66*($H66/43560)</f>
        <v>#N/A</v>
      </c>
      <c r="AK66" s="3"/>
      <c r="AL66" s="3"/>
      <c r="AM66" s="3"/>
      <c r="AN66" s="3"/>
      <c r="AO66" s="3"/>
      <c r="AP66" s="3"/>
      <c r="AQ66" s="18"/>
      <c r="AR66" s="19"/>
      <c r="AS66" s="19"/>
      <c r="AT66" s="20"/>
      <c r="AU66" s="20"/>
      <c r="AV66" s="21"/>
      <c r="AW66" s="22"/>
      <c r="AX66" s="19"/>
      <c r="AY66" s="19"/>
      <c r="AZ66" s="19"/>
      <c r="BA66" s="23"/>
      <c r="BB66" s="19"/>
      <c r="BC66" s="19"/>
      <c r="BD66" s="19"/>
    </row>
    <row r="67" spans="1:56" ht="72">
      <c r="A67" s="13" t="s">
        <v>546</v>
      </c>
      <c r="B67" s="11">
        <v>45948</v>
      </c>
      <c r="C67" s="12">
        <v>0.58333333333333337</v>
      </c>
      <c r="D67" s="12">
        <f t="shared" si="14"/>
        <v>0.60416663333333331</v>
      </c>
      <c r="E67" s="10" t="s">
        <v>86</v>
      </c>
      <c r="F67" s="10">
        <f>IFERROR(VLOOKUP(E67,Data!A$2:B$5,2,TRUE), "")</f>
        <v>48182</v>
      </c>
      <c r="G67" s="3" t="s">
        <v>378</v>
      </c>
      <c r="H67" s="13">
        <f>IFERROR(VLOOKUP(A67,Customer_Data!$A$1:$P$114,8,TRUE),"")</f>
        <v>7500</v>
      </c>
      <c r="I67" s="13"/>
      <c r="J67" s="3" t="str">
        <f t="shared" ref="J67:J130" si="20">IF($G67=("Fall (pre/post emerge)"),"Princep Liquid (100-526)", IF($G67=("Fertilize"),"Harrell's 34-0-5",IF($G67=("Spot Treat"),"Outrider (59639-223)","")))</f>
        <v>Princep Liquid (100-526)</v>
      </c>
      <c r="K67" s="62" t="str">
        <f>(VLOOKUP($J67,Herbicide_Data!$A$1:$L$61,9,TRUE))</f>
        <v>Simazine</v>
      </c>
      <c r="L67" s="62">
        <f>VLOOKUP($J67,Herbicide_Data!$A$1:$L$61,12,TRUE)</f>
        <v>32</v>
      </c>
      <c r="M67" s="16">
        <f t="shared" si="15"/>
        <v>5.5096418732782366</v>
      </c>
      <c r="N67" s="62" t="str">
        <f t="shared" ref="N67:N130" si="21">IF($G67=("Fall (pre/post emerge)"),"Triplet SF (3-Way) 228-312",IF($G67=("Spring Preemerge (Jan)"),"Triplet SF (3-Way) 228-312",IF($G67=("Spring Preemerge (Apr)"),"Triplet SF (3-Way) 228-312","")))</f>
        <v>Triplet SF (3-Way) 228-312</v>
      </c>
      <c r="O67" s="63" t="str">
        <f>VLOOKUP($N67,Herbicide_Data!$A$1:$L$61,9)</f>
        <v>2,4-D, dimethylamine salt; Dicamba, dimethylamine salt;Mecoprop-p (MCPP-p), dimethylamine salt</v>
      </c>
      <c r="P67" s="62">
        <f>VLOOKUP($N67,Herbicide_Data!$A$1:$P$61,13)</f>
        <v>24</v>
      </c>
      <c r="Q67" s="16">
        <f t="shared" si="16"/>
        <v>4.1322314049586772</v>
      </c>
      <c r="R67" s="62" t="str">
        <f t="shared" ref="R67:R130" si="22">IF($G67=("Fall (pre/post emerge)"),"Resolute 4Fl (100-1139)",IF($G67=("Spring Preemerge (Jan)"),"Resolute 4Fl (100-1139)",IF($G67=("Spring Preemerge (Apr)"),"Certinty Turf 59639-226","")))</f>
        <v>Resolute 4Fl (100-1139)</v>
      </c>
      <c r="S67" s="63" t="str">
        <f>VLOOKUP($R67,Herbicide_Data!$A$1:$L$61,9)</f>
        <v>Prodiamine</v>
      </c>
      <c r="T67" s="62">
        <f>VLOOKUP($R67,Herbicide_Data!$A$1:$Q$61,13)</f>
        <v>16</v>
      </c>
      <c r="U67" s="16">
        <f t="shared" si="17"/>
        <v>2.7548209366391183</v>
      </c>
      <c r="V67" s="62" t="b">
        <f t="shared" ref="V67:V130" si="23">IF($G67 = ("Preemerge"),"MSM Turf 228-373")</f>
        <v>0</v>
      </c>
      <c r="W67" s="63" t="e">
        <f>VLOOKUP($V67,Herbicide_Data!$A$1:$L$17,9)</f>
        <v>#N/A</v>
      </c>
      <c r="X67" s="62" t="e">
        <f>VLOOKUP($V67,Herbicide_Data!$A$1:$L$17,12)</f>
        <v>#N/A</v>
      </c>
      <c r="Y67" s="16" t="e">
        <f t="shared" si="18"/>
        <v>#N/A</v>
      </c>
      <c r="Z67" s="15"/>
      <c r="AA67" s="13"/>
      <c r="AB67" s="17"/>
      <c r="AC67" s="3"/>
      <c r="AD67" s="10"/>
      <c r="AE67" s="3"/>
      <c r="AF67" s="10"/>
      <c r="AG67" s="15"/>
      <c r="AH67" s="62" t="str">
        <f t="shared" si="12"/>
        <v/>
      </c>
      <c r="AI67" s="62" t="e">
        <f>VLOOKUP($AH67,Herbicide_Data!$A$1:$Q$61,13)</f>
        <v>#N/A</v>
      </c>
      <c r="AJ67" s="16" t="e">
        <f t="shared" si="19"/>
        <v>#N/A</v>
      </c>
      <c r="AK67" s="3"/>
      <c r="AL67" s="3"/>
      <c r="AM67" s="3"/>
      <c r="AN67" s="3"/>
      <c r="AO67" s="3"/>
      <c r="AP67" s="3"/>
      <c r="AQ67" s="18"/>
      <c r="AR67" s="19"/>
      <c r="AS67" s="19"/>
      <c r="AT67" s="20"/>
      <c r="AU67" s="20"/>
      <c r="AV67" s="21"/>
      <c r="AW67" s="22"/>
      <c r="AX67" s="19"/>
      <c r="AY67" s="19"/>
      <c r="AZ67" s="19"/>
      <c r="BA67" s="23"/>
      <c r="BB67" s="19"/>
      <c r="BC67" s="19"/>
      <c r="BD67" s="19"/>
    </row>
    <row r="68" spans="1:56">
      <c r="A68" s="13" t="s">
        <v>550</v>
      </c>
      <c r="B68" s="11">
        <v>45802</v>
      </c>
      <c r="C68" s="12">
        <v>0.45833333333333331</v>
      </c>
      <c r="D68" s="12">
        <f t="shared" si="14"/>
        <v>0.47916663333333331</v>
      </c>
      <c r="E68" s="10" t="s">
        <v>85</v>
      </c>
      <c r="F68" s="10">
        <f>IFERROR(VLOOKUP(E68,Data!A$2:B$5,2,TRUE), "")</f>
        <v>48160</v>
      </c>
      <c r="G68" s="3" t="s">
        <v>98</v>
      </c>
      <c r="H68" s="13">
        <f>IFERROR(VLOOKUP(A68,Customer_Data!$A$1:$P$114,8,TRUE),"")</f>
        <v>4670</v>
      </c>
      <c r="I68" s="13"/>
      <c r="J68" s="3" t="str">
        <f t="shared" si="20"/>
        <v>Harrell's 34-0-5</v>
      </c>
      <c r="K68" s="62" t="str">
        <f>(VLOOKUP($J68,Herbicide_Data!$A$1:$L$61,9,TRUE))</f>
        <v>Nitrogen</v>
      </c>
      <c r="L68" s="62">
        <f>VLOOKUP($J68,Herbicide_Data!$A$1:$L$61,12,TRUE)</f>
        <v>2.94</v>
      </c>
      <c r="M68" s="16">
        <f t="shared" si="15"/>
        <v>0.31519283746556476</v>
      </c>
      <c r="N68" s="62" t="str">
        <f t="shared" si="21"/>
        <v/>
      </c>
      <c r="O68" s="63" t="e">
        <f>VLOOKUP($N68,Herbicide_Data!$A$1:$L$61,9)</f>
        <v>#N/A</v>
      </c>
      <c r="P68" s="62" t="e">
        <f>VLOOKUP($N68,Herbicide_Data!$A$1:$P$61,13)</f>
        <v>#N/A</v>
      </c>
      <c r="Q68" s="16" t="e">
        <f t="shared" si="16"/>
        <v>#N/A</v>
      </c>
      <c r="R68" s="62" t="str">
        <f t="shared" si="22"/>
        <v/>
      </c>
      <c r="S68" s="63" t="e">
        <f>VLOOKUP($R68,Herbicide_Data!$A$1:$L$61,9)</f>
        <v>#N/A</v>
      </c>
      <c r="T68" s="62" t="e">
        <f>VLOOKUP($R68,Herbicide_Data!$A$1:$Q$61,13)</f>
        <v>#N/A</v>
      </c>
      <c r="U68" s="16" t="e">
        <f t="shared" si="17"/>
        <v>#N/A</v>
      </c>
      <c r="V68" s="62" t="b">
        <f t="shared" si="23"/>
        <v>0</v>
      </c>
      <c r="W68" s="63" t="e">
        <f>VLOOKUP($V68,Herbicide_Data!$A$1:$L$17,9)</f>
        <v>#N/A</v>
      </c>
      <c r="X68" s="62" t="e">
        <f>VLOOKUP($V68,Herbicide_Data!$A$1:$L$17,12)</f>
        <v>#N/A</v>
      </c>
      <c r="Y68" s="16" t="e">
        <f t="shared" si="18"/>
        <v>#N/A</v>
      </c>
      <c r="Z68" s="15"/>
      <c r="AA68" s="13"/>
      <c r="AB68" s="17"/>
      <c r="AC68" s="3"/>
      <c r="AD68" s="10"/>
      <c r="AE68" s="3"/>
      <c r="AF68" s="10"/>
      <c r="AG68" s="15"/>
      <c r="AH68" s="62" t="str">
        <f t="shared" si="12"/>
        <v/>
      </c>
      <c r="AI68" s="62" t="e">
        <f>VLOOKUP($AH68,Herbicide_Data!$A$1:$Q$61,13)</f>
        <v>#N/A</v>
      </c>
      <c r="AJ68" s="16" t="e">
        <f t="shared" si="19"/>
        <v>#N/A</v>
      </c>
      <c r="AK68" s="3"/>
      <c r="AL68" s="3"/>
      <c r="AM68" s="3"/>
      <c r="AN68" s="3"/>
      <c r="AO68" s="3"/>
      <c r="AP68" s="3"/>
      <c r="AQ68" s="18"/>
      <c r="AR68" s="19"/>
      <c r="AS68" s="19"/>
      <c r="AT68" s="20"/>
      <c r="AU68" s="20"/>
      <c r="AV68" s="21"/>
      <c r="AW68" s="22"/>
      <c r="AX68" s="19"/>
      <c r="AY68" s="19"/>
      <c r="AZ68" s="19"/>
      <c r="BA68" s="23"/>
      <c r="BB68" s="19"/>
      <c r="BC68" s="19"/>
      <c r="BD68" s="19"/>
    </row>
    <row r="69" spans="1:56" ht="72">
      <c r="A69" s="13" t="s">
        <v>550</v>
      </c>
      <c r="B69" s="11">
        <v>45948</v>
      </c>
      <c r="C69" s="12">
        <f t="shared" ca="1" si="13"/>
        <v>0.63285474536678521</v>
      </c>
      <c r="D69" s="12">
        <f t="shared" ca="1" si="14"/>
        <v>0.65368804536678526</v>
      </c>
      <c r="E69" s="10" t="s">
        <v>85</v>
      </c>
      <c r="F69" s="10">
        <f>IFERROR(VLOOKUP(E69,Data!A$2:B$5,2,TRUE), "")</f>
        <v>48160</v>
      </c>
      <c r="G69" s="3" t="s">
        <v>378</v>
      </c>
      <c r="H69" s="13">
        <f>IFERROR(VLOOKUP(A69,Customer_Data!$A$1:$P$114,8,TRUE),"")</f>
        <v>4670</v>
      </c>
      <c r="I69" s="13"/>
      <c r="J69" s="3" t="str">
        <f t="shared" si="20"/>
        <v>Princep Liquid (100-526)</v>
      </c>
      <c r="K69" s="62" t="str">
        <f>(VLOOKUP($J69,Herbicide_Data!$A$1:$L$61,9,TRUE))</f>
        <v>Simazine</v>
      </c>
      <c r="L69" s="62">
        <f>VLOOKUP($J69,Herbicide_Data!$A$1:$L$61,12,TRUE)</f>
        <v>32</v>
      </c>
      <c r="M69" s="16">
        <f t="shared" si="15"/>
        <v>3.430670339761249</v>
      </c>
      <c r="N69" s="62" t="str">
        <f t="shared" si="21"/>
        <v>Triplet SF (3-Way) 228-312</v>
      </c>
      <c r="O69" s="63" t="str">
        <f>VLOOKUP($N69,Herbicide_Data!$A$1:$L$61,9)</f>
        <v>2,4-D, dimethylamine salt; Dicamba, dimethylamine salt;Mecoprop-p (MCPP-p), dimethylamine salt</v>
      </c>
      <c r="P69" s="62">
        <f>VLOOKUP($N69,Herbicide_Data!$A$1:$P$61,13)</f>
        <v>24</v>
      </c>
      <c r="Q69" s="16">
        <f t="shared" si="16"/>
        <v>2.5730027548209367</v>
      </c>
      <c r="R69" s="62" t="str">
        <f t="shared" si="22"/>
        <v>Resolute 4Fl (100-1139)</v>
      </c>
      <c r="S69" s="63" t="str">
        <f>VLOOKUP($R69,Herbicide_Data!$A$1:$L$61,9)</f>
        <v>Prodiamine</v>
      </c>
      <c r="T69" s="62">
        <f>VLOOKUP($R69,Herbicide_Data!$A$1:$Q$61,13)</f>
        <v>16</v>
      </c>
      <c r="U69" s="16">
        <f t="shared" si="17"/>
        <v>1.7153351698806245</v>
      </c>
      <c r="V69" s="62" t="b">
        <f t="shared" si="23"/>
        <v>0</v>
      </c>
      <c r="W69" s="63" t="e">
        <f>VLOOKUP($V69,Herbicide_Data!$A$1:$L$17,9)</f>
        <v>#N/A</v>
      </c>
      <c r="X69" s="62" t="e">
        <f>VLOOKUP($V69,Herbicide_Data!$A$1:$L$17,12)</f>
        <v>#N/A</v>
      </c>
      <c r="Y69" s="16" t="e">
        <f t="shared" si="18"/>
        <v>#N/A</v>
      </c>
      <c r="Z69" s="15"/>
      <c r="AA69" s="13"/>
      <c r="AB69" s="17"/>
      <c r="AC69" s="3"/>
      <c r="AD69" s="10"/>
      <c r="AE69" s="3"/>
      <c r="AF69" s="10"/>
      <c r="AG69" s="15"/>
      <c r="AH69" s="62" t="str">
        <f t="shared" si="12"/>
        <v/>
      </c>
      <c r="AI69" s="62" t="e">
        <f>VLOOKUP($AH69,Herbicide_Data!$A$1:$Q$61,13)</f>
        <v>#N/A</v>
      </c>
      <c r="AJ69" s="16" t="e">
        <f t="shared" si="19"/>
        <v>#N/A</v>
      </c>
      <c r="AK69" s="3"/>
      <c r="AL69" s="3"/>
      <c r="AM69" s="3"/>
      <c r="AN69" s="3"/>
      <c r="AO69" s="3"/>
      <c r="AP69" s="3"/>
      <c r="AQ69" s="18"/>
      <c r="AR69" s="19"/>
      <c r="AS69" s="19"/>
      <c r="AT69" s="20"/>
      <c r="AU69" s="20"/>
      <c r="AV69" s="21"/>
      <c r="AW69" s="22"/>
      <c r="AX69" s="19"/>
      <c r="AY69" s="19"/>
      <c r="AZ69" s="19"/>
      <c r="BA69" s="23"/>
      <c r="BB69" s="19"/>
      <c r="BC69" s="19"/>
      <c r="BD69" s="19"/>
    </row>
    <row r="70" spans="1:56">
      <c r="A70" s="13" t="s">
        <v>548</v>
      </c>
      <c r="B70" s="11">
        <v>45801</v>
      </c>
      <c r="C70" s="12">
        <f t="shared" ca="1" si="13"/>
        <v>0.63285474536678521</v>
      </c>
      <c r="D70" s="12">
        <f t="shared" ca="1" si="14"/>
        <v>0.65368804536678526</v>
      </c>
      <c r="E70" s="10" t="s">
        <v>85</v>
      </c>
      <c r="F70" s="10">
        <f>IFERROR(VLOOKUP(E70,Data!A$2:B$5,2,TRUE), "")</f>
        <v>48160</v>
      </c>
      <c r="G70" s="3" t="s">
        <v>98</v>
      </c>
      <c r="H70" s="13">
        <f>IFERROR(VLOOKUP(A70,Customer_Data!$A$1:$P$114,8,TRUE),"")</f>
        <v>5670</v>
      </c>
      <c r="I70" s="13"/>
      <c r="J70" s="3" t="str">
        <f t="shared" si="20"/>
        <v>Harrell's 34-0-5</v>
      </c>
      <c r="K70" s="62" t="str">
        <f>(VLOOKUP($J70,Herbicide_Data!$A$1:$L$61,9,TRUE))</f>
        <v>Nitrogen</v>
      </c>
      <c r="L70" s="62">
        <f>VLOOKUP($J70,Herbicide_Data!$A$1:$L$61,12,TRUE)</f>
        <v>2.94</v>
      </c>
      <c r="M70" s="16">
        <f t="shared" si="15"/>
        <v>0.38268595041322317</v>
      </c>
      <c r="N70" s="62" t="str">
        <f t="shared" si="21"/>
        <v/>
      </c>
      <c r="O70" s="63" t="e">
        <f>VLOOKUP($N70,Herbicide_Data!$A$1:$L$61,9)</f>
        <v>#N/A</v>
      </c>
      <c r="P70" s="62" t="e">
        <f>VLOOKUP($N70,Herbicide_Data!$A$1:$P$61,13)</f>
        <v>#N/A</v>
      </c>
      <c r="Q70" s="16" t="e">
        <f t="shared" si="16"/>
        <v>#N/A</v>
      </c>
      <c r="R70" s="62" t="str">
        <f t="shared" si="22"/>
        <v/>
      </c>
      <c r="S70" s="63" t="e">
        <f>VLOOKUP($R70,Herbicide_Data!$A$1:$L$61,9)</f>
        <v>#N/A</v>
      </c>
      <c r="T70" s="62" t="e">
        <f>VLOOKUP($R70,Herbicide_Data!$A$1:$Q$61,13)</f>
        <v>#N/A</v>
      </c>
      <c r="U70" s="16" t="e">
        <f t="shared" si="17"/>
        <v>#N/A</v>
      </c>
      <c r="V70" s="62" t="b">
        <f t="shared" si="23"/>
        <v>0</v>
      </c>
      <c r="W70" s="63" t="e">
        <f>VLOOKUP($V70,Herbicide_Data!$A$1:$L$17,9)</f>
        <v>#N/A</v>
      </c>
      <c r="X70" s="62" t="e">
        <f>VLOOKUP($V70,Herbicide_Data!$A$1:$L$17,12)</f>
        <v>#N/A</v>
      </c>
      <c r="Y70" s="16" t="e">
        <f t="shared" si="18"/>
        <v>#N/A</v>
      </c>
      <c r="Z70" s="15"/>
      <c r="AA70" s="13"/>
      <c r="AB70" s="17"/>
      <c r="AC70" s="3"/>
      <c r="AD70" s="10"/>
      <c r="AE70" s="3"/>
      <c r="AF70" s="10"/>
      <c r="AG70" s="15"/>
      <c r="AH70" s="62" t="str">
        <f t="shared" si="12"/>
        <v/>
      </c>
      <c r="AI70" s="62" t="e">
        <f>VLOOKUP($AH70,Herbicide_Data!$A$1:$Q$61,13)</f>
        <v>#N/A</v>
      </c>
      <c r="AJ70" s="16" t="e">
        <f t="shared" si="19"/>
        <v>#N/A</v>
      </c>
      <c r="AK70" s="3"/>
      <c r="AL70" s="3"/>
      <c r="AM70" s="3"/>
      <c r="AN70" s="3"/>
      <c r="AO70" s="3"/>
      <c r="AP70" s="3"/>
      <c r="AQ70" s="18"/>
      <c r="AR70" s="19"/>
      <c r="AS70" s="19"/>
      <c r="AT70" s="20"/>
      <c r="AU70" s="20"/>
      <c r="AV70" s="21"/>
      <c r="AW70" s="22"/>
      <c r="AX70" s="19"/>
      <c r="AY70" s="19"/>
      <c r="AZ70" s="19"/>
      <c r="BA70" s="23"/>
      <c r="BB70" s="19"/>
      <c r="BC70" s="19"/>
      <c r="BD70" s="19"/>
    </row>
    <row r="71" spans="1:56" ht="72">
      <c r="A71" s="13" t="s">
        <v>548</v>
      </c>
      <c r="B71" s="11">
        <v>45948</v>
      </c>
      <c r="C71" s="12">
        <f t="shared" ca="1" si="13"/>
        <v>0.63285474536678521</v>
      </c>
      <c r="D71" s="12">
        <f t="shared" ca="1" si="14"/>
        <v>0.65368804536678526</v>
      </c>
      <c r="E71" s="10" t="s">
        <v>85</v>
      </c>
      <c r="F71" s="10">
        <f>IFERROR(VLOOKUP(E71,Data!A$2:B$5,2,TRUE), "")</f>
        <v>48160</v>
      </c>
      <c r="G71" s="3" t="s">
        <v>378</v>
      </c>
      <c r="H71" s="13">
        <f>IFERROR(VLOOKUP(A71,Customer_Data!$A$1:$P$114,8,TRUE),"")</f>
        <v>5670</v>
      </c>
      <c r="I71" s="13"/>
      <c r="J71" s="3" t="str">
        <f t="shared" si="20"/>
        <v>Princep Liquid (100-526)</v>
      </c>
      <c r="K71" s="62" t="str">
        <f>(VLOOKUP($J71,Herbicide_Data!$A$1:$L$61,9,TRUE))</f>
        <v>Simazine</v>
      </c>
      <c r="L71" s="62">
        <f>VLOOKUP($J71,Herbicide_Data!$A$1:$L$61,12,TRUE)</f>
        <v>32</v>
      </c>
      <c r="M71" s="16">
        <f t="shared" si="15"/>
        <v>4.1652892561983474</v>
      </c>
      <c r="N71" s="62" t="str">
        <f t="shared" si="21"/>
        <v>Triplet SF (3-Way) 228-312</v>
      </c>
      <c r="O71" s="63" t="str">
        <f>VLOOKUP($N71,Herbicide_Data!$A$1:$L$61,9)</f>
        <v>2,4-D, dimethylamine salt; Dicamba, dimethylamine salt;Mecoprop-p (MCPP-p), dimethylamine salt</v>
      </c>
      <c r="P71" s="62">
        <f>VLOOKUP($N71,Herbicide_Data!$A$1:$P$61,13)</f>
        <v>24</v>
      </c>
      <c r="Q71" s="16">
        <f t="shared" si="16"/>
        <v>3.1239669421487606</v>
      </c>
      <c r="R71" s="62" t="str">
        <f t="shared" si="22"/>
        <v>Resolute 4Fl (100-1139)</v>
      </c>
      <c r="S71" s="63" t="str">
        <f>VLOOKUP($R71,Herbicide_Data!$A$1:$L$61,9)</f>
        <v>Prodiamine</v>
      </c>
      <c r="T71" s="62">
        <f>VLOOKUP($R71,Herbicide_Data!$A$1:$Q$61,13)</f>
        <v>16</v>
      </c>
      <c r="U71" s="16">
        <f t="shared" si="17"/>
        <v>2.0826446280991737</v>
      </c>
      <c r="V71" s="62" t="b">
        <f t="shared" si="23"/>
        <v>0</v>
      </c>
      <c r="W71" s="63" t="e">
        <f>VLOOKUP($V71,Herbicide_Data!$A$1:$L$17,9)</f>
        <v>#N/A</v>
      </c>
      <c r="X71" s="62" t="e">
        <f>VLOOKUP($V71,Herbicide_Data!$A$1:$L$17,12)</f>
        <v>#N/A</v>
      </c>
      <c r="Y71" s="16" t="e">
        <f t="shared" si="18"/>
        <v>#N/A</v>
      </c>
      <c r="Z71" s="15"/>
      <c r="AA71" s="13"/>
      <c r="AB71" s="17"/>
      <c r="AC71" s="3"/>
      <c r="AD71" s="10"/>
      <c r="AE71" s="3"/>
      <c r="AF71" s="10"/>
      <c r="AG71" s="15"/>
      <c r="AH71" s="62" t="str">
        <f t="shared" si="12"/>
        <v/>
      </c>
      <c r="AI71" s="62" t="e">
        <f>VLOOKUP($AH71,Herbicide_Data!$A$1:$Q$61,13)</f>
        <v>#N/A</v>
      </c>
      <c r="AJ71" s="16" t="e">
        <f t="shared" si="19"/>
        <v>#N/A</v>
      </c>
      <c r="AK71" s="3"/>
      <c r="AL71" s="3"/>
      <c r="AM71" s="3"/>
      <c r="AN71" s="3"/>
      <c r="AO71" s="3"/>
      <c r="AP71" s="3"/>
      <c r="AQ71" s="18"/>
      <c r="AR71" s="19"/>
      <c r="AS71" s="19"/>
      <c r="AT71" s="20"/>
      <c r="AU71" s="20"/>
      <c r="AV71" s="21"/>
      <c r="AW71" s="22"/>
      <c r="AX71" s="19"/>
      <c r="AY71" s="19"/>
      <c r="AZ71" s="19"/>
      <c r="BA71" s="23"/>
      <c r="BB71" s="19"/>
      <c r="BC71" s="19"/>
      <c r="BD71" s="19"/>
    </row>
    <row r="72" spans="1:56">
      <c r="A72" s="13" t="s">
        <v>572</v>
      </c>
      <c r="B72" s="11">
        <v>45801</v>
      </c>
      <c r="C72" s="12">
        <f t="shared" ca="1" si="13"/>
        <v>0.63285474536678521</v>
      </c>
      <c r="D72" s="12">
        <f t="shared" ca="1" si="14"/>
        <v>0.65368804536678526</v>
      </c>
      <c r="E72" s="10" t="s">
        <v>85</v>
      </c>
      <c r="F72" s="10">
        <f>IFERROR(VLOOKUP(E72,Data!A$2:B$5,2,TRUE), "")</f>
        <v>48160</v>
      </c>
      <c r="G72" s="3" t="s">
        <v>98</v>
      </c>
      <c r="H72" s="13">
        <f>IFERROR(VLOOKUP(A72,Customer_Data!$A$1:$P$114,8,TRUE),"")</f>
        <v>4150</v>
      </c>
      <c r="I72" s="13"/>
      <c r="J72" s="3" t="str">
        <f t="shared" si="20"/>
        <v>Harrell's 34-0-5</v>
      </c>
      <c r="K72" s="62" t="str">
        <f>(VLOOKUP($J72,Herbicide_Data!$A$1:$L$61,9,TRUE))</f>
        <v>Nitrogen</v>
      </c>
      <c r="L72" s="62">
        <f>VLOOKUP($J72,Herbicide_Data!$A$1:$L$61,12,TRUE)</f>
        <v>2.94</v>
      </c>
      <c r="M72" s="16">
        <f t="shared" si="15"/>
        <v>0.28009641873278235</v>
      </c>
      <c r="N72" s="62" t="str">
        <f t="shared" si="21"/>
        <v/>
      </c>
      <c r="O72" s="63" t="e">
        <f>VLOOKUP($N72,Herbicide_Data!$A$1:$L$61,9)</f>
        <v>#N/A</v>
      </c>
      <c r="P72" s="62" t="e">
        <f>VLOOKUP($N72,Herbicide_Data!$A$1:$P$61,13)</f>
        <v>#N/A</v>
      </c>
      <c r="Q72" s="16" t="e">
        <f t="shared" si="16"/>
        <v>#N/A</v>
      </c>
      <c r="R72" s="62" t="str">
        <f t="shared" si="22"/>
        <v/>
      </c>
      <c r="S72" s="63" t="e">
        <f>VLOOKUP($R72,Herbicide_Data!$A$1:$L$61,9)</f>
        <v>#N/A</v>
      </c>
      <c r="T72" s="62" t="e">
        <f>VLOOKUP($R72,Herbicide_Data!$A$1:$Q$61,13)</f>
        <v>#N/A</v>
      </c>
      <c r="U72" s="16" t="e">
        <f t="shared" si="17"/>
        <v>#N/A</v>
      </c>
      <c r="V72" s="62" t="b">
        <f t="shared" si="23"/>
        <v>0</v>
      </c>
      <c r="W72" s="63" t="e">
        <f>VLOOKUP($V72,Herbicide_Data!$A$1:$L$17,9)</f>
        <v>#N/A</v>
      </c>
      <c r="X72" s="62" t="e">
        <f>VLOOKUP($V72,Herbicide_Data!$A$1:$L$17,12)</f>
        <v>#N/A</v>
      </c>
      <c r="Y72" s="16" t="e">
        <f t="shared" si="18"/>
        <v>#N/A</v>
      </c>
      <c r="Z72" s="15"/>
      <c r="AA72" s="13"/>
      <c r="AB72" s="17"/>
      <c r="AC72" s="3"/>
      <c r="AD72" s="10"/>
      <c r="AE72" s="3"/>
      <c r="AF72" s="10"/>
      <c r="AG72" s="15"/>
      <c r="AH72" s="62" t="str">
        <f t="shared" si="12"/>
        <v/>
      </c>
      <c r="AI72" s="62" t="e">
        <f>VLOOKUP($AH72,Herbicide_Data!$A$1:$Q$61,13)</f>
        <v>#N/A</v>
      </c>
      <c r="AJ72" s="16" t="e">
        <f t="shared" si="19"/>
        <v>#N/A</v>
      </c>
      <c r="AK72" s="3"/>
      <c r="AL72" s="3"/>
      <c r="AM72" s="3"/>
      <c r="AN72" s="3"/>
      <c r="AO72" s="3"/>
      <c r="AP72" s="3"/>
      <c r="AQ72" s="18"/>
      <c r="AR72" s="19"/>
      <c r="AS72" s="19"/>
      <c r="AT72" s="20"/>
      <c r="AU72" s="20"/>
      <c r="AV72" s="21"/>
      <c r="AW72" s="22"/>
      <c r="AX72" s="19"/>
      <c r="AY72" s="19"/>
      <c r="AZ72" s="19"/>
      <c r="BA72" s="23"/>
      <c r="BB72" s="19"/>
      <c r="BC72" s="19"/>
      <c r="BD72" s="19"/>
    </row>
    <row r="73" spans="1:56" ht="72">
      <c r="A73" s="13" t="s">
        <v>572</v>
      </c>
      <c r="B73" s="11">
        <v>45952</v>
      </c>
      <c r="C73" s="12">
        <f t="shared" ca="1" si="13"/>
        <v>0.63285474536678521</v>
      </c>
      <c r="D73" s="12">
        <f t="shared" ca="1" si="14"/>
        <v>0.65368804536678526</v>
      </c>
      <c r="E73" s="10" t="s">
        <v>85</v>
      </c>
      <c r="F73" s="10">
        <f>IFERROR(VLOOKUP(E73,Data!A$2:B$5,2,TRUE), "")</f>
        <v>48160</v>
      </c>
      <c r="G73" s="3" t="s">
        <v>378</v>
      </c>
      <c r="H73" s="13">
        <f>IFERROR(VLOOKUP(A73,Customer_Data!$A$1:$P$114,8,TRUE),"")</f>
        <v>4150</v>
      </c>
      <c r="I73" s="13"/>
      <c r="J73" s="3" t="str">
        <f t="shared" si="20"/>
        <v>Princep Liquid (100-526)</v>
      </c>
      <c r="K73" s="62" t="str">
        <f>(VLOOKUP($J73,Herbicide_Data!$A$1:$L$61,9,TRUE))</f>
        <v>Simazine</v>
      </c>
      <c r="L73" s="62">
        <f>VLOOKUP($J73,Herbicide_Data!$A$1:$L$61,12,TRUE)</f>
        <v>32</v>
      </c>
      <c r="M73" s="16">
        <f t="shared" si="15"/>
        <v>3.0486685032139578</v>
      </c>
      <c r="N73" s="62" t="str">
        <f t="shared" si="21"/>
        <v>Triplet SF (3-Way) 228-312</v>
      </c>
      <c r="O73" s="63" t="str">
        <f>VLOOKUP($N73,Herbicide_Data!$A$1:$L$61,9)</f>
        <v>2,4-D, dimethylamine salt; Dicamba, dimethylamine salt;Mecoprop-p (MCPP-p), dimethylamine salt</v>
      </c>
      <c r="P73" s="62">
        <f>VLOOKUP($N73,Herbicide_Data!$A$1:$P$61,13)</f>
        <v>24</v>
      </c>
      <c r="Q73" s="16">
        <f t="shared" si="16"/>
        <v>2.2865013774104685</v>
      </c>
      <c r="R73" s="62" t="str">
        <f t="shared" si="22"/>
        <v>Resolute 4Fl (100-1139)</v>
      </c>
      <c r="S73" s="63" t="str">
        <f>VLOOKUP($R73,Herbicide_Data!$A$1:$L$61,9)</f>
        <v>Prodiamine</v>
      </c>
      <c r="T73" s="62">
        <f>VLOOKUP($R73,Herbicide_Data!$A$1:$Q$61,13)</f>
        <v>16</v>
      </c>
      <c r="U73" s="16">
        <f t="shared" si="17"/>
        <v>1.5243342516069789</v>
      </c>
      <c r="V73" s="62" t="b">
        <f t="shared" si="23"/>
        <v>0</v>
      </c>
      <c r="W73" s="63" t="e">
        <f>VLOOKUP($V73,Herbicide_Data!$A$1:$L$17,9)</f>
        <v>#N/A</v>
      </c>
      <c r="X73" s="62" t="e">
        <f>VLOOKUP($V73,Herbicide_Data!$A$1:$L$17,12)</f>
        <v>#N/A</v>
      </c>
      <c r="Y73" s="16" t="e">
        <f t="shared" si="18"/>
        <v>#N/A</v>
      </c>
      <c r="Z73" s="15"/>
      <c r="AA73" s="13"/>
      <c r="AB73" s="17"/>
      <c r="AC73" s="3"/>
      <c r="AD73" s="10"/>
      <c r="AE73" s="3"/>
      <c r="AF73" s="10"/>
      <c r="AG73" s="15"/>
      <c r="AH73" s="62" t="str">
        <f t="shared" si="12"/>
        <v/>
      </c>
      <c r="AI73" s="62" t="e">
        <f>VLOOKUP($AH73,Herbicide_Data!$A$1:$Q$61,13)</f>
        <v>#N/A</v>
      </c>
      <c r="AJ73" s="16" t="e">
        <f t="shared" si="19"/>
        <v>#N/A</v>
      </c>
      <c r="AK73" s="3"/>
      <c r="AL73" s="3"/>
      <c r="AM73" s="3"/>
      <c r="AN73" s="3"/>
      <c r="AO73" s="3"/>
      <c r="AP73" s="3"/>
      <c r="AQ73" s="18"/>
      <c r="AR73" s="19"/>
      <c r="AS73" s="19"/>
      <c r="AT73" s="20"/>
      <c r="AU73" s="20"/>
      <c r="AV73" s="21"/>
      <c r="AW73" s="22"/>
      <c r="AX73" s="19"/>
      <c r="AY73" s="19"/>
      <c r="AZ73" s="19"/>
      <c r="BA73" s="23"/>
      <c r="BB73" s="19"/>
      <c r="BC73" s="19"/>
      <c r="BD73" s="19"/>
    </row>
    <row r="74" spans="1:56">
      <c r="A74" s="13" t="s">
        <v>576</v>
      </c>
      <c r="B74" s="11">
        <v>45801</v>
      </c>
      <c r="C74" s="12">
        <f t="shared" ca="1" si="13"/>
        <v>0.63285474536678521</v>
      </c>
      <c r="D74" s="12">
        <f t="shared" ca="1" si="14"/>
        <v>0.65368804536678526</v>
      </c>
      <c r="E74" s="10" t="s">
        <v>85</v>
      </c>
      <c r="F74" s="10">
        <f>IFERROR(VLOOKUP(E74,Data!A$2:B$5,2,TRUE), "")</f>
        <v>48160</v>
      </c>
      <c r="G74" s="3" t="s">
        <v>98</v>
      </c>
      <c r="H74" s="13">
        <f>IFERROR(VLOOKUP(A74,Customer_Data!$A$1:$P$114,8,TRUE),"")</f>
        <v>3875</v>
      </c>
      <c r="I74" s="13"/>
      <c r="J74" s="3" t="str">
        <f t="shared" si="20"/>
        <v>Harrell's 34-0-5</v>
      </c>
      <c r="K74" s="62" t="str">
        <f>(VLOOKUP($J74,Herbicide_Data!$A$1:$L$61,9,TRUE))</f>
        <v>Nitrogen</v>
      </c>
      <c r="L74" s="62">
        <f>VLOOKUP($J74,Herbicide_Data!$A$1:$L$61,12,TRUE)</f>
        <v>2.94</v>
      </c>
      <c r="M74" s="16">
        <f t="shared" si="15"/>
        <v>0.26153581267217629</v>
      </c>
      <c r="N74" s="62" t="str">
        <f t="shared" si="21"/>
        <v/>
      </c>
      <c r="O74" s="63" t="e">
        <f>VLOOKUP($N74,Herbicide_Data!$A$1:$L$61,9)</f>
        <v>#N/A</v>
      </c>
      <c r="P74" s="62" t="e">
        <f>VLOOKUP($N74,Herbicide_Data!$A$1:$P$61,13)</f>
        <v>#N/A</v>
      </c>
      <c r="Q74" s="16" t="e">
        <f t="shared" si="16"/>
        <v>#N/A</v>
      </c>
      <c r="R74" s="62" t="str">
        <f t="shared" si="22"/>
        <v/>
      </c>
      <c r="S74" s="63" t="e">
        <f>VLOOKUP($R74,Herbicide_Data!$A$1:$L$61,9)</f>
        <v>#N/A</v>
      </c>
      <c r="T74" s="62" t="e">
        <f>VLOOKUP($R74,Herbicide_Data!$A$1:$Q$61,13)</f>
        <v>#N/A</v>
      </c>
      <c r="U74" s="16" t="e">
        <f t="shared" si="17"/>
        <v>#N/A</v>
      </c>
      <c r="V74" s="62" t="b">
        <f t="shared" si="23"/>
        <v>0</v>
      </c>
      <c r="W74" s="63" t="e">
        <f>VLOOKUP($V74,Herbicide_Data!$A$1:$L$17,9)</f>
        <v>#N/A</v>
      </c>
      <c r="X74" s="62" t="e">
        <f>VLOOKUP($V74,Herbicide_Data!$A$1:$L$17,12)</f>
        <v>#N/A</v>
      </c>
      <c r="Y74" s="16" t="e">
        <f t="shared" si="18"/>
        <v>#N/A</v>
      </c>
      <c r="Z74" s="15"/>
      <c r="AA74" s="13"/>
      <c r="AB74" s="17"/>
      <c r="AC74" s="3"/>
      <c r="AD74" s="10"/>
      <c r="AE74" s="3"/>
      <c r="AF74" s="10"/>
      <c r="AG74" s="15"/>
      <c r="AH74" s="62" t="str">
        <f t="shared" si="12"/>
        <v/>
      </c>
      <c r="AI74" s="62" t="e">
        <f>VLOOKUP($AH74,Herbicide_Data!$A$1:$Q$61,13)</f>
        <v>#N/A</v>
      </c>
      <c r="AJ74" s="16" t="e">
        <f t="shared" si="19"/>
        <v>#N/A</v>
      </c>
      <c r="AK74" s="3"/>
      <c r="AL74" s="3"/>
      <c r="AM74" s="3"/>
      <c r="AN74" s="3"/>
      <c r="AO74" s="3"/>
      <c r="AP74" s="3"/>
      <c r="AQ74" s="18"/>
      <c r="AR74" s="19"/>
      <c r="AS74" s="19"/>
      <c r="AT74" s="20"/>
      <c r="AU74" s="20"/>
      <c r="AV74" s="21"/>
      <c r="AW74" s="22"/>
      <c r="AX74" s="19"/>
      <c r="AY74" s="19"/>
      <c r="AZ74" s="19"/>
      <c r="BA74" s="23"/>
      <c r="BB74" s="19"/>
      <c r="BC74" s="19"/>
      <c r="BD74" s="19"/>
    </row>
    <row r="75" spans="1:56" ht="72">
      <c r="A75" s="13" t="s">
        <v>576</v>
      </c>
      <c r="B75" s="11">
        <v>45948</v>
      </c>
      <c r="C75" s="12">
        <f t="shared" ca="1" si="13"/>
        <v>0.63285474536678521</v>
      </c>
      <c r="D75" s="12">
        <f t="shared" ca="1" si="14"/>
        <v>0.65368804536678526</v>
      </c>
      <c r="E75" s="10" t="s">
        <v>85</v>
      </c>
      <c r="F75" s="10">
        <f>IFERROR(VLOOKUP(E75,Data!A$2:B$5,2,TRUE), "")</f>
        <v>48160</v>
      </c>
      <c r="G75" s="3" t="s">
        <v>378</v>
      </c>
      <c r="H75" s="13">
        <f>IFERROR(VLOOKUP(A75,Customer_Data!$A$1:$P$114,8,TRUE),"")</f>
        <v>3875</v>
      </c>
      <c r="I75" s="13"/>
      <c r="J75" s="3" t="str">
        <f t="shared" si="20"/>
        <v>Princep Liquid (100-526)</v>
      </c>
      <c r="K75" s="62" t="str">
        <f>(VLOOKUP($J75,Herbicide_Data!$A$1:$L$61,9,TRUE))</f>
        <v>Simazine</v>
      </c>
      <c r="L75" s="62">
        <f>VLOOKUP($J75,Herbicide_Data!$A$1:$L$61,12,TRUE)</f>
        <v>32</v>
      </c>
      <c r="M75" s="16">
        <f t="shared" si="15"/>
        <v>2.8466483011937558</v>
      </c>
      <c r="N75" s="62" t="str">
        <f t="shared" si="21"/>
        <v>Triplet SF (3-Way) 228-312</v>
      </c>
      <c r="O75" s="63" t="str">
        <f>VLOOKUP($N75,Herbicide_Data!$A$1:$L$61,9)</f>
        <v>2,4-D, dimethylamine salt; Dicamba, dimethylamine salt;Mecoprop-p (MCPP-p), dimethylamine salt</v>
      </c>
      <c r="P75" s="62">
        <f>VLOOKUP($N75,Herbicide_Data!$A$1:$P$61,13)</f>
        <v>24</v>
      </c>
      <c r="Q75" s="16">
        <f t="shared" si="16"/>
        <v>2.1349862258953167</v>
      </c>
      <c r="R75" s="62" t="str">
        <f t="shared" si="22"/>
        <v>Resolute 4Fl (100-1139)</v>
      </c>
      <c r="S75" s="63" t="str">
        <f>VLOOKUP($R75,Herbicide_Data!$A$1:$L$61,9)</f>
        <v>Prodiamine</v>
      </c>
      <c r="T75" s="62">
        <f>VLOOKUP($R75,Herbicide_Data!$A$1:$Q$61,13)</f>
        <v>16</v>
      </c>
      <c r="U75" s="16">
        <f t="shared" si="17"/>
        <v>1.4233241505968779</v>
      </c>
      <c r="V75" s="62" t="b">
        <f t="shared" si="23"/>
        <v>0</v>
      </c>
      <c r="W75" s="63" t="e">
        <f>VLOOKUP($V75,Herbicide_Data!$A$1:$L$17,9)</f>
        <v>#N/A</v>
      </c>
      <c r="X75" s="62" t="e">
        <f>VLOOKUP($V75,Herbicide_Data!$A$1:$L$17,12)</f>
        <v>#N/A</v>
      </c>
      <c r="Y75" s="16" t="e">
        <f t="shared" si="18"/>
        <v>#N/A</v>
      </c>
      <c r="Z75" s="15"/>
      <c r="AA75" s="13"/>
      <c r="AB75" s="17"/>
      <c r="AC75" s="3"/>
      <c r="AD75" s="10"/>
      <c r="AE75" s="3"/>
      <c r="AF75" s="10"/>
      <c r="AG75" s="15"/>
      <c r="AH75" s="62" t="str">
        <f t="shared" si="12"/>
        <v/>
      </c>
      <c r="AI75" s="62" t="e">
        <f>VLOOKUP($AH75,Herbicide_Data!$A$1:$Q$61,13)</f>
        <v>#N/A</v>
      </c>
      <c r="AJ75" s="16" t="e">
        <f t="shared" si="19"/>
        <v>#N/A</v>
      </c>
      <c r="AK75" s="3"/>
      <c r="AL75" s="3"/>
      <c r="AM75" s="3"/>
      <c r="AN75" s="3"/>
      <c r="AO75" s="3"/>
      <c r="AP75" s="3"/>
      <c r="AQ75" s="18"/>
      <c r="AR75" s="19"/>
      <c r="AS75" s="19"/>
      <c r="AT75" s="20"/>
      <c r="AU75" s="20"/>
      <c r="AV75" s="21"/>
      <c r="AW75" s="22"/>
      <c r="AX75" s="19"/>
      <c r="AY75" s="19"/>
      <c r="AZ75" s="19"/>
      <c r="BA75" s="23"/>
      <c r="BB75" s="19"/>
      <c r="BC75" s="19"/>
      <c r="BD75" s="19"/>
    </row>
    <row r="76" spans="1:56">
      <c r="A76" s="13" t="s">
        <v>578</v>
      </c>
      <c r="B76" s="11">
        <v>45802</v>
      </c>
      <c r="C76" s="12">
        <f t="shared" ca="1" si="13"/>
        <v>0.63285474536678521</v>
      </c>
      <c r="D76" s="12">
        <f t="shared" ca="1" si="14"/>
        <v>0.65368804536678526</v>
      </c>
      <c r="E76" s="10" t="s">
        <v>85</v>
      </c>
      <c r="F76" s="10">
        <f>IFERROR(VLOOKUP(E76,Data!A$2:B$5,2,TRUE), "")</f>
        <v>48160</v>
      </c>
      <c r="G76" s="3" t="s">
        <v>98</v>
      </c>
      <c r="H76" s="13">
        <f>IFERROR(VLOOKUP(A76,Customer_Data!$A$1:$P$114,8,TRUE),"")</f>
        <v>13500</v>
      </c>
      <c r="I76" s="13"/>
      <c r="J76" s="3" t="str">
        <f t="shared" si="20"/>
        <v>Harrell's 34-0-5</v>
      </c>
      <c r="K76" s="62" t="str">
        <f>(VLOOKUP($J76,Herbicide_Data!$A$1:$L$61,9,TRUE))</f>
        <v>Nitrogen</v>
      </c>
      <c r="L76" s="62">
        <f>VLOOKUP($J76,Herbicide_Data!$A$1:$L$61,12,TRUE)</f>
        <v>2.94</v>
      </c>
      <c r="M76" s="16">
        <f t="shared" si="15"/>
        <v>0.91115702479338845</v>
      </c>
      <c r="N76" s="62" t="str">
        <f t="shared" si="21"/>
        <v/>
      </c>
      <c r="O76" s="63" t="e">
        <f>VLOOKUP($N76,Herbicide_Data!$A$1:$L$61,9)</f>
        <v>#N/A</v>
      </c>
      <c r="P76" s="62" t="e">
        <f>VLOOKUP($N76,Herbicide_Data!$A$1:$P$61,13)</f>
        <v>#N/A</v>
      </c>
      <c r="Q76" s="16" t="e">
        <f t="shared" si="16"/>
        <v>#N/A</v>
      </c>
      <c r="R76" s="62" t="str">
        <f t="shared" si="22"/>
        <v/>
      </c>
      <c r="S76" s="63" t="e">
        <f>VLOOKUP($R76,Herbicide_Data!$A$1:$L$61,9)</f>
        <v>#N/A</v>
      </c>
      <c r="T76" s="62" t="e">
        <f>VLOOKUP($R76,Herbicide_Data!$A$1:$Q$61,13)</f>
        <v>#N/A</v>
      </c>
      <c r="U76" s="16" t="e">
        <f t="shared" si="17"/>
        <v>#N/A</v>
      </c>
      <c r="V76" s="62" t="b">
        <f t="shared" si="23"/>
        <v>0</v>
      </c>
      <c r="W76" s="63" t="e">
        <f>VLOOKUP($V76,Herbicide_Data!$A$1:$L$17,9)</f>
        <v>#N/A</v>
      </c>
      <c r="X76" s="62" t="e">
        <f>VLOOKUP($V76,Herbicide_Data!$A$1:$L$17,12)</f>
        <v>#N/A</v>
      </c>
      <c r="Y76" s="16" t="e">
        <f t="shared" si="18"/>
        <v>#N/A</v>
      </c>
      <c r="Z76" s="15"/>
      <c r="AA76" s="13"/>
      <c r="AB76" s="17"/>
      <c r="AC76" s="3"/>
      <c r="AD76" s="10"/>
      <c r="AE76" s="3"/>
      <c r="AF76" s="10"/>
      <c r="AG76" s="15"/>
      <c r="AH76" s="62" t="str">
        <f t="shared" si="12"/>
        <v/>
      </c>
      <c r="AI76" s="62" t="e">
        <f>VLOOKUP($AH76,Herbicide_Data!$A$1:$Q$61,13)</f>
        <v>#N/A</v>
      </c>
      <c r="AJ76" s="16" t="e">
        <f t="shared" si="19"/>
        <v>#N/A</v>
      </c>
      <c r="AK76" s="3"/>
      <c r="AL76" s="3"/>
      <c r="AM76" s="3"/>
      <c r="AN76" s="3"/>
      <c r="AO76" s="3"/>
      <c r="AP76" s="3"/>
      <c r="AQ76" s="18"/>
      <c r="AR76" s="19"/>
      <c r="AS76" s="19"/>
      <c r="AT76" s="20"/>
      <c r="AU76" s="20"/>
      <c r="AV76" s="21"/>
      <c r="AW76" s="22"/>
      <c r="AX76" s="19"/>
      <c r="AY76" s="19"/>
      <c r="AZ76" s="19"/>
      <c r="BA76" s="23"/>
      <c r="BB76" s="19"/>
      <c r="BC76" s="19"/>
      <c r="BD76" s="19"/>
    </row>
    <row r="77" spans="1:56" ht="72">
      <c r="A77" s="13" t="s">
        <v>578</v>
      </c>
      <c r="B77" s="11">
        <v>45950</v>
      </c>
      <c r="C77" s="12">
        <f t="shared" ca="1" si="13"/>
        <v>0.63285474536678521</v>
      </c>
      <c r="D77" s="12">
        <f t="shared" ca="1" si="14"/>
        <v>0.65368804536678526</v>
      </c>
      <c r="E77" s="10" t="s">
        <v>85</v>
      </c>
      <c r="F77" s="10">
        <f>IFERROR(VLOOKUP(E77,Data!A$2:B$5,2,TRUE), "")</f>
        <v>48160</v>
      </c>
      <c r="G77" s="3" t="s">
        <v>378</v>
      </c>
      <c r="H77" s="13">
        <f>IFERROR(VLOOKUP(A77,Customer_Data!$A$1:$P$114,8,TRUE),"")</f>
        <v>13500</v>
      </c>
      <c r="I77" s="13"/>
      <c r="J77" s="3" t="str">
        <f t="shared" si="20"/>
        <v>Princep Liquid (100-526)</v>
      </c>
      <c r="K77" s="62" t="str">
        <f>(VLOOKUP($J77,Herbicide_Data!$A$1:$L$61,9,TRUE))</f>
        <v>Simazine</v>
      </c>
      <c r="L77" s="62">
        <f>VLOOKUP($J77,Herbicide_Data!$A$1:$L$61,12,TRUE)</f>
        <v>32</v>
      </c>
      <c r="M77" s="16">
        <f t="shared" si="15"/>
        <v>9.9173553719008272</v>
      </c>
      <c r="N77" s="62" t="str">
        <f t="shared" si="21"/>
        <v>Triplet SF (3-Way) 228-312</v>
      </c>
      <c r="O77" s="63" t="str">
        <f>VLOOKUP($N77,Herbicide_Data!$A$1:$L$61,9)</f>
        <v>2,4-D, dimethylamine salt; Dicamba, dimethylamine salt;Mecoprop-p (MCPP-p), dimethylamine salt</v>
      </c>
      <c r="P77" s="62">
        <f>VLOOKUP($N77,Herbicide_Data!$A$1:$P$61,13)</f>
        <v>24</v>
      </c>
      <c r="Q77" s="16">
        <f t="shared" si="16"/>
        <v>7.4380165289256208</v>
      </c>
      <c r="R77" s="62" t="str">
        <f t="shared" si="22"/>
        <v>Resolute 4Fl (100-1139)</v>
      </c>
      <c r="S77" s="63" t="str">
        <f>VLOOKUP($R77,Herbicide_Data!$A$1:$L$61,9)</f>
        <v>Prodiamine</v>
      </c>
      <c r="T77" s="62">
        <f>VLOOKUP($R77,Herbicide_Data!$A$1:$Q$61,13)</f>
        <v>16</v>
      </c>
      <c r="U77" s="16">
        <f t="shared" si="17"/>
        <v>4.9586776859504136</v>
      </c>
      <c r="V77" s="62" t="b">
        <f t="shared" si="23"/>
        <v>0</v>
      </c>
      <c r="W77" s="63" t="e">
        <f>VLOOKUP($V77,Herbicide_Data!$A$1:$L$17,9)</f>
        <v>#N/A</v>
      </c>
      <c r="X77" s="62" t="e">
        <f>VLOOKUP($V77,Herbicide_Data!$A$1:$L$17,12)</f>
        <v>#N/A</v>
      </c>
      <c r="Y77" s="16" t="e">
        <f t="shared" si="18"/>
        <v>#N/A</v>
      </c>
      <c r="Z77" s="15"/>
      <c r="AA77" s="13"/>
      <c r="AB77" s="17"/>
      <c r="AC77" s="3"/>
      <c r="AD77" s="10"/>
      <c r="AE77" s="3"/>
      <c r="AF77" s="10"/>
      <c r="AG77" s="15"/>
      <c r="AH77" s="62" t="str">
        <f t="shared" si="12"/>
        <v/>
      </c>
      <c r="AI77" s="62" t="e">
        <f>VLOOKUP($AH77,Herbicide_Data!$A$1:$Q$61,13)</f>
        <v>#N/A</v>
      </c>
      <c r="AJ77" s="16" t="e">
        <f t="shared" si="19"/>
        <v>#N/A</v>
      </c>
      <c r="AK77" s="3"/>
      <c r="AL77" s="3"/>
      <c r="AM77" s="3"/>
      <c r="AN77" s="3"/>
      <c r="AO77" s="3"/>
      <c r="AP77" s="3"/>
      <c r="AQ77" s="18"/>
      <c r="AR77" s="19"/>
      <c r="AS77" s="19"/>
      <c r="AT77" s="20"/>
      <c r="AU77" s="20"/>
      <c r="AV77" s="21"/>
      <c r="AW77" s="22"/>
      <c r="AX77" s="19"/>
      <c r="AY77" s="19"/>
      <c r="AZ77" s="19"/>
      <c r="BA77" s="23"/>
      <c r="BB77" s="19"/>
      <c r="BC77" s="19"/>
      <c r="BD77" s="19"/>
    </row>
    <row r="78" spans="1:56">
      <c r="A78" s="13" t="s">
        <v>586</v>
      </c>
      <c r="B78" s="11">
        <v>45801</v>
      </c>
      <c r="C78" s="12">
        <f t="shared" ca="1" si="13"/>
        <v>0.63285474536678521</v>
      </c>
      <c r="D78" s="12">
        <f t="shared" ca="1" si="14"/>
        <v>0.65368804536678526</v>
      </c>
      <c r="E78" s="10" t="s">
        <v>85</v>
      </c>
      <c r="F78" s="10">
        <f>IFERROR(VLOOKUP(E78,Data!A$2:B$5,2,TRUE), "")</f>
        <v>48160</v>
      </c>
      <c r="G78" s="3" t="s">
        <v>98</v>
      </c>
      <c r="H78" s="13">
        <f>IFERROR(VLOOKUP(A78,Customer_Data!$A$1:$P$114,8,TRUE),"")</f>
        <v>7000</v>
      </c>
      <c r="I78" s="13"/>
      <c r="J78" s="3" t="str">
        <f t="shared" si="20"/>
        <v>Harrell's 34-0-5</v>
      </c>
      <c r="K78" s="62" t="str">
        <f>(VLOOKUP($J78,Herbicide_Data!$A$1:$L$61,9,TRUE))</f>
        <v>Nitrogen</v>
      </c>
      <c r="L78" s="62">
        <f>VLOOKUP($J78,Herbicide_Data!$A$1:$L$61,12,TRUE)</f>
        <v>2.94</v>
      </c>
      <c r="M78" s="16">
        <f t="shared" si="15"/>
        <v>0.47245179063360881</v>
      </c>
      <c r="N78" s="62" t="str">
        <f t="shared" si="21"/>
        <v/>
      </c>
      <c r="O78" s="63" t="e">
        <f>VLOOKUP($N78,Herbicide_Data!$A$1:$L$61,9)</f>
        <v>#N/A</v>
      </c>
      <c r="P78" s="62" t="e">
        <f>VLOOKUP($N78,Herbicide_Data!$A$1:$P$61,13)</f>
        <v>#N/A</v>
      </c>
      <c r="Q78" s="16" t="e">
        <f t="shared" si="16"/>
        <v>#N/A</v>
      </c>
      <c r="R78" s="62" t="str">
        <f t="shared" si="22"/>
        <v/>
      </c>
      <c r="S78" s="63" t="e">
        <f>VLOOKUP($R78,Herbicide_Data!$A$1:$L$61,9)</f>
        <v>#N/A</v>
      </c>
      <c r="T78" s="62" t="e">
        <f>VLOOKUP($R78,Herbicide_Data!$A$1:$Q$61,13)</f>
        <v>#N/A</v>
      </c>
      <c r="U78" s="16" t="e">
        <f t="shared" si="17"/>
        <v>#N/A</v>
      </c>
      <c r="V78" s="62" t="b">
        <f t="shared" si="23"/>
        <v>0</v>
      </c>
      <c r="W78" s="63" t="e">
        <f>VLOOKUP($V78,Herbicide_Data!$A$1:$L$17,9)</f>
        <v>#N/A</v>
      </c>
      <c r="X78" s="62" t="e">
        <f>VLOOKUP($V78,Herbicide_Data!$A$1:$L$17,12)</f>
        <v>#N/A</v>
      </c>
      <c r="Y78" s="16" t="e">
        <f t="shared" si="18"/>
        <v>#N/A</v>
      </c>
      <c r="Z78" s="15"/>
      <c r="AA78" s="13"/>
      <c r="AB78" s="17"/>
      <c r="AC78" s="3"/>
      <c r="AD78" s="10"/>
      <c r="AE78" s="3"/>
      <c r="AF78" s="10"/>
      <c r="AG78" s="15"/>
      <c r="AH78" s="62" t="str">
        <f t="shared" si="12"/>
        <v/>
      </c>
      <c r="AI78" s="62" t="e">
        <f>VLOOKUP($AH78,Herbicide_Data!$A$1:$Q$61,13)</f>
        <v>#N/A</v>
      </c>
      <c r="AJ78" s="16" t="e">
        <f t="shared" si="19"/>
        <v>#N/A</v>
      </c>
      <c r="AK78" s="3"/>
      <c r="AL78" s="3"/>
      <c r="AM78" s="3"/>
      <c r="AN78" s="3"/>
      <c r="AO78" s="3"/>
      <c r="AP78" s="3"/>
      <c r="AQ78" s="18"/>
      <c r="AR78" s="19"/>
      <c r="AS78" s="19"/>
      <c r="AT78" s="20"/>
      <c r="AU78" s="20"/>
      <c r="AV78" s="21"/>
      <c r="AW78" s="22"/>
      <c r="AX78" s="19"/>
      <c r="AY78" s="19"/>
      <c r="AZ78" s="19"/>
      <c r="BA78" s="23"/>
      <c r="BB78" s="19"/>
      <c r="BC78" s="19"/>
      <c r="BD78" s="19"/>
    </row>
    <row r="79" spans="1:56" ht="72">
      <c r="A79" s="13" t="s">
        <v>586</v>
      </c>
      <c r="B79" s="11">
        <v>45952</v>
      </c>
      <c r="C79" s="12">
        <f t="shared" ca="1" si="13"/>
        <v>0.63285474536678521</v>
      </c>
      <c r="D79" s="12">
        <f t="shared" ca="1" si="14"/>
        <v>0.65368804536678526</v>
      </c>
      <c r="E79" s="10" t="s">
        <v>85</v>
      </c>
      <c r="F79" s="10">
        <f>IFERROR(VLOOKUP(E79,Data!A$2:B$5,2,TRUE), "")</f>
        <v>48160</v>
      </c>
      <c r="G79" s="3" t="s">
        <v>378</v>
      </c>
      <c r="H79" s="13">
        <f>IFERROR(VLOOKUP(A79,Customer_Data!$A$1:$P$114,8,TRUE),"")</f>
        <v>7000</v>
      </c>
      <c r="I79" s="13"/>
      <c r="J79" s="3" t="str">
        <f t="shared" si="20"/>
        <v>Princep Liquid (100-526)</v>
      </c>
      <c r="K79" s="62" t="str">
        <f>(VLOOKUP($J79,Herbicide_Data!$A$1:$L$61,9,TRUE))</f>
        <v>Simazine</v>
      </c>
      <c r="L79" s="62">
        <f>VLOOKUP($J79,Herbicide_Data!$A$1:$L$61,12,TRUE)</f>
        <v>32</v>
      </c>
      <c r="M79" s="16">
        <f t="shared" si="15"/>
        <v>5.1423324150596876</v>
      </c>
      <c r="N79" s="62" t="str">
        <f t="shared" si="21"/>
        <v>Triplet SF (3-Way) 228-312</v>
      </c>
      <c r="O79" s="63" t="str">
        <f>VLOOKUP($N79,Herbicide_Data!$A$1:$L$61,9)</f>
        <v>2,4-D, dimethylamine salt; Dicamba, dimethylamine salt;Mecoprop-p (MCPP-p), dimethylamine salt</v>
      </c>
      <c r="P79" s="62">
        <f>VLOOKUP($N79,Herbicide_Data!$A$1:$P$61,13)</f>
        <v>24</v>
      </c>
      <c r="Q79" s="16">
        <f t="shared" si="16"/>
        <v>3.8567493112947657</v>
      </c>
      <c r="R79" s="62" t="str">
        <f t="shared" si="22"/>
        <v>Resolute 4Fl (100-1139)</v>
      </c>
      <c r="S79" s="63" t="str">
        <f>VLOOKUP($R79,Herbicide_Data!$A$1:$L$61,9)</f>
        <v>Prodiamine</v>
      </c>
      <c r="T79" s="62">
        <f>VLOOKUP($R79,Herbicide_Data!$A$1:$Q$61,13)</f>
        <v>16</v>
      </c>
      <c r="U79" s="16">
        <f t="shared" si="17"/>
        <v>2.5711662075298438</v>
      </c>
      <c r="V79" s="62" t="b">
        <f t="shared" si="23"/>
        <v>0</v>
      </c>
      <c r="W79" s="63" t="e">
        <f>VLOOKUP($V79,Herbicide_Data!$A$1:$L$17,9)</f>
        <v>#N/A</v>
      </c>
      <c r="X79" s="62" t="e">
        <f>VLOOKUP($V79,Herbicide_Data!$A$1:$L$17,12)</f>
        <v>#N/A</v>
      </c>
      <c r="Y79" s="16" t="e">
        <f t="shared" si="18"/>
        <v>#N/A</v>
      </c>
      <c r="Z79" s="15"/>
      <c r="AA79" s="13"/>
      <c r="AB79" s="17"/>
      <c r="AC79" s="3"/>
      <c r="AD79" s="10"/>
      <c r="AE79" s="3"/>
      <c r="AF79" s="10"/>
      <c r="AG79" s="15"/>
      <c r="AH79" s="62" t="str">
        <f t="shared" si="12"/>
        <v/>
      </c>
      <c r="AI79" s="62" t="e">
        <f>VLOOKUP($AH79,Herbicide_Data!$A$1:$Q$61,13)</f>
        <v>#N/A</v>
      </c>
      <c r="AJ79" s="16" t="e">
        <f t="shared" si="19"/>
        <v>#N/A</v>
      </c>
      <c r="AK79" s="3"/>
      <c r="AL79" s="3"/>
      <c r="AM79" s="3"/>
      <c r="AN79" s="3"/>
      <c r="AO79" s="3"/>
      <c r="AP79" s="3"/>
      <c r="AQ79" s="18"/>
      <c r="AR79" s="19"/>
      <c r="AS79" s="19"/>
      <c r="AT79" s="20"/>
      <c r="AU79" s="20"/>
      <c r="AV79" s="21"/>
      <c r="AW79" s="22"/>
      <c r="AX79" s="19"/>
      <c r="AY79" s="19"/>
      <c r="AZ79" s="19"/>
      <c r="BA79" s="23"/>
      <c r="BB79" s="19"/>
      <c r="BC79" s="19"/>
      <c r="BD79" s="19"/>
    </row>
    <row r="80" spans="1:56">
      <c r="A80" s="13" t="s">
        <v>588</v>
      </c>
      <c r="B80" s="11">
        <v>45801</v>
      </c>
      <c r="C80" s="12">
        <f t="shared" ca="1" si="13"/>
        <v>0.63285474536678521</v>
      </c>
      <c r="D80" s="12">
        <f t="shared" ca="1" si="14"/>
        <v>0.65368804536678526</v>
      </c>
      <c r="E80" s="10" t="s">
        <v>85</v>
      </c>
      <c r="F80" s="10">
        <f>IFERROR(VLOOKUP(E80,Data!A$2:B$5,2,TRUE), "")</f>
        <v>48160</v>
      </c>
      <c r="G80" s="3" t="s">
        <v>98</v>
      </c>
      <c r="H80" s="13">
        <f>IFERROR(VLOOKUP(A80,Customer_Data!$A$1:$P$114,8,TRUE),"")</f>
        <v>9000</v>
      </c>
      <c r="I80" s="13"/>
      <c r="J80" s="3" t="str">
        <f t="shared" si="20"/>
        <v>Harrell's 34-0-5</v>
      </c>
      <c r="K80" s="62" t="str">
        <f>(VLOOKUP($J80,Herbicide_Data!$A$1:$L$61,9,TRUE))</f>
        <v>Nitrogen</v>
      </c>
      <c r="L80" s="62">
        <f>VLOOKUP($J80,Herbicide_Data!$A$1:$L$61,12,TRUE)</f>
        <v>2.94</v>
      </c>
      <c r="M80" s="16">
        <f t="shared" si="15"/>
        <v>0.6074380165289256</v>
      </c>
      <c r="N80" s="62" t="str">
        <f t="shared" si="21"/>
        <v/>
      </c>
      <c r="O80" s="63" t="e">
        <f>VLOOKUP($N80,Herbicide_Data!$A$1:$L$61,9)</f>
        <v>#N/A</v>
      </c>
      <c r="P80" s="62" t="e">
        <f>VLOOKUP($N80,Herbicide_Data!$A$1:$P$61,13)</f>
        <v>#N/A</v>
      </c>
      <c r="Q80" s="16" t="e">
        <f t="shared" si="16"/>
        <v>#N/A</v>
      </c>
      <c r="R80" s="62" t="str">
        <f t="shared" si="22"/>
        <v/>
      </c>
      <c r="S80" s="63" t="e">
        <f>VLOOKUP($R80,Herbicide_Data!$A$1:$L$61,9)</f>
        <v>#N/A</v>
      </c>
      <c r="T80" s="62" t="e">
        <f>VLOOKUP($R80,Herbicide_Data!$A$1:$Q$61,13)</f>
        <v>#N/A</v>
      </c>
      <c r="U80" s="16" t="e">
        <f t="shared" si="17"/>
        <v>#N/A</v>
      </c>
      <c r="V80" s="62" t="b">
        <f t="shared" si="23"/>
        <v>0</v>
      </c>
      <c r="W80" s="63" t="e">
        <f>VLOOKUP($V80,Herbicide_Data!$A$1:$L$17,9)</f>
        <v>#N/A</v>
      </c>
      <c r="X80" s="62" t="e">
        <f>VLOOKUP($V80,Herbicide_Data!$A$1:$L$17,12)</f>
        <v>#N/A</v>
      </c>
      <c r="Y80" s="16" t="e">
        <f t="shared" si="18"/>
        <v>#N/A</v>
      </c>
      <c r="Z80" s="15"/>
      <c r="AA80" s="13"/>
      <c r="AB80" s="17"/>
      <c r="AC80" s="3"/>
      <c r="AD80" s="10"/>
      <c r="AE80" s="3"/>
      <c r="AF80" s="10"/>
      <c r="AG80" s="15"/>
      <c r="AH80" s="62" t="str">
        <f t="shared" si="12"/>
        <v/>
      </c>
      <c r="AI80" s="62" t="e">
        <f>VLOOKUP($AH80,Herbicide_Data!$A$1:$Q$61,13)</f>
        <v>#N/A</v>
      </c>
      <c r="AJ80" s="16" t="e">
        <f t="shared" si="19"/>
        <v>#N/A</v>
      </c>
      <c r="AK80" s="3"/>
      <c r="AL80" s="3"/>
      <c r="AM80" s="3"/>
      <c r="AN80" s="3"/>
      <c r="AO80" s="3"/>
      <c r="AP80" s="3"/>
      <c r="AQ80" s="18"/>
      <c r="AR80" s="19"/>
      <c r="AS80" s="19"/>
      <c r="AT80" s="20"/>
      <c r="AU80" s="20"/>
      <c r="AV80" s="21"/>
      <c r="AW80" s="22"/>
      <c r="AX80" s="19"/>
      <c r="AY80" s="19"/>
      <c r="AZ80" s="19"/>
      <c r="BA80" s="23"/>
      <c r="BB80" s="19"/>
      <c r="BC80" s="19"/>
      <c r="BD80" s="19"/>
    </row>
    <row r="81" spans="1:56">
      <c r="A81" s="13" t="s">
        <v>591</v>
      </c>
      <c r="B81" s="11">
        <v>45801</v>
      </c>
      <c r="C81" s="12">
        <f t="shared" ca="1" si="13"/>
        <v>0.63285474536678521</v>
      </c>
      <c r="D81" s="12">
        <f t="shared" ca="1" si="14"/>
        <v>0.65368804536678526</v>
      </c>
      <c r="E81" s="10" t="s">
        <v>85</v>
      </c>
      <c r="F81" s="10">
        <f>IFERROR(VLOOKUP(E81,Data!A$2:B$5,2,TRUE), "")</f>
        <v>48160</v>
      </c>
      <c r="G81" s="3" t="s">
        <v>98</v>
      </c>
      <c r="H81" s="13">
        <f>IFERROR(VLOOKUP(A81,Customer_Data!$A$1:$P$114,8,TRUE),"")</f>
        <v>9000</v>
      </c>
      <c r="I81" s="13"/>
      <c r="J81" s="3" t="str">
        <f t="shared" si="20"/>
        <v>Harrell's 34-0-5</v>
      </c>
      <c r="K81" s="62" t="str">
        <f>(VLOOKUP($J81,Herbicide_Data!$A$1:$L$61,9,TRUE))</f>
        <v>Nitrogen</v>
      </c>
      <c r="L81" s="62">
        <f>VLOOKUP($J81,Herbicide_Data!$A$1:$L$61,12,TRUE)</f>
        <v>2.94</v>
      </c>
      <c r="M81" s="16">
        <f t="shared" si="15"/>
        <v>0.6074380165289256</v>
      </c>
      <c r="N81" s="62" t="str">
        <f t="shared" si="21"/>
        <v/>
      </c>
      <c r="O81" s="63" t="e">
        <f>VLOOKUP($N81,Herbicide_Data!$A$1:$L$61,9)</f>
        <v>#N/A</v>
      </c>
      <c r="P81" s="62" t="e">
        <f>VLOOKUP($N81,Herbicide_Data!$A$1:$P$61,13)</f>
        <v>#N/A</v>
      </c>
      <c r="Q81" s="16" t="e">
        <f t="shared" si="16"/>
        <v>#N/A</v>
      </c>
      <c r="R81" s="62" t="str">
        <f t="shared" si="22"/>
        <v/>
      </c>
      <c r="S81" s="63" t="e">
        <f>VLOOKUP($R81,Herbicide_Data!$A$1:$L$61,9)</f>
        <v>#N/A</v>
      </c>
      <c r="T81" s="62" t="e">
        <f>VLOOKUP($R81,Herbicide_Data!$A$1:$Q$61,13)</f>
        <v>#N/A</v>
      </c>
      <c r="U81" s="16" t="e">
        <f t="shared" si="17"/>
        <v>#N/A</v>
      </c>
      <c r="V81" s="62" t="b">
        <f t="shared" si="23"/>
        <v>0</v>
      </c>
      <c r="W81" s="63" t="e">
        <f>VLOOKUP($V81,Herbicide_Data!$A$1:$L$17,9)</f>
        <v>#N/A</v>
      </c>
      <c r="X81" s="62" t="e">
        <f>VLOOKUP($V81,Herbicide_Data!$A$1:$L$17,12)</f>
        <v>#N/A</v>
      </c>
      <c r="Y81" s="16" t="e">
        <f t="shared" si="18"/>
        <v>#N/A</v>
      </c>
      <c r="Z81" s="15"/>
      <c r="AA81" s="13"/>
      <c r="AB81" s="17"/>
      <c r="AC81" s="3"/>
      <c r="AD81" s="10"/>
      <c r="AE81" s="3"/>
      <c r="AF81" s="10"/>
      <c r="AG81" s="15"/>
      <c r="AH81" s="62" t="str">
        <f t="shared" si="12"/>
        <v/>
      </c>
      <c r="AI81" s="62" t="e">
        <f>VLOOKUP($AH81,Herbicide_Data!$A$1:$Q$61,13)</f>
        <v>#N/A</v>
      </c>
      <c r="AJ81" s="16" t="e">
        <f t="shared" si="19"/>
        <v>#N/A</v>
      </c>
      <c r="AK81" s="3"/>
      <c r="AL81" s="3"/>
      <c r="AM81" s="3"/>
      <c r="AN81" s="3"/>
      <c r="AO81" s="3"/>
      <c r="AP81" s="3"/>
      <c r="AQ81" s="18"/>
      <c r="AR81" s="19"/>
      <c r="AS81" s="19"/>
      <c r="AT81" s="20"/>
      <c r="AU81" s="20"/>
      <c r="AV81" s="21"/>
      <c r="AW81" s="22"/>
      <c r="AX81" s="19"/>
      <c r="AY81" s="19"/>
      <c r="AZ81" s="19"/>
      <c r="BA81" s="23"/>
      <c r="BB81" s="19"/>
      <c r="BC81" s="19"/>
      <c r="BD81" s="19"/>
    </row>
    <row r="82" spans="1:56" ht="72">
      <c r="A82" s="13" t="s">
        <v>591</v>
      </c>
      <c r="B82" s="11">
        <v>45948</v>
      </c>
      <c r="C82" s="12">
        <f t="shared" ca="1" si="13"/>
        <v>0.63285474536678521</v>
      </c>
      <c r="D82" s="12">
        <f t="shared" ca="1" si="14"/>
        <v>0.65368804536678526</v>
      </c>
      <c r="E82" s="10" t="s">
        <v>86</v>
      </c>
      <c r="F82" s="10">
        <f>IFERROR(VLOOKUP(E82,Data!A$2:B$5,2,TRUE), "")</f>
        <v>48182</v>
      </c>
      <c r="G82" s="3" t="s">
        <v>378</v>
      </c>
      <c r="H82" s="13">
        <f>IFERROR(VLOOKUP(A82,Customer_Data!$A$1:$P$114,8,TRUE),"")</f>
        <v>9000</v>
      </c>
      <c r="I82" s="13"/>
      <c r="J82" s="3" t="str">
        <f t="shared" si="20"/>
        <v>Princep Liquid (100-526)</v>
      </c>
      <c r="K82" s="62" t="str">
        <f>(VLOOKUP($J82,Herbicide_Data!$A$1:$L$61,9,TRUE))</f>
        <v>Simazine</v>
      </c>
      <c r="L82" s="62">
        <f>VLOOKUP($J82,Herbicide_Data!$A$1:$L$61,12,TRUE)</f>
        <v>32</v>
      </c>
      <c r="M82" s="16">
        <f t="shared" si="15"/>
        <v>6.6115702479338845</v>
      </c>
      <c r="N82" s="62" t="str">
        <f t="shared" si="21"/>
        <v>Triplet SF (3-Way) 228-312</v>
      </c>
      <c r="O82" s="63" t="str">
        <f>VLOOKUP($N82,Herbicide_Data!$A$1:$L$61,9)</f>
        <v>2,4-D, dimethylamine salt; Dicamba, dimethylamine salt;Mecoprop-p (MCPP-p), dimethylamine salt</v>
      </c>
      <c r="P82" s="62">
        <f>VLOOKUP($N82,Herbicide_Data!$A$1:$P$61,13)</f>
        <v>24</v>
      </c>
      <c r="Q82" s="16">
        <f t="shared" si="16"/>
        <v>4.9586776859504136</v>
      </c>
      <c r="R82" s="62" t="str">
        <f t="shared" si="22"/>
        <v>Resolute 4Fl (100-1139)</v>
      </c>
      <c r="S82" s="63" t="str">
        <f>VLOOKUP($R82,Herbicide_Data!$A$1:$L$61,9)</f>
        <v>Prodiamine</v>
      </c>
      <c r="T82" s="62">
        <f>VLOOKUP($R82,Herbicide_Data!$A$1:$Q$61,13)</f>
        <v>16</v>
      </c>
      <c r="U82" s="16">
        <f t="shared" si="17"/>
        <v>3.3057851239669422</v>
      </c>
      <c r="V82" s="62" t="b">
        <f t="shared" si="23"/>
        <v>0</v>
      </c>
      <c r="W82" s="63" t="e">
        <f>VLOOKUP($V82,Herbicide_Data!$A$1:$L$17,9)</f>
        <v>#N/A</v>
      </c>
      <c r="X82" s="62" t="e">
        <f>VLOOKUP($V82,Herbicide_Data!$A$1:$L$17,12)</f>
        <v>#N/A</v>
      </c>
      <c r="Y82" s="16" t="e">
        <f t="shared" si="18"/>
        <v>#N/A</v>
      </c>
      <c r="Z82" s="15"/>
      <c r="AA82" s="13"/>
      <c r="AB82" s="17"/>
      <c r="AC82" s="3"/>
      <c r="AD82" s="10"/>
      <c r="AE82" s="3"/>
      <c r="AF82" s="10"/>
      <c r="AG82" s="15"/>
      <c r="AH82" s="62" t="str">
        <f t="shared" si="12"/>
        <v/>
      </c>
      <c r="AI82" s="62" t="e">
        <f>VLOOKUP($AH82,Herbicide_Data!$A$1:$Q$61,13)</f>
        <v>#N/A</v>
      </c>
      <c r="AJ82" s="16" t="e">
        <f t="shared" si="19"/>
        <v>#N/A</v>
      </c>
      <c r="AK82" s="3"/>
      <c r="AL82" s="3"/>
      <c r="AM82" s="3"/>
      <c r="AN82" s="3"/>
      <c r="AO82" s="3"/>
      <c r="AP82" s="3"/>
      <c r="AQ82" s="18"/>
      <c r="AR82" s="19"/>
      <c r="AS82" s="19"/>
      <c r="AT82" s="20"/>
      <c r="AU82" s="20"/>
      <c r="AV82" s="21"/>
      <c r="AW82" s="22"/>
      <c r="AX82" s="19"/>
      <c r="AY82" s="19"/>
      <c r="AZ82" s="19"/>
      <c r="BA82" s="23"/>
      <c r="BB82" s="19"/>
      <c r="BC82" s="19"/>
      <c r="BD82" s="19"/>
    </row>
    <row r="83" spans="1:56">
      <c r="A83" s="13" t="s">
        <v>593</v>
      </c>
      <c r="B83" s="11">
        <v>45801</v>
      </c>
      <c r="C83" s="12">
        <f t="shared" ca="1" si="13"/>
        <v>0.63285474536678521</v>
      </c>
      <c r="D83" s="12">
        <f t="shared" ca="1" si="14"/>
        <v>0.65368804536678526</v>
      </c>
      <c r="E83" s="10" t="s">
        <v>86</v>
      </c>
      <c r="F83" s="10">
        <f>IFERROR(VLOOKUP(E83,Data!A$2:B$5,2,TRUE), "")</f>
        <v>48182</v>
      </c>
      <c r="G83" s="3" t="s">
        <v>98</v>
      </c>
      <c r="H83" s="13">
        <f>IFERROR(VLOOKUP(A83,Customer_Data!$A$1:$P$114,8,TRUE),"")</f>
        <v>6500</v>
      </c>
      <c r="I83" s="13"/>
      <c r="J83" s="3" t="str">
        <f t="shared" si="20"/>
        <v>Harrell's 34-0-5</v>
      </c>
      <c r="K83" s="62" t="str">
        <f>(VLOOKUP($J83,Herbicide_Data!$A$1:$L$61,9,TRUE))</f>
        <v>Nitrogen</v>
      </c>
      <c r="L83" s="62">
        <f>VLOOKUP($J83,Herbicide_Data!$A$1:$L$61,12,TRUE)</f>
        <v>2.94</v>
      </c>
      <c r="M83" s="16">
        <f t="shared" si="15"/>
        <v>0.43870523415977958</v>
      </c>
      <c r="N83" s="62" t="str">
        <f t="shared" si="21"/>
        <v/>
      </c>
      <c r="O83" s="63" t="e">
        <f>VLOOKUP($N83,Herbicide_Data!$A$1:$L$61,9)</f>
        <v>#N/A</v>
      </c>
      <c r="P83" s="62" t="e">
        <f>VLOOKUP($N83,Herbicide_Data!$A$1:$P$61,13)</f>
        <v>#N/A</v>
      </c>
      <c r="Q83" s="16" t="e">
        <f t="shared" si="16"/>
        <v>#N/A</v>
      </c>
      <c r="R83" s="62" t="str">
        <f t="shared" si="22"/>
        <v/>
      </c>
      <c r="S83" s="63" t="e">
        <f>VLOOKUP($R83,Herbicide_Data!$A$1:$L$61,9)</f>
        <v>#N/A</v>
      </c>
      <c r="T83" s="62" t="e">
        <f>VLOOKUP($R83,Herbicide_Data!$A$1:$Q$61,13)</f>
        <v>#N/A</v>
      </c>
      <c r="U83" s="16" t="e">
        <f t="shared" si="17"/>
        <v>#N/A</v>
      </c>
      <c r="V83" s="62" t="b">
        <f t="shared" si="23"/>
        <v>0</v>
      </c>
      <c r="W83" s="63" t="e">
        <f>VLOOKUP($V83,Herbicide_Data!$A$1:$L$17,9)</f>
        <v>#N/A</v>
      </c>
      <c r="X83" s="62" t="e">
        <f>VLOOKUP($V83,Herbicide_Data!$A$1:$L$17,12)</f>
        <v>#N/A</v>
      </c>
      <c r="Y83" s="16" t="e">
        <f t="shared" si="18"/>
        <v>#N/A</v>
      </c>
      <c r="Z83" s="15"/>
      <c r="AA83" s="13"/>
      <c r="AB83" s="17"/>
      <c r="AC83" s="3"/>
      <c r="AD83" s="10"/>
      <c r="AE83" s="3"/>
      <c r="AF83" s="10"/>
      <c r="AG83" s="15"/>
      <c r="AH83" s="62" t="str">
        <f t="shared" si="12"/>
        <v/>
      </c>
      <c r="AI83" s="62" t="e">
        <f>VLOOKUP($AH83,Herbicide_Data!$A$1:$Q$61,13)</f>
        <v>#N/A</v>
      </c>
      <c r="AJ83" s="16" t="e">
        <f t="shared" si="19"/>
        <v>#N/A</v>
      </c>
      <c r="AK83" s="3"/>
      <c r="AL83" s="3"/>
      <c r="AM83" s="3"/>
      <c r="AN83" s="3"/>
      <c r="AO83" s="3"/>
      <c r="AP83" s="3"/>
      <c r="AQ83" s="18"/>
      <c r="AR83" s="19"/>
      <c r="AS83" s="19"/>
      <c r="AT83" s="20"/>
      <c r="AU83" s="20"/>
      <c r="AV83" s="21"/>
      <c r="AW83" s="22"/>
      <c r="AX83" s="19"/>
      <c r="AY83" s="19"/>
      <c r="AZ83" s="19"/>
      <c r="BA83" s="23"/>
      <c r="BB83" s="19"/>
      <c r="BC83" s="19"/>
      <c r="BD83" s="19"/>
    </row>
    <row r="84" spans="1:56" ht="72">
      <c r="A84" s="13" t="s">
        <v>593</v>
      </c>
      <c r="B84" s="11">
        <v>45948</v>
      </c>
      <c r="C84" s="12">
        <f t="shared" ca="1" si="13"/>
        <v>0.63285474536678521</v>
      </c>
      <c r="D84" s="12">
        <f t="shared" ca="1" si="14"/>
        <v>0.65368804536678526</v>
      </c>
      <c r="E84" s="10" t="s">
        <v>85</v>
      </c>
      <c r="F84" s="10">
        <f>IFERROR(VLOOKUP(E84,Data!A$2:B$5,2,TRUE), "")</f>
        <v>48160</v>
      </c>
      <c r="G84" s="3" t="s">
        <v>378</v>
      </c>
      <c r="H84" s="13">
        <f>IFERROR(VLOOKUP(A84,Customer_Data!$A$1:$P$114,8,TRUE),"")</f>
        <v>6500</v>
      </c>
      <c r="I84" s="13"/>
      <c r="J84" s="3" t="str">
        <f t="shared" si="20"/>
        <v>Princep Liquid (100-526)</v>
      </c>
      <c r="K84" s="62" t="str">
        <f>(VLOOKUP($J84,Herbicide_Data!$A$1:$L$61,9,TRUE))</f>
        <v>Simazine</v>
      </c>
      <c r="L84" s="62">
        <f>VLOOKUP($J84,Herbicide_Data!$A$1:$L$61,12,TRUE)</f>
        <v>32</v>
      </c>
      <c r="M84" s="16">
        <f t="shared" si="15"/>
        <v>4.7750229568411386</v>
      </c>
      <c r="N84" s="62" t="str">
        <f t="shared" si="21"/>
        <v>Triplet SF (3-Way) 228-312</v>
      </c>
      <c r="O84" s="63" t="str">
        <f>VLOOKUP($N84,Herbicide_Data!$A$1:$L$61,9)</f>
        <v>2,4-D, dimethylamine salt; Dicamba, dimethylamine salt;Mecoprop-p (MCPP-p), dimethylamine salt</v>
      </c>
      <c r="P84" s="62">
        <f>VLOOKUP($N84,Herbicide_Data!$A$1:$P$61,13)</f>
        <v>24</v>
      </c>
      <c r="Q84" s="16">
        <f t="shared" si="16"/>
        <v>3.5812672176308542</v>
      </c>
      <c r="R84" s="62" t="str">
        <f t="shared" si="22"/>
        <v>Resolute 4Fl (100-1139)</v>
      </c>
      <c r="S84" s="63" t="str">
        <f>VLOOKUP($R84,Herbicide_Data!$A$1:$L$61,9)</f>
        <v>Prodiamine</v>
      </c>
      <c r="T84" s="62">
        <f>VLOOKUP($R84,Herbicide_Data!$A$1:$Q$61,13)</f>
        <v>16</v>
      </c>
      <c r="U84" s="16">
        <f t="shared" si="17"/>
        <v>2.3875114784205693</v>
      </c>
      <c r="V84" s="62" t="b">
        <f t="shared" si="23"/>
        <v>0</v>
      </c>
      <c r="W84" s="63" t="e">
        <f>VLOOKUP($V84,Herbicide_Data!$A$1:$L$17,9)</f>
        <v>#N/A</v>
      </c>
      <c r="X84" s="62" t="e">
        <f>VLOOKUP($V84,Herbicide_Data!$A$1:$L$17,12)</f>
        <v>#N/A</v>
      </c>
      <c r="Y84" s="16" t="e">
        <f t="shared" si="18"/>
        <v>#N/A</v>
      </c>
      <c r="Z84" s="15"/>
      <c r="AA84" s="13"/>
      <c r="AB84" s="17"/>
      <c r="AC84" s="3"/>
      <c r="AD84" s="10"/>
      <c r="AE84" s="3"/>
      <c r="AF84" s="10"/>
      <c r="AG84" s="15"/>
      <c r="AH84" s="62" t="str">
        <f t="shared" si="12"/>
        <v/>
      </c>
      <c r="AI84" s="62" t="e">
        <f>VLOOKUP($AH84,Herbicide_Data!$A$1:$Q$61,13)</f>
        <v>#N/A</v>
      </c>
      <c r="AJ84" s="16" t="e">
        <f t="shared" si="19"/>
        <v>#N/A</v>
      </c>
      <c r="AK84" s="3"/>
      <c r="AL84" s="3"/>
      <c r="AM84" s="3"/>
      <c r="AN84" s="3"/>
      <c r="AO84" s="3"/>
      <c r="AP84" s="3"/>
      <c r="AQ84" s="18"/>
      <c r="AR84" s="19"/>
      <c r="AS84" s="19"/>
      <c r="AT84" s="20"/>
      <c r="AU84" s="20"/>
      <c r="AV84" s="21"/>
      <c r="AW84" s="22"/>
      <c r="AX84" s="19"/>
      <c r="AY84" s="19"/>
      <c r="AZ84" s="19"/>
      <c r="BA84" s="23"/>
      <c r="BB84" s="19"/>
      <c r="BC84" s="19"/>
      <c r="BD84" s="19"/>
    </row>
    <row r="85" spans="1:56">
      <c r="A85" s="13" t="s">
        <v>595</v>
      </c>
      <c r="B85" s="11">
        <v>45802</v>
      </c>
      <c r="C85" s="12">
        <f t="shared" ca="1" si="13"/>
        <v>0.63285474536678521</v>
      </c>
      <c r="D85" s="12">
        <f t="shared" ca="1" si="14"/>
        <v>0.65368804536678526</v>
      </c>
      <c r="E85" s="10" t="s">
        <v>85</v>
      </c>
      <c r="F85" s="10">
        <f>IFERROR(VLOOKUP(E85,Data!A$2:B$5,2,TRUE), "")</f>
        <v>48160</v>
      </c>
      <c r="G85" s="3" t="s">
        <v>98</v>
      </c>
      <c r="H85" s="13">
        <f>IFERROR(VLOOKUP(A85,Customer_Data!$A$1:$P$114,8,TRUE),"")</f>
        <v>5900</v>
      </c>
      <c r="I85" s="13"/>
      <c r="J85" s="3" t="str">
        <f t="shared" si="20"/>
        <v>Harrell's 34-0-5</v>
      </c>
      <c r="K85" s="62" t="str">
        <f>(VLOOKUP($J85,Herbicide_Data!$A$1:$L$61,9,TRUE))</f>
        <v>Nitrogen</v>
      </c>
      <c r="L85" s="62">
        <f>VLOOKUP($J85,Herbicide_Data!$A$1:$L$61,12,TRUE)</f>
        <v>2.94</v>
      </c>
      <c r="M85" s="16">
        <f t="shared" si="15"/>
        <v>0.39820936639118454</v>
      </c>
      <c r="N85" s="62" t="str">
        <f t="shared" si="21"/>
        <v/>
      </c>
      <c r="O85" s="63" t="e">
        <f>VLOOKUP($N85,Herbicide_Data!$A$1:$L$61,9)</f>
        <v>#N/A</v>
      </c>
      <c r="P85" s="62" t="e">
        <f>VLOOKUP($N85,Herbicide_Data!$A$1:$P$61,13)</f>
        <v>#N/A</v>
      </c>
      <c r="Q85" s="16" t="e">
        <f t="shared" si="16"/>
        <v>#N/A</v>
      </c>
      <c r="R85" s="62" t="str">
        <f t="shared" si="22"/>
        <v/>
      </c>
      <c r="S85" s="63" t="e">
        <f>VLOOKUP($R85,Herbicide_Data!$A$1:$L$61,9)</f>
        <v>#N/A</v>
      </c>
      <c r="T85" s="62" t="e">
        <f>VLOOKUP($R85,Herbicide_Data!$A$1:$Q$61,13)</f>
        <v>#N/A</v>
      </c>
      <c r="U85" s="16" t="e">
        <f t="shared" si="17"/>
        <v>#N/A</v>
      </c>
      <c r="V85" s="62" t="b">
        <f t="shared" si="23"/>
        <v>0</v>
      </c>
      <c r="W85" s="63" t="e">
        <f>VLOOKUP($V85,Herbicide_Data!$A$1:$L$17,9)</f>
        <v>#N/A</v>
      </c>
      <c r="X85" s="62" t="e">
        <f>VLOOKUP($V85,Herbicide_Data!$A$1:$L$17,12)</f>
        <v>#N/A</v>
      </c>
      <c r="Y85" s="16" t="e">
        <f t="shared" si="18"/>
        <v>#N/A</v>
      </c>
      <c r="Z85" s="15"/>
      <c r="AA85" s="13"/>
      <c r="AB85" s="17"/>
      <c r="AC85" s="3"/>
      <c r="AD85" s="10"/>
      <c r="AE85" s="3"/>
      <c r="AF85" s="10"/>
      <c r="AG85" s="15"/>
      <c r="AH85" s="62" t="str">
        <f t="shared" si="12"/>
        <v/>
      </c>
      <c r="AI85" s="62" t="e">
        <f>VLOOKUP($AH85,Herbicide_Data!$A$1:$Q$61,13)</f>
        <v>#N/A</v>
      </c>
      <c r="AJ85" s="16" t="e">
        <f t="shared" si="19"/>
        <v>#N/A</v>
      </c>
      <c r="AK85" s="3"/>
      <c r="AL85" s="3"/>
      <c r="AM85" s="3"/>
      <c r="AN85" s="3"/>
      <c r="AO85" s="3"/>
      <c r="AP85" s="3"/>
      <c r="AQ85" s="18"/>
      <c r="AR85" s="19"/>
      <c r="AS85" s="19"/>
      <c r="AT85" s="20"/>
      <c r="AU85" s="20"/>
      <c r="AV85" s="21"/>
      <c r="AW85" s="22"/>
      <c r="AX85" s="19"/>
      <c r="AY85" s="19"/>
      <c r="AZ85" s="19"/>
      <c r="BA85" s="23"/>
      <c r="BB85" s="19"/>
      <c r="BC85" s="19"/>
      <c r="BD85" s="19"/>
    </row>
    <row r="86" spans="1:56" ht="72">
      <c r="A86" s="13" t="s">
        <v>595</v>
      </c>
      <c r="B86" s="11">
        <v>45950</v>
      </c>
      <c r="C86" s="12">
        <f t="shared" ca="1" si="13"/>
        <v>0.63285474536678521</v>
      </c>
      <c r="D86" s="12">
        <f t="shared" ca="1" si="14"/>
        <v>0.65368804536678526</v>
      </c>
      <c r="E86" s="10" t="s">
        <v>85</v>
      </c>
      <c r="F86" s="10">
        <f>IFERROR(VLOOKUP(E86,Data!A$2:B$5,2,TRUE), "")</f>
        <v>48160</v>
      </c>
      <c r="G86" s="3" t="s">
        <v>378</v>
      </c>
      <c r="H86" s="13">
        <f>IFERROR(VLOOKUP(A86,Customer_Data!$A$1:$P$114,8,TRUE),"")</f>
        <v>5900</v>
      </c>
      <c r="I86" s="13"/>
      <c r="J86" s="3" t="str">
        <f t="shared" si="20"/>
        <v>Princep Liquid (100-526)</v>
      </c>
      <c r="K86" s="62" t="str">
        <f>(VLOOKUP($J86,Herbicide_Data!$A$1:$L$61,9,TRUE))</f>
        <v>Simazine</v>
      </c>
      <c r="L86" s="62">
        <f>VLOOKUP($J86,Herbicide_Data!$A$1:$L$61,12,TRUE)</f>
        <v>32</v>
      </c>
      <c r="M86" s="16">
        <f t="shared" si="15"/>
        <v>4.3342516069788797</v>
      </c>
      <c r="N86" s="62" t="str">
        <f t="shared" si="21"/>
        <v>Triplet SF (3-Way) 228-312</v>
      </c>
      <c r="O86" s="63" t="str">
        <f>VLOOKUP($N86,Herbicide_Data!$A$1:$L$61,9)</f>
        <v>2,4-D, dimethylamine salt; Dicamba, dimethylamine salt;Mecoprop-p (MCPP-p), dimethylamine salt</v>
      </c>
      <c r="P86" s="62">
        <f>VLOOKUP($N86,Herbicide_Data!$A$1:$P$61,13)</f>
        <v>24</v>
      </c>
      <c r="Q86" s="16">
        <f t="shared" si="16"/>
        <v>3.2506887052341598</v>
      </c>
      <c r="R86" s="62" t="str">
        <f t="shared" si="22"/>
        <v>Resolute 4Fl (100-1139)</v>
      </c>
      <c r="S86" s="63" t="str">
        <f>VLOOKUP($R86,Herbicide_Data!$A$1:$L$61,9)</f>
        <v>Prodiamine</v>
      </c>
      <c r="T86" s="62">
        <f>VLOOKUP($R86,Herbicide_Data!$A$1:$Q$61,13)</f>
        <v>16</v>
      </c>
      <c r="U86" s="16">
        <f t="shared" si="17"/>
        <v>2.1671258034894398</v>
      </c>
      <c r="V86" s="62" t="b">
        <f t="shared" si="23"/>
        <v>0</v>
      </c>
      <c r="W86" s="63" t="e">
        <f>VLOOKUP($V86,Herbicide_Data!$A$1:$L$17,9)</f>
        <v>#N/A</v>
      </c>
      <c r="X86" s="62" t="e">
        <f>VLOOKUP($V86,Herbicide_Data!$A$1:$L$17,12)</f>
        <v>#N/A</v>
      </c>
      <c r="Y86" s="16" t="e">
        <f t="shared" si="18"/>
        <v>#N/A</v>
      </c>
      <c r="Z86" s="15"/>
      <c r="AA86" s="13"/>
      <c r="AB86" s="17"/>
      <c r="AC86" s="3"/>
      <c r="AD86" s="10"/>
      <c r="AE86" s="3"/>
      <c r="AF86" s="10"/>
      <c r="AG86" s="15"/>
      <c r="AH86" s="62" t="str">
        <f t="shared" si="12"/>
        <v/>
      </c>
      <c r="AI86" s="62" t="e">
        <f>VLOOKUP($AH86,Herbicide_Data!$A$1:$Q$61,13)</f>
        <v>#N/A</v>
      </c>
      <c r="AJ86" s="16" t="e">
        <f t="shared" si="19"/>
        <v>#N/A</v>
      </c>
      <c r="AK86" s="3"/>
      <c r="AL86" s="3"/>
      <c r="AM86" s="3"/>
      <c r="AN86" s="3"/>
      <c r="AO86" s="3"/>
      <c r="AP86" s="3"/>
      <c r="AQ86" s="18"/>
      <c r="AR86" s="19"/>
      <c r="AS86" s="19"/>
      <c r="AT86" s="20"/>
      <c r="AU86" s="20"/>
      <c r="AV86" s="21"/>
      <c r="AW86" s="22"/>
      <c r="AX86" s="19"/>
      <c r="AY86" s="19"/>
      <c r="AZ86" s="19"/>
      <c r="BA86" s="23"/>
      <c r="BB86" s="19"/>
      <c r="BC86" s="19"/>
      <c r="BD86" s="19"/>
    </row>
    <row r="87" spans="1:56">
      <c r="A87" s="13" t="s">
        <v>597</v>
      </c>
      <c r="B87" s="11">
        <v>45801</v>
      </c>
      <c r="C87" s="12">
        <f t="shared" ca="1" si="13"/>
        <v>0.63285474536678521</v>
      </c>
      <c r="D87" s="12">
        <f t="shared" ca="1" si="14"/>
        <v>0.65368804536678526</v>
      </c>
      <c r="E87" s="10" t="s">
        <v>86</v>
      </c>
      <c r="F87" s="10">
        <f>IFERROR(VLOOKUP(E87,Data!A$2:B$5,2,TRUE), "")</f>
        <v>48182</v>
      </c>
      <c r="G87" s="3" t="s">
        <v>98</v>
      </c>
      <c r="H87" s="13">
        <f>IFERROR(VLOOKUP(A87,Customer_Data!$A$1:$P$114,8,TRUE),"")</f>
        <v>6400</v>
      </c>
      <c r="I87" s="13"/>
      <c r="J87" s="3" t="str">
        <f t="shared" si="20"/>
        <v>Harrell's 34-0-5</v>
      </c>
      <c r="K87" s="62" t="str">
        <f>(VLOOKUP($J87,Herbicide_Data!$A$1:$L$61,9,TRUE))</f>
        <v>Nitrogen</v>
      </c>
      <c r="L87" s="62">
        <f>VLOOKUP($J87,Herbicide_Data!$A$1:$L$61,12,TRUE)</f>
        <v>2.94</v>
      </c>
      <c r="M87" s="16">
        <f t="shared" si="15"/>
        <v>0.43195592286501377</v>
      </c>
      <c r="N87" s="62" t="str">
        <f t="shared" si="21"/>
        <v/>
      </c>
      <c r="O87" s="63" t="e">
        <f>VLOOKUP($N87,Herbicide_Data!$A$1:$L$61,9)</f>
        <v>#N/A</v>
      </c>
      <c r="P87" s="62" t="e">
        <f>VLOOKUP($N87,Herbicide_Data!$A$1:$P$61,13)</f>
        <v>#N/A</v>
      </c>
      <c r="Q87" s="16" t="e">
        <f t="shared" si="16"/>
        <v>#N/A</v>
      </c>
      <c r="R87" s="62" t="str">
        <f t="shared" si="22"/>
        <v/>
      </c>
      <c r="S87" s="63" t="e">
        <f>VLOOKUP($R87,Herbicide_Data!$A$1:$L$61,9)</f>
        <v>#N/A</v>
      </c>
      <c r="T87" s="62" t="e">
        <f>VLOOKUP($R87,Herbicide_Data!$A$1:$Q$61,13)</f>
        <v>#N/A</v>
      </c>
      <c r="U87" s="16" t="e">
        <f t="shared" si="17"/>
        <v>#N/A</v>
      </c>
      <c r="V87" s="62" t="b">
        <f t="shared" si="23"/>
        <v>0</v>
      </c>
      <c r="W87" s="63" t="e">
        <f>VLOOKUP($V87,Herbicide_Data!$A$1:$L$17,9)</f>
        <v>#N/A</v>
      </c>
      <c r="X87" s="62" t="e">
        <f>VLOOKUP($V87,Herbicide_Data!$A$1:$L$17,12)</f>
        <v>#N/A</v>
      </c>
      <c r="Y87" s="16" t="e">
        <f t="shared" si="18"/>
        <v>#N/A</v>
      </c>
      <c r="Z87" s="15"/>
      <c r="AA87" s="13"/>
      <c r="AB87" s="17"/>
      <c r="AC87" s="3"/>
      <c r="AD87" s="10"/>
      <c r="AE87" s="3"/>
      <c r="AF87" s="10"/>
      <c r="AG87" s="15"/>
      <c r="AH87" s="62" t="str">
        <f t="shared" si="12"/>
        <v/>
      </c>
      <c r="AI87" s="62" t="e">
        <f>VLOOKUP($AH87,Herbicide_Data!$A$1:$Q$61,13)</f>
        <v>#N/A</v>
      </c>
      <c r="AJ87" s="16" t="e">
        <f t="shared" si="19"/>
        <v>#N/A</v>
      </c>
      <c r="AK87" s="3"/>
      <c r="AL87" s="3"/>
      <c r="AM87" s="3"/>
      <c r="AN87" s="3"/>
      <c r="AO87" s="3"/>
      <c r="AP87" s="3"/>
      <c r="AQ87" s="18"/>
      <c r="AR87" s="19"/>
      <c r="AS87" s="19"/>
      <c r="AT87" s="20"/>
      <c r="AU87" s="20"/>
      <c r="AV87" s="21"/>
      <c r="AW87" s="22"/>
      <c r="AX87" s="19"/>
      <c r="AY87" s="19"/>
      <c r="AZ87" s="19"/>
      <c r="BA87" s="23"/>
      <c r="BB87" s="19"/>
      <c r="BC87" s="19"/>
      <c r="BD87" s="19"/>
    </row>
    <row r="88" spans="1:56" ht="72">
      <c r="A88" s="13" t="s">
        <v>597</v>
      </c>
      <c r="B88" s="11">
        <v>45948</v>
      </c>
      <c r="C88" s="12">
        <f t="shared" ca="1" si="13"/>
        <v>0.63285474536678521</v>
      </c>
      <c r="D88" s="12">
        <f t="shared" ca="1" si="14"/>
        <v>0.65368804536678526</v>
      </c>
      <c r="E88" s="10" t="s">
        <v>85</v>
      </c>
      <c r="F88" s="10">
        <f>IFERROR(VLOOKUP(E88,Data!A$2:B$5,2,TRUE), "")</f>
        <v>48160</v>
      </c>
      <c r="G88" s="3" t="s">
        <v>378</v>
      </c>
      <c r="H88" s="13">
        <f>IFERROR(VLOOKUP(A88,Customer_Data!$A$1:$P$114,8,TRUE),"")</f>
        <v>6400</v>
      </c>
      <c r="I88" s="13"/>
      <c r="J88" s="3" t="str">
        <f t="shared" si="20"/>
        <v>Princep Liquid (100-526)</v>
      </c>
      <c r="K88" s="62" t="str">
        <f>(VLOOKUP($J88,Herbicide_Data!$A$1:$L$61,9,TRUE))</f>
        <v>Simazine</v>
      </c>
      <c r="L88" s="62">
        <f>VLOOKUP($J88,Herbicide_Data!$A$1:$L$61,12,TRUE)</f>
        <v>32</v>
      </c>
      <c r="M88" s="16">
        <f t="shared" si="15"/>
        <v>4.7015610651974287</v>
      </c>
      <c r="N88" s="62" t="str">
        <f t="shared" si="21"/>
        <v>Triplet SF (3-Way) 228-312</v>
      </c>
      <c r="O88" s="63" t="str">
        <f>VLOOKUP($N88,Herbicide_Data!$A$1:$L$61,9)</f>
        <v>2,4-D, dimethylamine salt; Dicamba, dimethylamine salt;Mecoprop-p (MCPP-p), dimethylamine salt</v>
      </c>
      <c r="P88" s="62">
        <f>VLOOKUP($N88,Herbicide_Data!$A$1:$P$61,13)</f>
        <v>24</v>
      </c>
      <c r="Q88" s="16">
        <f t="shared" si="16"/>
        <v>3.5261707988980717</v>
      </c>
      <c r="R88" s="62" t="str">
        <f t="shared" si="22"/>
        <v>Resolute 4Fl (100-1139)</v>
      </c>
      <c r="S88" s="63" t="str">
        <f>VLOOKUP($R88,Herbicide_Data!$A$1:$L$61,9)</f>
        <v>Prodiamine</v>
      </c>
      <c r="T88" s="62">
        <f>VLOOKUP($R88,Herbicide_Data!$A$1:$Q$61,13)</f>
        <v>16</v>
      </c>
      <c r="U88" s="16">
        <f t="shared" si="17"/>
        <v>2.3507805325987143</v>
      </c>
      <c r="V88" s="62" t="b">
        <f t="shared" si="23"/>
        <v>0</v>
      </c>
      <c r="W88" s="63" t="e">
        <f>VLOOKUP($V88,Herbicide_Data!$A$1:$L$17,9)</f>
        <v>#N/A</v>
      </c>
      <c r="X88" s="62" t="e">
        <f>VLOOKUP($V88,Herbicide_Data!$A$1:$L$17,12)</f>
        <v>#N/A</v>
      </c>
      <c r="Y88" s="16" t="e">
        <f t="shared" si="18"/>
        <v>#N/A</v>
      </c>
      <c r="Z88" s="15"/>
      <c r="AA88" s="13"/>
      <c r="AB88" s="17"/>
      <c r="AC88" s="3"/>
      <c r="AD88" s="10"/>
      <c r="AE88" s="3"/>
      <c r="AF88" s="10"/>
      <c r="AG88" s="15"/>
      <c r="AH88" s="62" t="str">
        <f t="shared" si="12"/>
        <v/>
      </c>
      <c r="AI88" s="62" t="e">
        <f>VLOOKUP($AH88,Herbicide_Data!$A$1:$Q$61,13)</f>
        <v>#N/A</v>
      </c>
      <c r="AJ88" s="16" t="e">
        <f t="shared" si="19"/>
        <v>#N/A</v>
      </c>
      <c r="AK88" s="3"/>
      <c r="AL88" s="3"/>
      <c r="AM88" s="3"/>
      <c r="AN88" s="3"/>
      <c r="AO88" s="3"/>
      <c r="AP88" s="3"/>
      <c r="AQ88" s="18"/>
      <c r="AR88" s="19"/>
      <c r="AS88" s="19"/>
      <c r="AT88" s="20"/>
      <c r="AU88" s="20"/>
      <c r="AV88" s="21"/>
      <c r="AW88" s="22"/>
      <c r="AX88" s="19"/>
      <c r="AY88" s="19"/>
      <c r="AZ88" s="19"/>
      <c r="BA88" s="23"/>
      <c r="BB88" s="19"/>
      <c r="BC88" s="19"/>
      <c r="BD88" s="19"/>
    </row>
    <row r="89" spans="1:56">
      <c r="A89" s="13" t="s">
        <v>616</v>
      </c>
      <c r="B89" s="11">
        <v>45801</v>
      </c>
      <c r="C89" s="12">
        <f t="shared" ca="1" si="13"/>
        <v>0.63285474536678521</v>
      </c>
      <c r="D89" s="12">
        <f t="shared" ca="1" si="14"/>
        <v>0.65368804536678526</v>
      </c>
      <c r="E89" s="10" t="s">
        <v>85</v>
      </c>
      <c r="F89" s="10">
        <f>IFERROR(VLOOKUP(E89,Data!A$2:B$5,2,TRUE), "")</f>
        <v>48160</v>
      </c>
      <c r="G89" s="3" t="s">
        <v>98</v>
      </c>
      <c r="H89" s="13">
        <f>IFERROR(VLOOKUP(A89,Customer_Data!$A$1:$P$114,8,TRUE),"")</f>
        <v>4200</v>
      </c>
      <c r="I89" s="13"/>
      <c r="J89" s="3" t="str">
        <f t="shared" si="20"/>
        <v>Harrell's 34-0-5</v>
      </c>
      <c r="K89" s="62" t="str">
        <f>(VLOOKUP($J89,Herbicide_Data!$A$1:$L$61,9,TRUE))</f>
        <v>Nitrogen</v>
      </c>
      <c r="L89" s="62">
        <f>VLOOKUP($J89,Herbicide_Data!$A$1:$L$61,12,TRUE)</f>
        <v>2.94</v>
      </c>
      <c r="M89" s="16">
        <f t="shared" si="15"/>
        <v>0.28347107438016528</v>
      </c>
      <c r="N89" s="62" t="str">
        <f t="shared" si="21"/>
        <v/>
      </c>
      <c r="O89" s="63" t="e">
        <f>VLOOKUP($N89,Herbicide_Data!$A$1:$L$61,9)</f>
        <v>#N/A</v>
      </c>
      <c r="P89" s="62" t="e">
        <f>VLOOKUP($N89,Herbicide_Data!$A$1:$P$61,13)</f>
        <v>#N/A</v>
      </c>
      <c r="Q89" s="16" t="e">
        <f t="shared" si="16"/>
        <v>#N/A</v>
      </c>
      <c r="R89" s="62" t="str">
        <f t="shared" si="22"/>
        <v/>
      </c>
      <c r="S89" s="63" t="e">
        <f>VLOOKUP($R89,Herbicide_Data!$A$1:$L$61,9)</f>
        <v>#N/A</v>
      </c>
      <c r="T89" s="62" t="e">
        <f>VLOOKUP($R89,Herbicide_Data!$A$1:$Q$61,13)</f>
        <v>#N/A</v>
      </c>
      <c r="U89" s="16" t="e">
        <f t="shared" si="17"/>
        <v>#N/A</v>
      </c>
      <c r="V89" s="62" t="b">
        <f t="shared" si="23"/>
        <v>0</v>
      </c>
      <c r="W89" s="63" t="e">
        <f>VLOOKUP($V89,Herbicide_Data!$A$1:$L$17,9)</f>
        <v>#N/A</v>
      </c>
      <c r="X89" s="62" t="e">
        <f>VLOOKUP($V89,Herbicide_Data!$A$1:$L$17,12)</f>
        <v>#N/A</v>
      </c>
      <c r="Y89" s="16" t="e">
        <f t="shared" si="18"/>
        <v>#N/A</v>
      </c>
      <c r="Z89" s="15"/>
      <c r="AA89" s="13"/>
      <c r="AB89" s="17"/>
      <c r="AC89" s="3"/>
      <c r="AD89" s="10"/>
      <c r="AE89" s="3"/>
      <c r="AF89" s="10"/>
      <c r="AG89" s="15"/>
      <c r="AH89" s="62" t="str">
        <f t="shared" si="12"/>
        <v/>
      </c>
      <c r="AI89" s="62" t="e">
        <f>VLOOKUP($AH89,Herbicide_Data!$A$1:$Q$61,13)</f>
        <v>#N/A</v>
      </c>
      <c r="AJ89" s="16" t="e">
        <f t="shared" si="19"/>
        <v>#N/A</v>
      </c>
      <c r="AK89" s="3"/>
      <c r="AL89" s="3"/>
      <c r="AM89" s="3"/>
      <c r="AN89" s="3"/>
      <c r="AO89" s="3"/>
      <c r="AP89" s="3"/>
      <c r="AQ89" s="18"/>
      <c r="AR89" s="19"/>
      <c r="AS89" s="19"/>
      <c r="AT89" s="20"/>
      <c r="AU89" s="20"/>
      <c r="AV89" s="21"/>
      <c r="AW89" s="22"/>
      <c r="AX89" s="19"/>
      <c r="AY89" s="19"/>
      <c r="AZ89" s="19"/>
      <c r="BA89" s="23"/>
      <c r="BB89" s="19"/>
      <c r="BC89" s="19"/>
      <c r="BD89" s="19"/>
    </row>
    <row r="90" spans="1:56">
      <c r="A90" s="13" t="s">
        <v>618</v>
      </c>
      <c r="B90" s="11">
        <v>45802</v>
      </c>
      <c r="C90" s="12">
        <f t="shared" ca="1" si="13"/>
        <v>0.63285474536678521</v>
      </c>
      <c r="D90" s="12">
        <f t="shared" ca="1" si="14"/>
        <v>0.65368804536678526</v>
      </c>
      <c r="E90" s="10" t="s">
        <v>85</v>
      </c>
      <c r="F90" s="10">
        <f>IFERROR(VLOOKUP(E90,Data!A$2:B$5,2,TRUE), "")</f>
        <v>48160</v>
      </c>
      <c r="G90" s="3" t="s">
        <v>98</v>
      </c>
      <c r="H90" s="13">
        <f>IFERROR(VLOOKUP(A90,Customer_Data!$A$1:$P$114,8,TRUE),"")</f>
        <v>11000</v>
      </c>
      <c r="I90" s="13"/>
      <c r="J90" s="3" t="str">
        <f t="shared" si="20"/>
        <v>Harrell's 34-0-5</v>
      </c>
      <c r="K90" s="62" t="str">
        <f>(VLOOKUP($J90,Herbicide_Data!$A$1:$L$61,9,TRUE))</f>
        <v>Nitrogen</v>
      </c>
      <c r="L90" s="62">
        <f>VLOOKUP($J90,Herbicide_Data!$A$1:$L$61,12,TRUE)</f>
        <v>2.94</v>
      </c>
      <c r="M90" s="16">
        <f t="shared" si="15"/>
        <v>0.74242424242424243</v>
      </c>
      <c r="N90" s="62" t="str">
        <f t="shared" si="21"/>
        <v/>
      </c>
      <c r="O90" s="63" t="e">
        <f>VLOOKUP($N90,Herbicide_Data!$A$1:$L$61,9)</f>
        <v>#N/A</v>
      </c>
      <c r="P90" s="62" t="e">
        <f>VLOOKUP($N90,Herbicide_Data!$A$1:$P$61,13)</f>
        <v>#N/A</v>
      </c>
      <c r="Q90" s="16" t="e">
        <f t="shared" si="16"/>
        <v>#N/A</v>
      </c>
      <c r="R90" s="62" t="str">
        <f t="shared" si="22"/>
        <v/>
      </c>
      <c r="S90" s="63" t="e">
        <f>VLOOKUP($R90,Herbicide_Data!$A$1:$L$61,9)</f>
        <v>#N/A</v>
      </c>
      <c r="T90" s="62" t="e">
        <f>VLOOKUP($R90,Herbicide_Data!$A$1:$Q$61,13)</f>
        <v>#N/A</v>
      </c>
      <c r="U90" s="16" t="e">
        <f t="shared" si="17"/>
        <v>#N/A</v>
      </c>
      <c r="V90" s="62" t="b">
        <f t="shared" si="23"/>
        <v>0</v>
      </c>
      <c r="W90" s="63" t="e">
        <f>VLOOKUP($V90,Herbicide_Data!$A$1:$L$17,9)</f>
        <v>#N/A</v>
      </c>
      <c r="X90" s="62" t="e">
        <f>VLOOKUP($V90,Herbicide_Data!$A$1:$L$17,12)</f>
        <v>#N/A</v>
      </c>
      <c r="Y90" s="16" t="e">
        <f t="shared" si="18"/>
        <v>#N/A</v>
      </c>
      <c r="Z90" s="15"/>
      <c r="AA90" s="13"/>
      <c r="AB90" s="17"/>
      <c r="AC90" s="3"/>
      <c r="AD90" s="10"/>
      <c r="AE90" s="3"/>
      <c r="AF90" s="10"/>
      <c r="AG90" s="15"/>
      <c r="AH90" s="62" t="str">
        <f t="shared" si="12"/>
        <v/>
      </c>
      <c r="AI90" s="62" t="e">
        <f>VLOOKUP($AH90,Herbicide_Data!$A$1:$Q$61,13)</f>
        <v>#N/A</v>
      </c>
      <c r="AJ90" s="16" t="e">
        <f t="shared" si="19"/>
        <v>#N/A</v>
      </c>
      <c r="AK90" s="3"/>
      <c r="AL90" s="3"/>
      <c r="AM90" s="3"/>
      <c r="AN90" s="3"/>
      <c r="AO90" s="3"/>
      <c r="AP90" s="3"/>
      <c r="AQ90" s="18"/>
      <c r="AR90" s="19"/>
      <c r="AS90" s="19"/>
      <c r="AT90" s="20"/>
      <c r="AU90" s="20"/>
      <c r="AV90" s="21"/>
      <c r="AW90" s="22"/>
      <c r="AX90" s="19"/>
      <c r="AY90" s="19"/>
      <c r="AZ90" s="19"/>
      <c r="BA90" s="23"/>
      <c r="BB90" s="19"/>
      <c r="BC90" s="19"/>
      <c r="BD90" s="19"/>
    </row>
    <row r="91" spans="1:56" ht="72">
      <c r="A91" s="13" t="s">
        <v>618</v>
      </c>
      <c r="B91" s="11">
        <v>45948</v>
      </c>
      <c r="C91" s="12">
        <f t="shared" ca="1" si="13"/>
        <v>0.63285474536678521</v>
      </c>
      <c r="D91" s="12">
        <f t="shared" ca="1" si="14"/>
        <v>0.65368804536678526</v>
      </c>
      <c r="E91" s="10" t="s">
        <v>85</v>
      </c>
      <c r="F91" s="10">
        <f>IFERROR(VLOOKUP(E91,Data!A$2:B$5,2,TRUE), "")</f>
        <v>48160</v>
      </c>
      <c r="G91" s="3" t="s">
        <v>378</v>
      </c>
      <c r="H91" s="13">
        <f>IFERROR(VLOOKUP(A91,Customer_Data!$A$1:$P$114,8,TRUE),"")</f>
        <v>11000</v>
      </c>
      <c r="I91" s="13"/>
      <c r="J91" s="3" t="str">
        <f t="shared" si="20"/>
        <v>Princep Liquid (100-526)</v>
      </c>
      <c r="K91" s="62" t="str">
        <f>(VLOOKUP($J91,Herbicide_Data!$A$1:$L$61,9,TRUE))</f>
        <v>Simazine</v>
      </c>
      <c r="L91" s="62">
        <f>VLOOKUP($J91,Herbicide_Data!$A$1:$L$61,12,TRUE)</f>
        <v>32</v>
      </c>
      <c r="M91" s="16">
        <f t="shared" si="15"/>
        <v>8.0808080808080813</v>
      </c>
      <c r="N91" s="62" t="str">
        <f t="shared" si="21"/>
        <v>Triplet SF (3-Way) 228-312</v>
      </c>
      <c r="O91" s="63" t="str">
        <f>VLOOKUP($N91,Herbicide_Data!$A$1:$L$61,9)</f>
        <v>2,4-D, dimethylamine salt; Dicamba, dimethylamine salt;Mecoprop-p (MCPP-p), dimethylamine salt</v>
      </c>
      <c r="P91" s="62">
        <f>VLOOKUP($N91,Herbicide_Data!$A$1:$P$61,13)</f>
        <v>24</v>
      </c>
      <c r="Q91" s="16">
        <f t="shared" si="16"/>
        <v>6.0606060606060606</v>
      </c>
      <c r="R91" s="62" t="str">
        <f t="shared" si="22"/>
        <v>Resolute 4Fl (100-1139)</v>
      </c>
      <c r="S91" s="63" t="str">
        <f>VLOOKUP($R91,Herbicide_Data!$A$1:$L$61,9)</f>
        <v>Prodiamine</v>
      </c>
      <c r="T91" s="62">
        <f>VLOOKUP($R91,Herbicide_Data!$A$1:$Q$61,13)</f>
        <v>16</v>
      </c>
      <c r="U91" s="16">
        <f t="shared" si="17"/>
        <v>4.0404040404040407</v>
      </c>
      <c r="V91" s="62" t="b">
        <f t="shared" si="23"/>
        <v>0</v>
      </c>
      <c r="W91" s="63" t="e">
        <f>VLOOKUP($V91,Herbicide_Data!$A$1:$L$17,9)</f>
        <v>#N/A</v>
      </c>
      <c r="X91" s="62" t="e">
        <f>VLOOKUP($V91,Herbicide_Data!$A$1:$L$17,12)</f>
        <v>#N/A</v>
      </c>
      <c r="Y91" s="16" t="e">
        <f t="shared" si="18"/>
        <v>#N/A</v>
      </c>
      <c r="Z91" s="15"/>
      <c r="AA91" s="13"/>
      <c r="AB91" s="17"/>
      <c r="AC91" s="3"/>
      <c r="AD91" s="10"/>
      <c r="AE91" s="3"/>
      <c r="AF91" s="10"/>
      <c r="AG91" s="15"/>
      <c r="AH91" s="62" t="str">
        <f t="shared" si="12"/>
        <v/>
      </c>
      <c r="AI91" s="62" t="e">
        <f>VLOOKUP($AH91,Herbicide_Data!$A$1:$Q$61,13)</f>
        <v>#N/A</v>
      </c>
      <c r="AJ91" s="16" t="e">
        <f t="shared" si="19"/>
        <v>#N/A</v>
      </c>
      <c r="AK91" s="3"/>
      <c r="AL91" s="3"/>
      <c r="AM91" s="3"/>
      <c r="AN91" s="3"/>
      <c r="AO91" s="3"/>
      <c r="AP91" s="3"/>
      <c r="AQ91" s="18"/>
      <c r="AR91" s="19"/>
      <c r="AS91" s="19"/>
      <c r="AT91" s="20"/>
      <c r="AU91" s="20"/>
      <c r="AV91" s="21"/>
      <c r="AW91" s="22"/>
      <c r="AX91" s="19"/>
      <c r="AY91" s="19"/>
      <c r="AZ91" s="19"/>
      <c r="BA91" s="23"/>
      <c r="BB91" s="19"/>
      <c r="BC91" s="19"/>
      <c r="BD91" s="19"/>
    </row>
    <row r="92" spans="1:56">
      <c r="A92" s="13" t="s">
        <v>620</v>
      </c>
      <c r="B92" s="11">
        <v>45802</v>
      </c>
      <c r="C92" s="12">
        <f t="shared" ca="1" si="13"/>
        <v>0.63285474536678521</v>
      </c>
      <c r="D92" s="12">
        <f t="shared" ca="1" si="14"/>
        <v>0.65368804536678526</v>
      </c>
      <c r="E92" s="10" t="s">
        <v>85</v>
      </c>
      <c r="F92" s="10">
        <f>IFERROR(VLOOKUP(E92,Data!A$2:B$5,2,TRUE), "")</f>
        <v>48160</v>
      </c>
      <c r="G92" s="3" t="s">
        <v>98</v>
      </c>
      <c r="H92" s="13">
        <f>IFERROR(VLOOKUP(A92,Customer_Data!$A$1:$P$114,8,TRUE),"")</f>
        <v>5000</v>
      </c>
      <c r="I92" s="13"/>
      <c r="J92" s="3" t="str">
        <f t="shared" si="20"/>
        <v>Harrell's 34-0-5</v>
      </c>
      <c r="K92" s="62" t="str">
        <f>(VLOOKUP($J92,Herbicide_Data!$A$1:$L$61,9,TRUE))</f>
        <v>Nitrogen</v>
      </c>
      <c r="L92" s="62">
        <f>VLOOKUP($J92,Herbicide_Data!$A$1:$L$61,12,TRUE)</f>
        <v>2.94</v>
      </c>
      <c r="M92" s="16">
        <f t="shared" si="15"/>
        <v>0.33746556473829198</v>
      </c>
      <c r="N92" s="62" t="str">
        <f t="shared" si="21"/>
        <v/>
      </c>
      <c r="O92" s="63" t="e">
        <f>VLOOKUP($N92,Herbicide_Data!$A$1:$L$61,9)</f>
        <v>#N/A</v>
      </c>
      <c r="P92" s="62" t="e">
        <f>VLOOKUP($N92,Herbicide_Data!$A$1:$P$61,13)</f>
        <v>#N/A</v>
      </c>
      <c r="Q92" s="16" t="e">
        <f t="shared" si="16"/>
        <v>#N/A</v>
      </c>
      <c r="R92" s="62" t="str">
        <f t="shared" si="22"/>
        <v/>
      </c>
      <c r="S92" s="63" t="e">
        <f>VLOOKUP($R92,Herbicide_Data!$A$1:$L$61,9)</f>
        <v>#N/A</v>
      </c>
      <c r="T92" s="62" t="e">
        <f>VLOOKUP($R92,Herbicide_Data!$A$1:$Q$61,13)</f>
        <v>#N/A</v>
      </c>
      <c r="U92" s="16" t="e">
        <f t="shared" si="17"/>
        <v>#N/A</v>
      </c>
      <c r="V92" s="62" t="b">
        <f t="shared" si="23"/>
        <v>0</v>
      </c>
      <c r="W92" s="63" t="e">
        <f>VLOOKUP($V92,Herbicide_Data!$A$1:$L$17,9)</f>
        <v>#N/A</v>
      </c>
      <c r="X92" s="62" t="e">
        <f>VLOOKUP($V92,Herbicide_Data!$A$1:$L$17,12)</f>
        <v>#N/A</v>
      </c>
      <c r="Y92" s="16" t="e">
        <f t="shared" si="18"/>
        <v>#N/A</v>
      </c>
      <c r="Z92" s="15"/>
      <c r="AA92" s="13"/>
      <c r="AB92" s="17"/>
      <c r="AC92" s="3"/>
      <c r="AD92" s="10"/>
      <c r="AE92" s="3"/>
      <c r="AF92" s="10"/>
      <c r="AG92" s="15"/>
      <c r="AH92" s="62" t="str">
        <f t="shared" si="12"/>
        <v/>
      </c>
      <c r="AI92" s="62" t="e">
        <f>VLOOKUP($AH92,Herbicide_Data!$A$1:$Q$61,13)</f>
        <v>#N/A</v>
      </c>
      <c r="AJ92" s="16" t="e">
        <f t="shared" si="19"/>
        <v>#N/A</v>
      </c>
      <c r="AK92" s="3"/>
      <c r="AL92" s="3"/>
      <c r="AM92" s="3"/>
      <c r="AN92" s="3"/>
      <c r="AO92" s="3"/>
      <c r="AP92" s="3"/>
      <c r="AQ92" s="18"/>
      <c r="AR92" s="19"/>
      <c r="AS92" s="19"/>
      <c r="AT92" s="20"/>
      <c r="AU92" s="20"/>
      <c r="AV92" s="21"/>
      <c r="AW92" s="22"/>
      <c r="AX92" s="19"/>
      <c r="AY92" s="19"/>
      <c r="AZ92" s="19"/>
      <c r="BA92" s="23"/>
      <c r="BB92" s="19"/>
      <c r="BC92" s="19"/>
      <c r="BD92" s="19"/>
    </row>
    <row r="93" spans="1:56" ht="72">
      <c r="A93" s="13" t="s">
        <v>620</v>
      </c>
      <c r="B93" s="11">
        <v>45950</v>
      </c>
      <c r="C93" s="12">
        <f t="shared" ca="1" si="13"/>
        <v>0.63285474536678521</v>
      </c>
      <c r="D93" s="12">
        <f t="shared" ca="1" si="14"/>
        <v>0.65368804536678526</v>
      </c>
      <c r="E93" s="10" t="s">
        <v>85</v>
      </c>
      <c r="F93" s="10">
        <f>IFERROR(VLOOKUP(E93,Data!A$2:B$5,2,TRUE), "")</f>
        <v>48160</v>
      </c>
      <c r="G93" s="3" t="s">
        <v>378</v>
      </c>
      <c r="H93" s="13">
        <f>IFERROR(VLOOKUP(A93,Customer_Data!$A$1:$P$114,8,TRUE),"")</f>
        <v>5000</v>
      </c>
      <c r="I93" s="13"/>
      <c r="J93" s="3" t="str">
        <f t="shared" si="20"/>
        <v>Princep Liquid (100-526)</v>
      </c>
      <c r="K93" s="62" t="str">
        <f>(VLOOKUP($J93,Herbicide_Data!$A$1:$L$61,9,TRUE))</f>
        <v>Simazine</v>
      </c>
      <c r="L93" s="62">
        <f>VLOOKUP($J93,Herbicide_Data!$A$1:$L$61,12,TRUE)</f>
        <v>32</v>
      </c>
      <c r="M93" s="16">
        <f t="shared" si="15"/>
        <v>3.6730945821854912</v>
      </c>
      <c r="N93" s="62" t="str">
        <f t="shared" si="21"/>
        <v>Triplet SF (3-Way) 228-312</v>
      </c>
      <c r="O93" s="63" t="str">
        <f>VLOOKUP($N93,Herbicide_Data!$A$1:$L$61,9)</f>
        <v>2,4-D, dimethylamine salt; Dicamba, dimethylamine salt;Mecoprop-p (MCPP-p), dimethylamine salt</v>
      </c>
      <c r="P93" s="62">
        <f>VLOOKUP($N93,Herbicide_Data!$A$1:$P$61,13)</f>
        <v>24</v>
      </c>
      <c r="Q93" s="16">
        <f t="shared" si="16"/>
        <v>2.7548209366391183</v>
      </c>
      <c r="R93" s="62" t="str">
        <f t="shared" si="22"/>
        <v>Resolute 4Fl (100-1139)</v>
      </c>
      <c r="S93" s="63" t="str">
        <f>VLOOKUP($R93,Herbicide_Data!$A$1:$L$61,9)</f>
        <v>Prodiamine</v>
      </c>
      <c r="T93" s="62">
        <f>VLOOKUP($R93,Herbicide_Data!$A$1:$Q$61,13)</f>
        <v>16</v>
      </c>
      <c r="U93" s="16">
        <f t="shared" si="17"/>
        <v>1.8365472910927456</v>
      </c>
      <c r="V93" s="62" t="b">
        <f t="shared" si="23"/>
        <v>0</v>
      </c>
      <c r="W93" s="63" t="e">
        <f>VLOOKUP($V93,Herbicide_Data!$A$1:$L$17,9)</f>
        <v>#N/A</v>
      </c>
      <c r="X93" s="62" t="e">
        <f>VLOOKUP($V93,Herbicide_Data!$A$1:$L$17,12)</f>
        <v>#N/A</v>
      </c>
      <c r="Y93" s="16" t="e">
        <f t="shared" si="18"/>
        <v>#N/A</v>
      </c>
      <c r="Z93" s="15"/>
      <c r="AA93" s="13"/>
      <c r="AB93" s="17"/>
      <c r="AC93" s="3"/>
      <c r="AD93" s="10"/>
      <c r="AE93" s="3"/>
      <c r="AF93" s="10"/>
      <c r="AG93" s="15"/>
      <c r="AH93" s="62" t="str">
        <f t="shared" si="12"/>
        <v/>
      </c>
      <c r="AI93" s="62" t="e">
        <f>VLOOKUP($AH93,Herbicide_Data!$A$1:$Q$61,13)</f>
        <v>#N/A</v>
      </c>
      <c r="AJ93" s="16" t="e">
        <f t="shared" si="19"/>
        <v>#N/A</v>
      </c>
      <c r="AK93" s="3"/>
      <c r="AL93" s="3"/>
      <c r="AM93" s="3"/>
      <c r="AN93" s="3"/>
      <c r="AO93" s="3"/>
      <c r="AP93" s="3"/>
      <c r="AQ93" s="18"/>
      <c r="AR93" s="19"/>
      <c r="AS93" s="19"/>
      <c r="AT93" s="20"/>
      <c r="AU93" s="20"/>
      <c r="AV93" s="21"/>
      <c r="AW93" s="22"/>
      <c r="AX93" s="19"/>
      <c r="AY93" s="19"/>
      <c r="AZ93" s="19"/>
      <c r="BA93" s="23"/>
      <c r="BB93" s="19"/>
      <c r="BC93" s="19"/>
      <c r="BD93" s="19"/>
    </row>
    <row r="94" spans="1:56">
      <c r="A94" s="13" t="s">
        <v>644</v>
      </c>
      <c r="B94" s="11">
        <v>45798</v>
      </c>
      <c r="C94" s="12">
        <v>0.41666666666666669</v>
      </c>
      <c r="D94" s="12">
        <f t="shared" si="14"/>
        <v>0.43749996666666668</v>
      </c>
      <c r="E94" s="10" t="s">
        <v>85</v>
      </c>
      <c r="F94" s="10">
        <f>IFERROR(VLOOKUP(E94,Data!A$2:B$5,2,TRUE), "")</f>
        <v>48160</v>
      </c>
      <c r="G94" s="3" t="s">
        <v>98</v>
      </c>
      <c r="H94" s="13">
        <f>IFERROR(VLOOKUP(A94,Customer_Data!$A$1:$P$114,8,TRUE),"")</f>
        <v>8000</v>
      </c>
      <c r="I94" s="13"/>
      <c r="J94" s="3" t="str">
        <f t="shared" si="20"/>
        <v>Harrell's 34-0-5</v>
      </c>
      <c r="K94" s="62" t="str">
        <f>(VLOOKUP($J94,Herbicide_Data!$A$1:$L$61,9,TRUE))</f>
        <v>Nitrogen</v>
      </c>
      <c r="L94" s="62">
        <f>VLOOKUP($J94,Herbicide_Data!$A$1:$L$61,12,TRUE)</f>
        <v>2.94</v>
      </c>
      <c r="M94" s="16">
        <f t="shared" si="15"/>
        <v>0.53994490358126712</v>
      </c>
      <c r="N94" s="62" t="str">
        <f t="shared" si="21"/>
        <v/>
      </c>
      <c r="O94" s="63" t="e">
        <f>VLOOKUP($N94,Herbicide_Data!$A$1:$L$61,9)</f>
        <v>#N/A</v>
      </c>
      <c r="P94" s="62" t="e">
        <f>VLOOKUP($N94,Herbicide_Data!$A$1:$P$61,13)</f>
        <v>#N/A</v>
      </c>
      <c r="Q94" s="16" t="e">
        <f t="shared" si="16"/>
        <v>#N/A</v>
      </c>
      <c r="R94" s="62" t="str">
        <f t="shared" si="22"/>
        <v/>
      </c>
      <c r="S94" s="63" t="e">
        <f>VLOOKUP($R94,Herbicide_Data!$A$1:$L$61,9)</f>
        <v>#N/A</v>
      </c>
      <c r="T94" s="62" t="e">
        <f>VLOOKUP($R94,Herbicide_Data!$A$1:$Q$61,13)</f>
        <v>#N/A</v>
      </c>
      <c r="U94" s="16" t="e">
        <f t="shared" si="17"/>
        <v>#N/A</v>
      </c>
      <c r="V94" s="62" t="b">
        <f t="shared" si="23"/>
        <v>0</v>
      </c>
      <c r="W94" s="63" t="e">
        <f>VLOOKUP($V94,Herbicide_Data!$A$1:$L$17,9)</f>
        <v>#N/A</v>
      </c>
      <c r="X94" s="62" t="e">
        <f>VLOOKUP($V94,Herbicide_Data!$A$1:$L$17,12)</f>
        <v>#N/A</v>
      </c>
      <c r="Y94" s="16" t="e">
        <f t="shared" si="18"/>
        <v>#N/A</v>
      </c>
      <c r="Z94" s="15"/>
      <c r="AA94" s="13"/>
      <c r="AB94" s="17"/>
      <c r="AC94" s="3"/>
      <c r="AD94" s="10"/>
      <c r="AE94" s="3"/>
      <c r="AF94" s="10"/>
      <c r="AG94" s="15"/>
      <c r="AH94" s="62" t="str">
        <f t="shared" si="12"/>
        <v/>
      </c>
      <c r="AI94" s="62" t="e">
        <f>VLOOKUP($AH94,Herbicide_Data!$A$1:$Q$61,13)</f>
        <v>#N/A</v>
      </c>
      <c r="AJ94" s="16" t="e">
        <f t="shared" si="19"/>
        <v>#N/A</v>
      </c>
      <c r="AK94" s="3"/>
      <c r="AL94" s="3"/>
      <c r="AM94" s="3"/>
      <c r="AN94" s="3"/>
      <c r="AO94" s="3"/>
      <c r="AP94" s="3"/>
      <c r="AQ94" s="18"/>
      <c r="AR94" s="19"/>
      <c r="AS94" s="19"/>
      <c r="AT94" s="20"/>
      <c r="AU94" s="20"/>
      <c r="AV94" s="21"/>
      <c r="AW94" s="22"/>
      <c r="AX94" s="19"/>
      <c r="AY94" s="19"/>
      <c r="AZ94" s="19"/>
      <c r="BA94" s="23"/>
      <c r="BB94" s="19"/>
      <c r="BC94" s="19"/>
      <c r="BD94" s="19"/>
    </row>
    <row r="95" spans="1:56">
      <c r="A95" s="13" t="s">
        <v>640</v>
      </c>
      <c r="B95" s="11">
        <v>45807</v>
      </c>
      <c r="C95" s="12">
        <f t="shared" ca="1" si="13"/>
        <v>0.63285474536678521</v>
      </c>
      <c r="D95" s="12">
        <f t="shared" ca="1" si="14"/>
        <v>0.65368804536678526</v>
      </c>
      <c r="E95" s="10" t="s">
        <v>85</v>
      </c>
      <c r="F95" s="10">
        <f>IFERROR(VLOOKUP(E95,Data!A$2:B$5,2,TRUE), "")</f>
        <v>48160</v>
      </c>
      <c r="G95" s="3" t="s">
        <v>98</v>
      </c>
      <c r="H95" s="13">
        <f>IFERROR(VLOOKUP(A95,Customer_Data!$A$1:$P$114,8,TRUE),"")</f>
        <v>14000</v>
      </c>
      <c r="I95" s="13"/>
      <c r="J95" s="3" t="str">
        <f t="shared" si="20"/>
        <v>Harrell's 34-0-5</v>
      </c>
      <c r="K95" s="62" t="str">
        <f>(VLOOKUP($J95,Herbicide_Data!$A$1:$L$61,9,TRUE))</f>
        <v>Nitrogen</v>
      </c>
      <c r="L95" s="62">
        <f>VLOOKUP($J95,Herbicide_Data!$A$1:$L$61,12,TRUE)</f>
        <v>2.94</v>
      </c>
      <c r="M95" s="16">
        <f t="shared" si="15"/>
        <v>0.94490358126721763</v>
      </c>
      <c r="N95" s="62" t="str">
        <f t="shared" si="21"/>
        <v/>
      </c>
      <c r="O95" s="63" t="e">
        <f>VLOOKUP($N95,Herbicide_Data!$A$1:$L$61,9)</f>
        <v>#N/A</v>
      </c>
      <c r="P95" s="62" t="e">
        <f>VLOOKUP($N95,Herbicide_Data!$A$1:$P$61,13)</f>
        <v>#N/A</v>
      </c>
      <c r="Q95" s="16" t="e">
        <f t="shared" si="16"/>
        <v>#N/A</v>
      </c>
      <c r="R95" s="62" t="str">
        <f t="shared" si="22"/>
        <v/>
      </c>
      <c r="S95" s="63" t="e">
        <f>VLOOKUP($R95,Herbicide_Data!$A$1:$L$61,9)</f>
        <v>#N/A</v>
      </c>
      <c r="T95" s="62" t="e">
        <f>VLOOKUP($R95,Herbicide_Data!$A$1:$Q$61,13)</f>
        <v>#N/A</v>
      </c>
      <c r="U95" s="16" t="e">
        <f t="shared" si="17"/>
        <v>#N/A</v>
      </c>
      <c r="V95" s="62" t="b">
        <f t="shared" si="23"/>
        <v>0</v>
      </c>
      <c r="W95" s="63" t="e">
        <f>VLOOKUP($V95,Herbicide_Data!$A$1:$L$17,9)</f>
        <v>#N/A</v>
      </c>
      <c r="X95" s="62" t="e">
        <f>VLOOKUP($V95,Herbicide_Data!$A$1:$L$17,12)</f>
        <v>#N/A</v>
      </c>
      <c r="Y95" s="16" t="e">
        <f t="shared" si="18"/>
        <v>#N/A</v>
      </c>
      <c r="Z95" s="15"/>
      <c r="AA95" s="13"/>
      <c r="AB95" s="17"/>
      <c r="AC95" s="3"/>
      <c r="AD95" s="10"/>
      <c r="AE95" s="3"/>
      <c r="AF95" s="10"/>
      <c r="AG95" s="15"/>
      <c r="AH95" s="62" t="str">
        <f t="shared" ref="AH95:AH158" si="24">IF($G95=("Spring Preemerge (Jan)"),"Surfactant",IF($G95=("Spring Preemerge (Apr)"),"Surfactant",""))</f>
        <v/>
      </c>
      <c r="AI95" s="62" t="e">
        <f>VLOOKUP($AH95,Herbicide_Data!$A$1:$Q$61,13)</f>
        <v>#N/A</v>
      </c>
      <c r="AJ95" s="16" t="e">
        <f t="shared" si="19"/>
        <v>#N/A</v>
      </c>
      <c r="AK95" s="3"/>
      <c r="AL95" s="3"/>
      <c r="AM95" s="3"/>
      <c r="AN95" s="3"/>
      <c r="AO95" s="3"/>
      <c r="AP95" s="3"/>
      <c r="AQ95" s="18"/>
      <c r="AR95" s="19"/>
      <c r="AS95" s="19"/>
      <c r="AT95" s="20"/>
      <c r="AU95" s="20"/>
      <c r="AV95" s="21"/>
      <c r="AW95" s="22"/>
      <c r="AX95" s="19"/>
      <c r="AY95" s="19"/>
      <c r="AZ95" s="19"/>
      <c r="BA95" s="23"/>
      <c r="BB95" s="19"/>
      <c r="BC95" s="19"/>
      <c r="BD95" s="19"/>
    </row>
    <row r="96" spans="1:56" ht="72">
      <c r="A96" s="13" t="s">
        <v>641</v>
      </c>
      <c r="B96" s="11">
        <v>45950</v>
      </c>
      <c r="C96" s="12">
        <f t="shared" ca="1" si="13"/>
        <v>0.63285474536678521</v>
      </c>
      <c r="D96" s="12">
        <f t="shared" ca="1" si="14"/>
        <v>0.65368804536678526</v>
      </c>
      <c r="E96" s="10" t="s">
        <v>85</v>
      </c>
      <c r="F96" s="10">
        <f>IFERROR(VLOOKUP(E96,Data!A$2:B$5,2,TRUE), "")</f>
        <v>48160</v>
      </c>
      <c r="G96" s="3" t="s">
        <v>378</v>
      </c>
      <c r="H96" s="13">
        <v>6600</v>
      </c>
      <c r="I96" s="13"/>
      <c r="J96" s="3" t="str">
        <f t="shared" si="20"/>
        <v>Princep Liquid (100-526)</v>
      </c>
      <c r="K96" s="62" t="str">
        <f>(VLOOKUP($J96,Herbicide_Data!$A$1:$L$61,9,TRUE))</f>
        <v>Simazine</v>
      </c>
      <c r="L96" s="62">
        <f>VLOOKUP($J96,Herbicide_Data!$A$1:$L$61,12,TRUE)</f>
        <v>32</v>
      </c>
      <c r="M96" s="16">
        <f t="shared" si="15"/>
        <v>4.8484848484848486</v>
      </c>
      <c r="N96" s="62" t="str">
        <f t="shared" si="21"/>
        <v>Triplet SF (3-Way) 228-312</v>
      </c>
      <c r="O96" s="63" t="str">
        <f>VLOOKUP($N96,Herbicide_Data!$A$1:$L$61,9)</f>
        <v>2,4-D, dimethylamine salt; Dicamba, dimethylamine salt;Mecoprop-p (MCPP-p), dimethylamine salt</v>
      </c>
      <c r="P96" s="62">
        <f>VLOOKUP($N96,Herbicide_Data!$A$1:$P$61,13)</f>
        <v>24</v>
      </c>
      <c r="Q96" s="16">
        <f t="shared" si="16"/>
        <v>3.6363636363636367</v>
      </c>
      <c r="R96" s="62" t="str">
        <f t="shared" si="22"/>
        <v>Resolute 4Fl (100-1139)</v>
      </c>
      <c r="S96" s="63" t="str">
        <f>VLOOKUP($R96,Herbicide_Data!$A$1:$L$61,9)</f>
        <v>Prodiamine</v>
      </c>
      <c r="T96" s="62">
        <f>VLOOKUP($R96,Herbicide_Data!$A$1:$Q$61,13)</f>
        <v>16</v>
      </c>
      <c r="U96" s="16">
        <f t="shared" si="17"/>
        <v>2.4242424242424243</v>
      </c>
      <c r="V96" s="62" t="b">
        <f t="shared" si="23"/>
        <v>0</v>
      </c>
      <c r="W96" s="63" t="e">
        <f>VLOOKUP($V96,Herbicide_Data!$A$1:$L$17,9)</f>
        <v>#N/A</v>
      </c>
      <c r="X96" s="62" t="e">
        <f>VLOOKUP($V96,Herbicide_Data!$A$1:$L$17,12)</f>
        <v>#N/A</v>
      </c>
      <c r="Y96" s="16" t="e">
        <f t="shared" si="18"/>
        <v>#N/A</v>
      </c>
      <c r="Z96" s="15"/>
      <c r="AA96" s="13"/>
      <c r="AB96" s="17"/>
      <c r="AC96" s="3"/>
      <c r="AD96" s="10"/>
      <c r="AE96" s="3"/>
      <c r="AF96" s="10"/>
      <c r="AG96" s="15"/>
      <c r="AH96" s="62" t="str">
        <f t="shared" si="24"/>
        <v/>
      </c>
      <c r="AI96" s="62" t="e">
        <f>VLOOKUP($AH96,Herbicide_Data!$A$1:$Q$61,13)</f>
        <v>#N/A</v>
      </c>
      <c r="AJ96" s="16" t="e">
        <f t="shared" si="19"/>
        <v>#N/A</v>
      </c>
      <c r="AK96" s="3"/>
      <c r="AL96" s="3"/>
      <c r="AM96" s="3"/>
      <c r="AN96" s="3"/>
      <c r="AO96" s="3"/>
      <c r="AP96" s="3"/>
      <c r="AQ96" s="18"/>
      <c r="AR96" s="19"/>
      <c r="AS96" s="19"/>
      <c r="AT96" s="20"/>
      <c r="AU96" s="20"/>
      <c r="AV96" s="21"/>
      <c r="AW96" s="22"/>
      <c r="AX96" s="19"/>
      <c r="AY96" s="19"/>
      <c r="AZ96" s="19"/>
      <c r="BA96" s="23"/>
      <c r="BB96" s="19"/>
      <c r="BC96" s="19"/>
      <c r="BD96" s="19"/>
    </row>
    <row r="97" spans="1:56" ht="72">
      <c r="A97" s="13" t="s">
        <v>643</v>
      </c>
      <c r="B97" s="11">
        <v>45952</v>
      </c>
      <c r="C97" s="12">
        <f t="shared" ca="1" si="13"/>
        <v>0.63285474536678521</v>
      </c>
      <c r="D97" s="12">
        <f t="shared" ca="1" si="14"/>
        <v>0.65368804536678526</v>
      </c>
      <c r="E97" s="10" t="s">
        <v>85</v>
      </c>
      <c r="F97" s="10">
        <f>IFERROR(VLOOKUP(E97,Data!A$2:B$5,2,TRUE), "")</f>
        <v>48160</v>
      </c>
      <c r="G97" s="3" t="s">
        <v>378</v>
      </c>
      <c r="H97" s="13">
        <f>IFERROR(VLOOKUP(A97,Customer_Data!$A$1:$P$114,8,TRUE),"")</f>
        <v>8000</v>
      </c>
      <c r="I97" s="13"/>
      <c r="J97" s="3" t="str">
        <f t="shared" si="20"/>
        <v>Princep Liquid (100-526)</v>
      </c>
      <c r="K97" s="62" t="str">
        <f>(VLOOKUP($J97,Herbicide_Data!$A$1:$L$61,9,TRUE))</f>
        <v>Simazine</v>
      </c>
      <c r="L97" s="62">
        <f>VLOOKUP($J97,Herbicide_Data!$A$1:$L$61,12,TRUE)</f>
        <v>32</v>
      </c>
      <c r="M97" s="16">
        <f t="shared" si="15"/>
        <v>5.8769513314967856</v>
      </c>
      <c r="N97" s="62" t="str">
        <f t="shared" si="21"/>
        <v>Triplet SF (3-Way) 228-312</v>
      </c>
      <c r="O97" s="63" t="str">
        <f>VLOOKUP($N97,Herbicide_Data!$A$1:$L$61,9)</f>
        <v>2,4-D, dimethylamine salt; Dicamba, dimethylamine salt;Mecoprop-p (MCPP-p), dimethylamine salt</v>
      </c>
      <c r="P97" s="62">
        <f>VLOOKUP($N97,Herbicide_Data!$A$1:$P$61,13)</f>
        <v>24</v>
      </c>
      <c r="Q97" s="16">
        <f t="shared" si="16"/>
        <v>4.4077134986225897</v>
      </c>
      <c r="R97" s="62" t="str">
        <f t="shared" si="22"/>
        <v>Resolute 4Fl (100-1139)</v>
      </c>
      <c r="S97" s="63" t="str">
        <f>VLOOKUP($R97,Herbicide_Data!$A$1:$L$61,9)</f>
        <v>Prodiamine</v>
      </c>
      <c r="T97" s="62">
        <f>VLOOKUP($R97,Herbicide_Data!$A$1:$Q$61,13)</f>
        <v>16</v>
      </c>
      <c r="U97" s="16">
        <f t="shared" si="17"/>
        <v>2.9384756657483928</v>
      </c>
      <c r="V97" s="62" t="b">
        <f t="shared" si="23"/>
        <v>0</v>
      </c>
      <c r="W97" s="63" t="e">
        <f>VLOOKUP($V97,Herbicide_Data!$A$1:$L$17,9)</f>
        <v>#N/A</v>
      </c>
      <c r="X97" s="62" t="e">
        <f>VLOOKUP($V97,Herbicide_Data!$A$1:$L$17,12)</f>
        <v>#N/A</v>
      </c>
      <c r="Y97" s="16" t="e">
        <f t="shared" si="18"/>
        <v>#N/A</v>
      </c>
      <c r="Z97" s="15"/>
      <c r="AA97" s="13"/>
      <c r="AB97" s="17"/>
      <c r="AC97" s="3"/>
      <c r="AD97" s="10"/>
      <c r="AE97" s="3"/>
      <c r="AF97" s="10"/>
      <c r="AG97" s="15"/>
      <c r="AH97" s="62" t="str">
        <f t="shared" si="24"/>
        <v/>
      </c>
      <c r="AI97" s="62" t="e">
        <f>VLOOKUP($AH97,Herbicide_Data!$A$1:$Q$61,13)</f>
        <v>#N/A</v>
      </c>
      <c r="AJ97" s="16" t="e">
        <f t="shared" si="19"/>
        <v>#N/A</v>
      </c>
      <c r="AK97" s="3"/>
      <c r="AL97" s="3"/>
      <c r="AM97" s="3"/>
      <c r="AN97" s="3"/>
      <c r="AO97" s="3"/>
      <c r="AP97" s="3"/>
      <c r="AQ97" s="18"/>
      <c r="AR97" s="19"/>
      <c r="AS97" s="19"/>
      <c r="AT97" s="20"/>
      <c r="AU97" s="20"/>
      <c r="AV97" s="21"/>
      <c r="AW97" s="22"/>
      <c r="AX97" s="19"/>
      <c r="AY97" s="19"/>
      <c r="AZ97" s="19"/>
      <c r="BA97" s="23"/>
      <c r="BB97" s="19"/>
      <c r="BC97" s="19"/>
      <c r="BD97" s="19"/>
    </row>
    <row r="98" spans="1:56" ht="72">
      <c r="A98" s="13" t="s">
        <v>379</v>
      </c>
      <c r="B98" s="11">
        <v>46074</v>
      </c>
      <c r="C98" s="12">
        <v>0.45833333333333331</v>
      </c>
      <c r="D98" s="12">
        <f t="shared" si="14"/>
        <v>0.47916663333333331</v>
      </c>
      <c r="E98" s="10" t="s">
        <v>85</v>
      </c>
      <c r="F98" s="10">
        <f>IFERROR(VLOOKUP(E98,Data!A$2:B$5,2,TRUE), "")</f>
        <v>48160</v>
      </c>
      <c r="G98" s="3" t="s">
        <v>581</v>
      </c>
      <c r="H98" s="13">
        <f>IFERROR(VLOOKUP(A98,Customer_Data!$A$1:$P$114,8,TRUE),"")</f>
        <v>3687</v>
      </c>
      <c r="I98" s="13"/>
      <c r="J98" s="3" t="str">
        <f t="shared" si="20"/>
        <v/>
      </c>
      <c r="K98" s="62" t="e">
        <f>(VLOOKUP($J98,Herbicide_Data!$A$1:$L$61,9,TRUE))</f>
        <v>#N/A</v>
      </c>
      <c r="L98" s="62" t="e">
        <f>VLOOKUP($J98,Herbicide_Data!$A$1:$L$61,12,TRUE)</f>
        <v>#N/A</v>
      </c>
      <c r="M98" s="16" t="e">
        <f t="shared" si="15"/>
        <v>#N/A</v>
      </c>
      <c r="N98" s="62" t="str">
        <f t="shared" si="21"/>
        <v>Triplet SF (3-Way) 228-312</v>
      </c>
      <c r="O98" s="63" t="str">
        <f>VLOOKUP($N98,Herbicide_Data!$A$1:$L$61,9)</f>
        <v>2,4-D, dimethylamine salt; Dicamba, dimethylamine salt;Mecoprop-p (MCPP-p), dimethylamine salt</v>
      </c>
      <c r="P98" s="62">
        <f>VLOOKUP($N98,Herbicide_Data!$A$1:$P$61,13)</f>
        <v>24</v>
      </c>
      <c r="Q98" s="16">
        <f t="shared" si="16"/>
        <v>2.0314049586776859</v>
      </c>
      <c r="R98" s="62" t="str">
        <f t="shared" si="22"/>
        <v>Resolute 4Fl (100-1139)</v>
      </c>
      <c r="S98" s="63" t="str">
        <f>VLOOKUP($R98,Herbicide_Data!$A$1:$L$61,9)</f>
        <v>Prodiamine</v>
      </c>
      <c r="T98" s="62">
        <f>VLOOKUP($R98,Herbicide_Data!$A$1:$Q$61,13)</f>
        <v>16</v>
      </c>
      <c r="U98" s="16">
        <f t="shared" si="17"/>
        <v>1.3542699724517906</v>
      </c>
      <c r="V98" s="62" t="b">
        <f t="shared" si="23"/>
        <v>0</v>
      </c>
      <c r="W98" s="63" t="e">
        <f>VLOOKUP($V98,Herbicide_Data!$A$1:$L$17,9)</f>
        <v>#N/A</v>
      </c>
      <c r="X98" s="62" t="e">
        <f>VLOOKUP($V98,Herbicide_Data!$A$1:$L$17,12)</f>
        <v>#N/A</v>
      </c>
      <c r="Y98" s="16" t="e">
        <f t="shared" si="18"/>
        <v>#N/A</v>
      </c>
      <c r="Z98" s="15"/>
      <c r="AA98" s="13"/>
      <c r="AB98" s="17"/>
      <c r="AC98" s="3"/>
      <c r="AD98" s="10"/>
      <c r="AE98" s="3"/>
      <c r="AF98" s="10"/>
      <c r="AG98" s="15"/>
      <c r="AH98" s="62" t="str">
        <f t="shared" si="24"/>
        <v>Surfactant</v>
      </c>
      <c r="AI98" s="62">
        <f>VLOOKUP($AH98,Herbicide_Data!$A$1:$Q$61,13)</f>
        <v>12.8</v>
      </c>
      <c r="AJ98" s="16">
        <f t="shared" si="19"/>
        <v>1.0834159779614325</v>
      </c>
      <c r="AK98" s="3"/>
      <c r="AL98" s="3"/>
      <c r="AM98" s="3"/>
      <c r="AN98" s="3"/>
      <c r="AO98" s="3"/>
      <c r="AP98" s="3"/>
      <c r="AQ98" s="18"/>
      <c r="AR98" s="19"/>
      <c r="AS98" s="19"/>
      <c r="AT98" s="20"/>
      <c r="AU98" s="20"/>
      <c r="AV98" s="21"/>
      <c r="AW98" s="22"/>
      <c r="AX98" s="19"/>
      <c r="AY98" s="19"/>
      <c r="AZ98" s="19"/>
      <c r="BA98" s="23"/>
      <c r="BB98" s="19"/>
      <c r="BC98" s="19"/>
      <c r="BD98" s="19"/>
    </row>
    <row r="99" spans="1:56" ht="72">
      <c r="A99" s="13" t="s">
        <v>572</v>
      </c>
      <c r="B99" s="11">
        <v>46074</v>
      </c>
      <c r="C99" s="12">
        <f t="shared" ca="1" si="13"/>
        <v>0.63285474536678521</v>
      </c>
      <c r="D99" s="12">
        <f t="shared" ca="1" si="14"/>
        <v>0.65368804536678526</v>
      </c>
      <c r="E99" s="10" t="s">
        <v>85</v>
      </c>
      <c r="F99" s="10">
        <f>IFERROR(VLOOKUP(E99,Data!A$2:B$5,2,TRUE), "")</f>
        <v>48160</v>
      </c>
      <c r="G99" s="3" t="s">
        <v>581</v>
      </c>
      <c r="H99" s="13">
        <f>IFERROR(VLOOKUP(A99,Customer_Data!$A$1:$P$114,8,TRUE),"")</f>
        <v>4150</v>
      </c>
      <c r="I99" s="13"/>
      <c r="J99" s="3" t="str">
        <f t="shared" si="20"/>
        <v/>
      </c>
      <c r="K99" s="62" t="e">
        <f>(VLOOKUP($J99,Herbicide_Data!$A$1:$L$61,9,TRUE))</f>
        <v>#N/A</v>
      </c>
      <c r="L99" s="62" t="e">
        <f>VLOOKUP($J99,Herbicide_Data!$A$1:$L$61,12,TRUE)</f>
        <v>#N/A</v>
      </c>
      <c r="M99" s="16" t="e">
        <f t="shared" si="15"/>
        <v>#N/A</v>
      </c>
      <c r="N99" s="62" t="str">
        <f t="shared" si="21"/>
        <v>Triplet SF (3-Way) 228-312</v>
      </c>
      <c r="O99" s="63" t="str">
        <f>VLOOKUP($N99,Herbicide_Data!$A$1:$L$61,9)</f>
        <v>2,4-D, dimethylamine salt; Dicamba, dimethylamine salt;Mecoprop-p (MCPP-p), dimethylamine salt</v>
      </c>
      <c r="P99" s="62">
        <f>VLOOKUP($N99,Herbicide_Data!$A$1:$P$61,13)</f>
        <v>24</v>
      </c>
      <c r="Q99" s="16">
        <f t="shared" si="16"/>
        <v>2.2865013774104685</v>
      </c>
      <c r="R99" s="62" t="str">
        <f t="shared" si="22"/>
        <v>Resolute 4Fl (100-1139)</v>
      </c>
      <c r="S99" s="63" t="str">
        <f>VLOOKUP($R99,Herbicide_Data!$A$1:$L$61,9)</f>
        <v>Prodiamine</v>
      </c>
      <c r="T99" s="62">
        <f>VLOOKUP($R99,Herbicide_Data!$A$1:$Q$61,13)</f>
        <v>16</v>
      </c>
      <c r="U99" s="16">
        <f t="shared" si="17"/>
        <v>1.5243342516069789</v>
      </c>
      <c r="V99" s="62" t="b">
        <f t="shared" si="23"/>
        <v>0</v>
      </c>
      <c r="W99" s="63" t="e">
        <f>VLOOKUP($V99,Herbicide_Data!$A$1:$L$17,9)</f>
        <v>#N/A</v>
      </c>
      <c r="X99" s="62" t="e">
        <f>VLOOKUP($V99,Herbicide_Data!$A$1:$L$17,12)</f>
        <v>#N/A</v>
      </c>
      <c r="Y99" s="16" t="e">
        <f t="shared" si="18"/>
        <v>#N/A</v>
      </c>
      <c r="Z99" s="15"/>
      <c r="AA99" s="13"/>
      <c r="AB99" s="17"/>
      <c r="AC99" s="3"/>
      <c r="AD99" s="10"/>
      <c r="AE99" s="3"/>
      <c r="AF99" s="10"/>
      <c r="AG99" s="15"/>
      <c r="AH99" s="62" t="str">
        <f t="shared" si="24"/>
        <v>Surfactant</v>
      </c>
      <c r="AI99" s="62">
        <f>VLOOKUP($AH99,Herbicide_Data!$A$1:$Q$61,13)</f>
        <v>12.8</v>
      </c>
      <c r="AJ99" s="16">
        <f t="shared" si="19"/>
        <v>1.2194674012855833</v>
      </c>
      <c r="AK99" s="3"/>
      <c r="AL99" s="3"/>
      <c r="AM99" s="3"/>
      <c r="AN99" s="3"/>
      <c r="AO99" s="3"/>
      <c r="AP99" s="3"/>
      <c r="AQ99" s="18"/>
      <c r="AR99" s="19"/>
      <c r="AS99" s="19"/>
      <c r="AT99" s="20"/>
      <c r="AU99" s="20"/>
      <c r="AV99" s="21"/>
      <c r="AW99" s="22"/>
      <c r="AX99" s="19"/>
      <c r="AY99" s="19"/>
      <c r="AZ99" s="19"/>
      <c r="BA99" s="23"/>
      <c r="BB99" s="19"/>
      <c r="BC99" s="19"/>
      <c r="BD99" s="19"/>
    </row>
    <row r="100" spans="1:56" ht="72">
      <c r="A100" s="13" t="s">
        <v>576</v>
      </c>
      <c r="B100" s="11">
        <v>46074</v>
      </c>
      <c r="C100" s="12">
        <v>0.375</v>
      </c>
      <c r="D100" s="12">
        <f t="shared" si="14"/>
        <v>0.3958333</v>
      </c>
      <c r="E100" s="10" t="s">
        <v>85</v>
      </c>
      <c r="F100" s="10">
        <f>IFERROR(VLOOKUP(E100,Data!A$2:B$5,2,TRUE), "")</f>
        <v>48160</v>
      </c>
      <c r="G100" s="3" t="s">
        <v>581</v>
      </c>
      <c r="H100" s="13">
        <f>IFERROR(VLOOKUP(A100,Customer_Data!$A$1:$P$114,8,TRUE),"")</f>
        <v>3875</v>
      </c>
      <c r="I100" s="13"/>
      <c r="J100" s="3" t="str">
        <f t="shared" si="20"/>
        <v/>
      </c>
      <c r="K100" s="62" t="e">
        <f>(VLOOKUP($J100,Herbicide_Data!$A$1:$L$61,9,TRUE))</f>
        <v>#N/A</v>
      </c>
      <c r="L100" s="62" t="e">
        <f>VLOOKUP($J100,Herbicide_Data!$A$1:$L$61,12,TRUE)</f>
        <v>#N/A</v>
      </c>
      <c r="M100" s="16" t="e">
        <f t="shared" si="15"/>
        <v>#N/A</v>
      </c>
      <c r="N100" s="62" t="str">
        <f t="shared" si="21"/>
        <v>Triplet SF (3-Way) 228-312</v>
      </c>
      <c r="O100" s="63" t="str">
        <f>VLOOKUP($N100,Herbicide_Data!$A$1:$L$61,9)</f>
        <v>2,4-D, dimethylamine salt; Dicamba, dimethylamine salt;Mecoprop-p (MCPP-p), dimethylamine salt</v>
      </c>
      <c r="P100" s="62">
        <f>VLOOKUP($N100,Herbicide_Data!$A$1:$P$61,13)</f>
        <v>24</v>
      </c>
      <c r="Q100" s="16">
        <f t="shared" si="16"/>
        <v>2.1349862258953167</v>
      </c>
      <c r="R100" s="62" t="str">
        <f t="shared" si="22"/>
        <v>Resolute 4Fl (100-1139)</v>
      </c>
      <c r="S100" s="63" t="str">
        <f>VLOOKUP($R100,Herbicide_Data!$A$1:$L$61,9)</f>
        <v>Prodiamine</v>
      </c>
      <c r="T100" s="62">
        <f>VLOOKUP($R100,Herbicide_Data!$A$1:$Q$61,13)</f>
        <v>16</v>
      </c>
      <c r="U100" s="16">
        <f t="shared" si="17"/>
        <v>1.4233241505968779</v>
      </c>
      <c r="V100" s="62" t="b">
        <f t="shared" si="23"/>
        <v>0</v>
      </c>
      <c r="W100" s="63" t="e">
        <f>VLOOKUP($V100,Herbicide_Data!$A$1:$L$17,9)</f>
        <v>#N/A</v>
      </c>
      <c r="X100" s="62" t="e">
        <f>VLOOKUP($V100,Herbicide_Data!$A$1:$L$17,12)</f>
        <v>#N/A</v>
      </c>
      <c r="Y100" s="16" t="e">
        <f t="shared" si="18"/>
        <v>#N/A</v>
      </c>
      <c r="Z100" s="15"/>
      <c r="AA100" s="13"/>
      <c r="AB100" s="17"/>
      <c r="AC100" s="3"/>
      <c r="AD100" s="10"/>
      <c r="AE100" s="3"/>
      <c r="AF100" s="10"/>
      <c r="AG100" s="15"/>
      <c r="AH100" s="62" t="str">
        <f t="shared" si="24"/>
        <v>Surfactant</v>
      </c>
      <c r="AI100" s="62">
        <f>VLOOKUP($AH100,Herbicide_Data!$A$1:$Q$61,13)</f>
        <v>12.8</v>
      </c>
      <c r="AJ100" s="16">
        <f t="shared" si="19"/>
        <v>1.1386593204775024</v>
      </c>
      <c r="AK100" s="3"/>
      <c r="AL100" s="3"/>
      <c r="AM100" s="3"/>
      <c r="AN100" s="3"/>
      <c r="AO100" s="3"/>
      <c r="AP100" s="3"/>
      <c r="AQ100" s="18"/>
      <c r="AR100" s="19"/>
      <c r="AS100" s="19"/>
      <c r="AT100" s="20"/>
      <c r="AU100" s="20"/>
      <c r="AV100" s="21"/>
      <c r="AW100" s="22"/>
      <c r="AX100" s="19"/>
      <c r="AY100" s="19"/>
      <c r="AZ100" s="19"/>
      <c r="BA100" s="23"/>
      <c r="BB100" s="19"/>
      <c r="BC100" s="19"/>
      <c r="BD100" s="19"/>
    </row>
    <row r="101" spans="1:56" ht="72">
      <c r="A101" s="13" t="s">
        <v>591</v>
      </c>
      <c r="B101" s="11">
        <v>46074</v>
      </c>
      <c r="C101" s="12">
        <v>0.41666666666666669</v>
      </c>
      <c r="D101" s="12">
        <f t="shared" si="14"/>
        <v>0.43749996666666668</v>
      </c>
      <c r="E101" s="10" t="s">
        <v>85</v>
      </c>
      <c r="F101" s="10">
        <f>IFERROR(VLOOKUP(E101,Data!A$2:B$5,2,TRUE), "")</f>
        <v>48160</v>
      </c>
      <c r="G101" s="3" t="s">
        <v>581</v>
      </c>
      <c r="H101" s="13">
        <f>IFERROR(VLOOKUP(A101,Customer_Data!$A$1:$P$114,8,TRUE),"")</f>
        <v>9000</v>
      </c>
      <c r="I101" s="13"/>
      <c r="J101" s="3" t="str">
        <f t="shared" si="20"/>
        <v/>
      </c>
      <c r="K101" s="62" t="e">
        <f>(VLOOKUP($J101,Herbicide_Data!$A$1:$L$61,9,TRUE))</f>
        <v>#N/A</v>
      </c>
      <c r="L101" s="62" t="e">
        <f>VLOOKUP($J101,Herbicide_Data!$A$1:$L$61,12,TRUE)</f>
        <v>#N/A</v>
      </c>
      <c r="M101" s="16" t="e">
        <f t="shared" si="15"/>
        <v>#N/A</v>
      </c>
      <c r="N101" s="62" t="str">
        <f t="shared" si="21"/>
        <v>Triplet SF (3-Way) 228-312</v>
      </c>
      <c r="O101" s="63" t="str">
        <f>VLOOKUP($N101,Herbicide_Data!$A$1:$L$61,9)</f>
        <v>2,4-D, dimethylamine salt; Dicamba, dimethylamine salt;Mecoprop-p (MCPP-p), dimethylamine salt</v>
      </c>
      <c r="P101" s="62">
        <f>VLOOKUP($N101,Herbicide_Data!$A$1:$P$61,13)</f>
        <v>24</v>
      </c>
      <c r="Q101" s="16">
        <f t="shared" si="16"/>
        <v>4.9586776859504136</v>
      </c>
      <c r="R101" s="62" t="str">
        <f t="shared" si="22"/>
        <v>Resolute 4Fl (100-1139)</v>
      </c>
      <c r="S101" s="63" t="str">
        <f>VLOOKUP($R101,Herbicide_Data!$A$1:$L$61,9)</f>
        <v>Prodiamine</v>
      </c>
      <c r="T101" s="62">
        <f>VLOOKUP($R101,Herbicide_Data!$A$1:$Q$61,13)</f>
        <v>16</v>
      </c>
      <c r="U101" s="16">
        <f t="shared" si="17"/>
        <v>3.3057851239669422</v>
      </c>
      <c r="V101" s="62" t="b">
        <f t="shared" si="23"/>
        <v>0</v>
      </c>
      <c r="W101" s="63" t="e">
        <f>VLOOKUP($V101,Herbicide_Data!$A$1:$L$17,9)</f>
        <v>#N/A</v>
      </c>
      <c r="X101" s="62" t="e">
        <f>VLOOKUP($V101,Herbicide_Data!$A$1:$L$17,12)</f>
        <v>#N/A</v>
      </c>
      <c r="Y101" s="16" t="e">
        <f t="shared" si="18"/>
        <v>#N/A</v>
      </c>
      <c r="Z101" s="15"/>
      <c r="AA101" s="13"/>
      <c r="AB101" s="17"/>
      <c r="AC101" s="3"/>
      <c r="AD101" s="10"/>
      <c r="AE101" s="3"/>
      <c r="AF101" s="10"/>
      <c r="AG101" s="15"/>
      <c r="AH101" s="62" t="str">
        <f t="shared" si="24"/>
        <v>Surfactant</v>
      </c>
      <c r="AI101" s="62">
        <f>VLOOKUP($AH101,Herbicide_Data!$A$1:$Q$61,13)</f>
        <v>12.8</v>
      </c>
      <c r="AJ101" s="16">
        <f t="shared" si="19"/>
        <v>2.6446280991735538</v>
      </c>
      <c r="AK101" s="3"/>
      <c r="AL101" s="3"/>
      <c r="AM101" s="3"/>
      <c r="AN101" s="3"/>
      <c r="AO101" s="3"/>
      <c r="AP101" s="3"/>
      <c r="AQ101" s="18"/>
      <c r="AR101" s="19"/>
      <c r="AS101" s="19"/>
      <c r="AT101" s="20"/>
      <c r="AU101" s="20"/>
      <c r="AV101" s="21"/>
      <c r="AW101" s="22"/>
      <c r="AX101" s="19"/>
      <c r="AY101" s="19"/>
      <c r="AZ101" s="19"/>
      <c r="BA101" s="23"/>
      <c r="BB101" s="19"/>
      <c r="BC101" s="19"/>
      <c r="BD101" s="19"/>
    </row>
    <row r="102" spans="1:56" ht="72">
      <c r="A102" s="13" t="s">
        <v>597</v>
      </c>
      <c r="B102" s="11">
        <v>46074</v>
      </c>
      <c r="C102" s="12">
        <v>0.5</v>
      </c>
      <c r="D102" s="12">
        <f t="shared" si="14"/>
        <v>0.52083330000000005</v>
      </c>
      <c r="E102" s="10" t="s">
        <v>85</v>
      </c>
      <c r="F102" s="10">
        <f>IFERROR(VLOOKUP(E102,Data!A$2:B$5,2,TRUE), "")</f>
        <v>48160</v>
      </c>
      <c r="G102" s="3" t="s">
        <v>581</v>
      </c>
      <c r="H102" s="13">
        <f>IFERROR(VLOOKUP(A102,Customer_Data!$A$1:$P$114,8,TRUE),"")</f>
        <v>6400</v>
      </c>
      <c r="I102" s="13"/>
      <c r="J102" s="3" t="str">
        <f t="shared" si="20"/>
        <v/>
      </c>
      <c r="K102" s="62" t="e">
        <f>(VLOOKUP($J102,Herbicide_Data!$A$1:$L$61,9,TRUE))</f>
        <v>#N/A</v>
      </c>
      <c r="L102" s="62" t="e">
        <f>VLOOKUP($J102,Herbicide_Data!$A$1:$L$61,12,TRUE)</f>
        <v>#N/A</v>
      </c>
      <c r="M102" s="16" t="e">
        <f t="shared" si="15"/>
        <v>#N/A</v>
      </c>
      <c r="N102" s="62" t="str">
        <f t="shared" si="21"/>
        <v>Triplet SF (3-Way) 228-312</v>
      </c>
      <c r="O102" s="63" t="str">
        <f>VLOOKUP($N102,Herbicide_Data!$A$1:$L$61,9)</f>
        <v>2,4-D, dimethylamine salt; Dicamba, dimethylamine salt;Mecoprop-p (MCPP-p), dimethylamine salt</v>
      </c>
      <c r="P102" s="62">
        <f>VLOOKUP($N102,Herbicide_Data!$A$1:$P$61,13)</f>
        <v>24</v>
      </c>
      <c r="Q102" s="16">
        <f t="shared" si="16"/>
        <v>3.5261707988980717</v>
      </c>
      <c r="R102" s="62" t="str">
        <f t="shared" si="22"/>
        <v>Resolute 4Fl (100-1139)</v>
      </c>
      <c r="S102" s="63" t="str">
        <f>VLOOKUP($R102,Herbicide_Data!$A$1:$L$61,9)</f>
        <v>Prodiamine</v>
      </c>
      <c r="T102" s="62">
        <f>VLOOKUP($R102,Herbicide_Data!$A$1:$Q$61,13)</f>
        <v>16</v>
      </c>
      <c r="U102" s="16">
        <f t="shared" si="17"/>
        <v>2.3507805325987143</v>
      </c>
      <c r="V102" s="62" t="b">
        <f t="shared" si="23"/>
        <v>0</v>
      </c>
      <c r="W102" s="63" t="e">
        <f>VLOOKUP($V102,Herbicide_Data!$A$1:$L$17,9)</f>
        <v>#N/A</v>
      </c>
      <c r="X102" s="62" t="e">
        <f>VLOOKUP($V102,Herbicide_Data!$A$1:$L$17,12)</f>
        <v>#N/A</v>
      </c>
      <c r="Y102" s="16" t="e">
        <f t="shared" si="18"/>
        <v>#N/A</v>
      </c>
      <c r="Z102" s="15"/>
      <c r="AA102" s="13"/>
      <c r="AB102" s="17"/>
      <c r="AC102" s="3"/>
      <c r="AD102" s="10"/>
      <c r="AE102" s="3"/>
      <c r="AF102" s="10"/>
      <c r="AG102" s="15"/>
      <c r="AH102" s="62" t="str">
        <f t="shared" si="24"/>
        <v>Surfactant</v>
      </c>
      <c r="AI102" s="62">
        <f>VLOOKUP($AH102,Herbicide_Data!$A$1:$Q$61,13)</f>
        <v>12.8</v>
      </c>
      <c r="AJ102" s="16">
        <f t="shared" si="19"/>
        <v>1.8806244260789715</v>
      </c>
      <c r="AK102" s="3"/>
      <c r="AL102" s="3"/>
      <c r="AM102" s="3"/>
      <c r="AN102" s="3"/>
      <c r="AO102" s="3"/>
      <c r="AP102" s="3"/>
      <c r="AQ102" s="18"/>
      <c r="AR102" s="19"/>
      <c r="AS102" s="19"/>
      <c r="AT102" s="20"/>
      <c r="AU102" s="20"/>
      <c r="AV102" s="21"/>
      <c r="AW102" s="22"/>
      <c r="AX102" s="19"/>
      <c r="AY102" s="19"/>
      <c r="AZ102" s="19"/>
      <c r="BA102" s="23"/>
      <c r="BB102" s="19"/>
      <c r="BC102" s="19"/>
      <c r="BD102" s="19"/>
    </row>
    <row r="103" spans="1:56" ht="72">
      <c r="A103" s="13" t="s">
        <v>382</v>
      </c>
      <c r="B103" s="11">
        <v>46081</v>
      </c>
      <c r="C103" s="12">
        <f t="shared" ca="1" si="13"/>
        <v>0.63285474536678521</v>
      </c>
      <c r="D103" s="12">
        <f t="shared" ca="1" si="14"/>
        <v>0.65368804536678526</v>
      </c>
      <c r="E103" s="10" t="s">
        <v>85</v>
      </c>
      <c r="F103" s="10">
        <f>IFERROR(VLOOKUP(E103,Data!A$2:B$5,2,TRUE), "")</f>
        <v>48160</v>
      </c>
      <c r="G103" s="3" t="s">
        <v>581</v>
      </c>
      <c r="H103" s="13">
        <f>IFERROR(VLOOKUP(A103,Customer_Data!$A$1:$P$114,8,TRUE),"")</f>
        <v>1800</v>
      </c>
      <c r="I103" s="13"/>
      <c r="J103" s="3" t="str">
        <f t="shared" si="20"/>
        <v/>
      </c>
      <c r="K103" s="62" t="e">
        <f>(VLOOKUP($J103,Herbicide_Data!$A$1:$L$61,9,TRUE))</f>
        <v>#N/A</v>
      </c>
      <c r="L103" s="62" t="e">
        <f>VLOOKUP($J103,Herbicide_Data!$A$1:$L$61,12,TRUE)</f>
        <v>#N/A</v>
      </c>
      <c r="M103" s="16" t="e">
        <f t="shared" si="15"/>
        <v>#N/A</v>
      </c>
      <c r="N103" s="62" t="str">
        <f t="shared" si="21"/>
        <v>Triplet SF (3-Way) 228-312</v>
      </c>
      <c r="O103" s="63" t="str">
        <f>VLOOKUP($N103,Herbicide_Data!$A$1:$L$61,9)</f>
        <v>2,4-D, dimethylamine salt; Dicamba, dimethylamine salt;Mecoprop-p (MCPP-p), dimethylamine salt</v>
      </c>
      <c r="P103" s="62">
        <f>VLOOKUP($N103,Herbicide_Data!$A$1:$P$61,13)</f>
        <v>24</v>
      </c>
      <c r="Q103" s="16">
        <f t="shared" si="16"/>
        <v>0.99173553719008267</v>
      </c>
      <c r="R103" s="62" t="str">
        <f t="shared" si="22"/>
        <v>Resolute 4Fl (100-1139)</v>
      </c>
      <c r="S103" s="63" t="str">
        <f>VLOOKUP($R103,Herbicide_Data!$A$1:$L$61,9)</f>
        <v>Prodiamine</v>
      </c>
      <c r="T103" s="62">
        <f>VLOOKUP($R103,Herbicide_Data!$A$1:$Q$61,13)</f>
        <v>16</v>
      </c>
      <c r="U103" s="16">
        <f t="shared" si="17"/>
        <v>0.66115702479338845</v>
      </c>
      <c r="V103" s="62" t="b">
        <f t="shared" si="23"/>
        <v>0</v>
      </c>
      <c r="W103" s="63" t="e">
        <f>VLOOKUP($V103,Herbicide_Data!$A$1:$L$17,9)</f>
        <v>#N/A</v>
      </c>
      <c r="X103" s="62" t="e">
        <f>VLOOKUP($V103,Herbicide_Data!$A$1:$L$17,12)</f>
        <v>#N/A</v>
      </c>
      <c r="Y103" s="16" t="e">
        <f t="shared" si="18"/>
        <v>#N/A</v>
      </c>
      <c r="Z103" s="15"/>
      <c r="AA103" s="13"/>
      <c r="AB103" s="17"/>
      <c r="AC103" s="3"/>
      <c r="AD103" s="10"/>
      <c r="AE103" s="3"/>
      <c r="AF103" s="10"/>
      <c r="AG103" s="15"/>
      <c r="AH103" s="62" t="str">
        <f t="shared" si="24"/>
        <v>Surfactant</v>
      </c>
      <c r="AI103" s="62">
        <f>VLOOKUP($AH103,Herbicide_Data!$A$1:$Q$61,13)</f>
        <v>12.8</v>
      </c>
      <c r="AJ103" s="16">
        <f t="shared" si="19"/>
        <v>0.52892561983471076</v>
      </c>
      <c r="AK103" s="3"/>
      <c r="AL103" s="3"/>
      <c r="AM103" s="3"/>
      <c r="AN103" s="3"/>
      <c r="AO103" s="3"/>
      <c r="AP103" s="3"/>
      <c r="AQ103" s="18"/>
      <c r="AR103" s="19"/>
      <c r="AS103" s="19"/>
      <c r="AT103" s="20"/>
      <c r="AU103" s="20"/>
      <c r="AV103" s="21"/>
      <c r="AW103" s="22"/>
      <c r="AX103" s="19"/>
      <c r="AY103" s="19"/>
      <c r="AZ103" s="19"/>
      <c r="BA103" s="23"/>
      <c r="BB103" s="19"/>
      <c r="BC103" s="19"/>
      <c r="BD103" s="19"/>
    </row>
    <row r="104" spans="1:56" ht="72">
      <c r="A104" s="13" t="s">
        <v>441</v>
      </c>
      <c r="B104" s="11">
        <v>46081</v>
      </c>
      <c r="C104" s="12">
        <v>0.4375</v>
      </c>
      <c r="D104" s="12">
        <f t="shared" si="14"/>
        <v>0.4583333</v>
      </c>
      <c r="E104" s="10" t="s">
        <v>85</v>
      </c>
      <c r="F104" s="10">
        <f>IFERROR(VLOOKUP(E104,Data!A$2:B$5,2,TRUE), "")</f>
        <v>48160</v>
      </c>
      <c r="G104" s="3" t="s">
        <v>581</v>
      </c>
      <c r="H104" s="13">
        <f>IFERROR(VLOOKUP(A104,Customer_Data!$A$1:$P$114,8,TRUE),"")</f>
        <v>2000</v>
      </c>
      <c r="I104" s="13"/>
      <c r="J104" s="3" t="str">
        <f t="shared" si="20"/>
        <v/>
      </c>
      <c r="K104" s="62" t="e">
        <f>(VLOOKUP($J104,Herbicide_Data!$A$1:$L$61,9,TRUE))</f>
        <v>#N/A</v>
      </c>
      <c r="L104" s="62" t="e">
        <f>VLOOKUP($J104,Herbicide_Data!$A$1:$L$61,12,TRUE)</f>
        <v>#N/A</v>
      </c>
      <c r="M104" s="16" t="e">
        <f t="shared" si="15"/>
        <v>#N/A</v>
      </c>
      <c r="N104" s="62" t="str">
        <f t="shared" si="21"/>
        <v>Triplet SF (3-Way) 228-312</v>
      </c>
      <c r="O104" s="63" t="str">
        <f>VLOOKUP($N104,Herbicide_Data!$A$1:$L$61,9)</f>
        <v>2,4-D, dimethylamine salt; Dicamba, dimethylamine salt;Mecoprop-p (MCPP-p), dimethylamine salt</v>
      </c>
      <c r="P104" s="62">
        <f>VLOOKUP($N104,Herbicide_Data!$A$1:$P$61,13)</f>
        <v>24</v>
      </c>
      <c r="Q104" s="16">
        <f t="shared" si="16"/>
        <v>1.1019283746556474</v>
      </c>
      <c r="R104" s="62" t="str">
        <f t="shared" si="22"/>
        <v>Resolute 4Fl (100-1139)</v>
      </c>
      <c r="S104" s="63" t="str">
        <f>VLOOKUP($R104,Herbicide_Data!$A$1:$L$61,9)</f>
        <v>Prodiamine</v>
      </c>
      <c r="T104" s="62">
        <f>VLOOKUP($R104,Herbicide_Data!$A$1:$Q$61,13)</f>
        <v>16</v>
      </c>
      <c r="U104" s="16">
        <f t="shared" si="17"/>
        <v>0.7346189164370982</v>
      </c>
      <c r="V104" s="62" t="b">
        <f t="shared" si="23"/>
        <v>0</v>
      </c>
      <c r="W104" s="63" t="e">
        <f>VLOOKUP($V104,Herbicide_Data!$A$1:$L$17,9)</f>
        <v>#N/A</v>
      </c>
      <c r="X104" s="62" t="e">
        <f>VLOOKUP($V104,Herbicide_Data!$A$1:$L$17,12)</f>
        <v>#N/A</v>
      </c>
      <c r="Y104" s="16" t="e">
        <f t="shared" si="18"/>
        <v>#N/A</v>
      </c>
      <c r="Z104" s="15"/>
      <c r="AA104" s="13"/>
      <c r="AB104" s="17"/>
      <c r="AC104" s="3"/>
      <c r="AD104" s="10"/>
      <c r="AE104" s="3"/>
      <c r="AF104" s="10"/>
      <c r="AG104" s="15"/>
      <c r="AH104" s="62" t="str">
        <f t="shared" si="24"/>
        <v>Surfactant</v>
      </c>
      <c r="AI104" s="62">
        <f>VLOOKUP($AH104,Herbicide_Data!$A$1:$Q$61,13)</f>
        <v>12.8</v>
      </c>
      <c r="AJ104" s="16">
        <f t="shared" si="19"/>
        <v>0.58769513314967858</v>
      </c>
      <c r="AK104" s="3"/>
      <c r="AL104" s="3"/>
      <c r="AM104" s="3"/>
      <c r="AN104" s="3"/>
      <c r="AO104" s="3"/>
      <c r="AP104" s="3"/>
      <c r="AQ104" s="18"/>
      <c r="AR104" s="19"/>
      <c r="AS104" s="19"/>
      <c r="AT104" s="20"/>
      <c r="AU104" s="20"/>
      <c r="AV104" s="21"/>
      <c r="AW104" s="22"/>
      <c r="AX104" s="19"/>
      <c r="AY104" s="19"/>
      <c r="AZ104" s="19"/>
      <c r="BA104" s="23"/>
      <c r="BB104" s="19"/>
      <c r="BC104" s="19"/>
      <c r="BD104" s="19"/>
    </row>
    <row r="105" spans="1:56" ht="72">
      <c r="A105" s="13" t="s">
        <v>544</v>
      </c>
      <c r="B105" s="11">
        <v>46081</v>
      </c>
      <c r="C105" s="12">
        <v>0.46875</v>
      </c>
      <c r="D105" s="12">
        <f t="shared" si="14"/>
        <v>0.4895833</v>
      </c>
      <c r="E105" s="10" t="s">
        <v>85</v>
      </c>
      <c r="F105" s="10">
        <f>IFERROR(VLOOKUP(E105,Data!A$2:B$5,2,TRUE), "")</f>
        <v>48160</v>
      </c>
      <c r="G105" s="3" t="s">
        <v>581</v>
      </c>
      <c r="H105" s="13">
        <f>IFERROR(VLOOKUP(A105,Customer_Data!$A$1:$P$114,8,TRUE),"")</f>
        <v>2750</v>
      </c>
      <c r="I105" s="13"/>
      <c r="J105" s="3" t="str">
        <f t="shared" si="20"/>
        <v/>
      </c>
      <c r="K105" s="62" t="e">
        <f>(VLOOKUP($J105,Herbicide_Data!$A$1:$L$61,9,TRUE))</f>
        <v>#N/A</v>
      </c>
      <c r="L105" s="62" t="e">
        <f>VLOOKUP($J105,Herbicide_Data!$A$1:$L$61,12,TRUE)</f>
        <v>#N/A</v>
      </c>
      <c r="M105" s="16" t="e">
        <f t="shared" si="15"/>
        <v>#N/A</v>
      </c>
      <c r="N105" s="62" t="str">
        <f t="shared" si="21"/>
        <v>Triplet SF (3-Way) 228-312</v>
      </c>
      <c r="O105" s="63" t="str">
        <f>VLOOKUP($N105,Herbicide_Data!$A$1:$L$61,9)</f>
        <v>2,4-D, dimethylamine salt; Dicamba, dimethylamine salt;Mecoprop-p (MCPP-p), dimethylamine salt</v>
      </c>
      <c r="P105" s="62">
        <f>VLOOKUP($N105,Herbicide_Data!$A$1:$P$61,13)</f>
        <v>24</v>
      </c>
      <c r="Q105" s="16">
        <f t="shared" si="16"/>
        <v>1.5151515151515151</v>
      </c>
      <c r="R105" s="62" t="str">
        <f t="shared" si="22"/>
        <v>Resolute 4Fl (100-1139)</v>
      </c>
      <c r="S105" s="63" t="str">
        <f>VLOOKUP($R105,Herbicide_Data!$A$1:$L$61,9)</f>
        <v>Prodiamine</v>
      </c>
      <c r="T105" s="62">
        <f>VLOOKUP($R105,Herbicide_Data!$A$1:$Q$61,13)</f>
        <v>16</v>
      </c>
      <c r="U105" s="16">
        <f t="shared" si="17"/>
        <v>1.0101010101010102</v>
      </c>
      <c r="V105" s="62" t="b">
        <f t="shared" si="23"/>
        <v>0</v>
      </c>
      <c r="W105" s="63" t="e">
        <f>VLOOKUP($V105,Herbicide_Data!$A$1:$L$17,9)</f>
        <v>#N/A</v>
      </c>
      <c r="X105" s="62" t="e">
        <f>VLOOKUP($V105,Herbicide_Data!$A$1:$L$17,12)</f>
        <v>#N/A</v>
      </c>
      <c r="Y105" s="16" t="e">
        <f t="shared" si="18"/>
        <v>#N/A</v>
      </c>
      <c r="Z105" s="15"/>
      <c r="AA105" s="13"/>
      <c r="AB105" s="17"/>
      <c r="AC105" s="3"/>
      <c r="AD105" s="10"/>
      <c r="AE105" s="3"/>
      <c r="AF105" s="10"/>
      <c r="AG105" s="15"/>
      <c r="AH105" s="62" t="str">
        <f t="shared" si="24"/>
        <v>Surfactant</v>
      </c>
      <c r="AI105" s="62">
        <f>VLOOKUP($AH105,Herbicide_Data!$A$1:$Q$61,13)</f>
        <v>12.8</v>
      </c>
      <c r="AJ105" s="16">
        <f t="shared" si="19"/>
        <v>0.80808080808080818</v>
      </c>
      <c r="AK105" s="3"/>
      <c r="AL105" s="3"/>
      <c r="AM105" s="3"/>
      <c r="AN105" s="3"/>
      <c r="AO105" s="3"/>
      <c r="AP105" s="3"/>
      <c r="AQ105" s="18"/>
      <c r="AR105" s="19"/>
      <c r="AS105" s="19"/>
      <c r="AT105" s="20"/>
      <c r="AU105" s="20"/>
      <c r="AV105" s="21"/>
      <c r="AW105" s="22"/>
      <c r="AX105" s="19"/>
      <c r="AY105" s="19"/>
      <c r="AZ105" s="19"/>
      <c r="BA105" s="23"/>
      <c r="BB105" s="19"/>
      <c r="BC105" s="19"/>
      <c r="BD105" s="19"/>
    </row>
    <row r="106" spans="1:56" ht="72">
      <c r="A106" s="13" t="s">
        <v>550</v>
      </c>
      <c r="B106" s="11">
        <v>46081</v>
      </c>
      <c r="C106" s="12">
        <v>0.5</v>
      </c>
      <c r="D106" s="12">
        <f t="shared" si="14"/>
        <v>0.52083330000000005</v>
      </c>
      <c r="E106" s="10" t="s">
        <v>85</v>
      </c>
      <c r="F106" s="10">
        <f>IFERROR(VLOOKUP(E106,Data!A$2:B$5,2,TRUE), "")</f>
        <v>48160</v>
      </c>
      <c r="G106" s="3" t="s">
        <v>581</v>
      </c>
      <c r="H106" s="13">
        <f>IFERROR(VLOOKUP(A106,Customer_Data!$A$1:$P$114,8,TRUE),"")</f>
        <v>4670</v>
      </c>
      <c r="I106" s="13"/>
      <c r="J106" s="3" t="str">
        <f t="shared" si="20"/>
        <v/>
      </c>
      <c r="K106" s="62" t="e">
        <f>(VLOOKUP($J106,Herbicide_Data!$A$1:$L$61,9,TRUE))</f>
        <v>#N/A</v>
      </c>
      <c r="L106" s="62" t="e">
        <f>VLOOKUP($J106,Herbicide_Data!$A$1:$L$61,12,TRUE)</f>
        <v>#N/A</v>
      </c>
      <c r="M106" s="16" t="e">
        <f t="shared" si="15"/>
        <v>#N/A</v>
      </c>
      <c r="N106" s="62" t="str">
        <f t="shared" si="21"/>
        <v>Triplet SF (3-Way) 228-312</v>
      </c>
      <c r="O106" s="63" t="str">
        <f>VLOOKUP($N106,Herbicide_Data!$A$1:$L$61,9)</f>
        <v>2,4-D, dimethylamine salt; Dicamba, dimethylamine salt;Mecoprop-p (MCPP-p), dimethylamine salt</v>
      </c>
      <c r="P106" s="62">
        <f>VLOOKUP($N106,Herbicide_Data!$A$1:$P$61,13)</f>
        <v>24</v>
      </c>
      <c r="Q106" s="16">
        <f t="shared" si="16"/>
        <v>2.5730027548209367</v>
      </c>
      <c r="R106" s="62" t="str">
        <f t="shared" si="22"/>
        <v>Resolute 4Fl (100-1139)</v>
      </c>
      <c r="S106" s="63" t="str">
        <f>VLOOKUP($R106,Herbicide_Data!$A$1:$L$61,9)</f>
        <v>Prodiamine</v>
      </c>
      <c r="T106" s="62">
        <f>VLOOKUP($R106,Herbicide_Data!$A$1:$Q$61,13)</f>
        <v>16</v>
      </c>
      <c r="U106" s="16">
        <f t="shared" si="17"/>
        <v>1.7153351698806245</v>
      </c>
      <c r="V106" s="62" t="b">
        <f t="shared" si="23"/>
        <v>0</v>
      </c>
      <c r="W106" s="63" t="e">
        <f>VLOOKUP($V106,Herbicide_Data!$A$1:$L$17,9)</f>
        <v>#N/A</v>
      </c>
      <c r="X106" s="62" t="e">
        <f>VLOOKUP($V106,Herbicide_Data!$A$1:$L$17,12)</f>
        <v>#N/A</v>
      </c>
      <c r="Y106" s="16" t="e">
        <f t="shared" si="18"/>
        <v>#N/A</v>
      </c>
      <c r="Z106" s="15"/>
      <c r="AA106" s="13"/>
      <c r="AB106" s="17"/>
      <c r="AC106" s="3"/>
      <c r="AD106" s="10"/>
      <c r="AE106" s="3"/>
      <c r="AF106" s="10"/>
      <c r="AG106" s="15"/>
      <c r="AH106" s="62" t="str">
        <f t="shared" si="24"/>
        <v>Surfactant</v>
      </c>
      <c r="AI106" s="62">
        <f>VLOOKUP($AH106,Herbicide_Data!$A$1:$Q$61,13)</f>
        <v>12.8</v>
      </c>
      <c r="AJ106" s="16">
        <f t="shared" si="19"/>
        <v>1.3722681359044997</v>
      </c>
      <c r="AK106" s="3"/>
      <c r="AL106" s="3"/>
      <c r="AM106" s="3"/>
      <c r="AN106" s="3"/>
      <c r="AO106" s="3"/>
      <c r="AP106" s="3"/>
      <c r="AQ106" s="18"/>
      <c r="AR106" s="19"/>
      <c r="AS106" s="19"/>
      <c r="AT106" s="20"/>
      <c r="AU106" s="20"/>
      <c r="AV106" s="21"/>
      <c r="AW106" s="22"/>
      <c r="AX106" s="19"/>
      <c r="AY106" s="19"/>
      <c r="AZ106" s="19"/>
      <c r="BA106" s="23"/>
      <c r="BB106" s="19"/>
      <c r="BC106" s="19"/>
      <c r="BD106" s="19"/>
    </row>
    <row r="107" spans="1:56" ht="72">
      <c r="A107" s="13" t="s">
        <v>578</v>
      </c>
      <c r="B107" s="11">
        <v>46081</v>
      </c>
      <c r="C107" s="12">
        <v>0.52083333333333337</v>
      </c>
      <c r="D107" s="12">
        <f t="shared" si="14"/>
        <v>0.54166663333333331</v>
      </c>
      <c r="E107" s="10" t="s">
        <v>85</v>
      </c>
      <c r="F107" s="10">
        <f>IFERROR(VLOOKUP(E107,Data!A$2:B$5,2,TRUE), "")</f>
        <v>48160</v>
      </c>
      <c r="G107" s="3" t="s">
        <v>581</v>
      </c>
      <c r="H107" s="13">
        <f>IFERROR(VLOOKUP(A107,Customer_Data!$A$1:$P$114,8,TRUE),"")</f>
        <v>13500</v>
      </c>
      <c r="I107" s="13"/>
      <c r="J107" s="3" t="str">
        <f t="shared" si="20"/>
        <v/>
      </c>
      <c r="K107" s="62" t="e">
        <f>(VLOOKUP($J107,Herbicide_Data!$A$1:$L$61,9,TRUE))</f>
        <v>#N/A</v>
      </c>
      <c r="L107" s="62" t="e">
        <f>VLOOKUP($J107,Herbicide_Data!$A$1:$L$61,12,TRUE)</f>
        <v>#N/A</v>
      </c>
      <c r="M107" s="16" t="e">
        <f t="shared" si="15"/>
        <v>#N/A</v>
      </c>
      <c r="N107" s="62" t="str">
        <f t="shared" si="21"/>
        <v>Triplet SF (3-Way) 228-312</v>
      </c>
      <c r="O107" s="63" t="str">
        <f>VLOOKUP($N107,Herbicide_Data!$A$1:$L$61,9)</f>
        <v>2,4-D, dimethylamine salt; Dicamba, dimethylamine salt;Mecoprop-p (MCPP-p), dimethylamine salt</v>
      </c>
      <c r="P107" s="62">
        <f>VLOOKUP($N107,Herbicide_Data!$A$1:$P$61,13)</f>
        <v>24</v>
      </c>
      <c r="Q107" s="16">
        <f t="shared" si="16"/>
        <v>7.4380165289256208</v>
      </c>
      <c r="R107" s="62" t="str">
        <f t="shared" si="22"/>
        <v>Resolute 4Fl (100-1139)</v>
      </c>
      <c r="S107" s="63" t="str">
        <f>VLOOKUP($R107,Herbicide_Data!$A$1:$L$61,9)</f>
        <v>Prodiamine</v>
      </c>
      <c r="T107" s="62">
        <f>VLOOKUP($R107,Herbicide_Data!$A$1:$Q$61,13)</f>
        <v>16</v>
      </c>
      <c r="U107" s="16">
        <f t="shared" si="17"/>
        <v>4.9586776859504136</v>
      </c>
      <c r="V107" s="62" t="b">
        <f t="shared" si="23"/>
        <v>0</v>
      </c>
      <c r="W107" s="63" t="e">
        <f>VLOOKUP($V107,Herbicide_Data!$A$1:$L$17,9)</f>
        <v>#N/A</v>
      </c>
      <c r="X107" s="62" t="e">
        <f>VLOOKUP($V107,Herbicide_Data!$A$1:$L$17,12)</f>
        <v>#N/A</v>
      </c>
      <c r="Y107" s="16" t="e">
        <f t="shared" si="18"/>
        <v>#N/A</v>
      </c>
      <c r="Z107" s="15"/>
      <c r="AA107" s="13"/>
      <c r="AB107" s="17"/>
      <c r="AC107" s="3"/>
      <c r="AD107" s="10"/>
      <c r="AE107" s="3"/>
      <c r="AF107" s="10"/>
      <c r="AG107" s="15"/>
      <c r="AH107" s="62" t="str">
        <f t="shared" si="24"/>
        <v>Surfactant</v>
      </c>
      <c r="AI107" s="62">
        <f>VLOOKUP($AH107,Herbicide_Data!$A$1:$Q$61,13)</f>
        <v>12.8</v>
      </c>
      <c r="AJ107" s="16">
        <f t="shared" si="19"/>
        <v>3.9669421487603311</v>
      </c>
      <c r="AK107" s="3"/>
      <c r="AL107" s="3"/>
      <c r="AM107" s="3"/>
      <c r="AN107" s="3"/>
      <c r="AO107" s="3"/>
      <c r="AP107" s="3"/>
      <c r="AQ107" s="18"/>
      <c r="AR107" s="19"/>
      <c r="AS107" s="19"/>
      <c r="AT107" s="20"/>
      <c r="AU107" s="20"/>
      <c r="AV107" s="21"/>
      <c r="AW107" s="22"/>
      <c r="AX107" s="19"/>
      <c r="AY107" s="19"/>
      <c r="AZ107" s="19"/>
      <c r="BA107" s="23"/>
      <c r="BB107" s="19"/>
      <c r="BC107" s="19"/>
      <c r="BD107" s="19"/>
    </row>
    <row r="108" spans="1:56" ht="72">
      <c r="A108" s="13" t="s">
        <v>588</v>
      </c>
      <c r="B108" s="11">
        <v>46081</v>
      </c>
      <c r="C108" s="12">
        <v>0.54166666666666663</v>
      </c>
      <c r="D108" s="12">
        <f t="shared" si="14"/>
        <v>0.56249996666666657</v>
      </c>
      <c r="E108" s="10" t="s">
        <v>85</v>
      </c>
      <c r="F108" s="10">
        <f>IFERROR(VLOOKUP(E108,Data!A$2:B$5,2,TRUE), "")</f>
        <v>48160</v>
      </c>
      <c r="G108" s="3" t="s">
        <v>581</v>
      </c>
      <c r="H108" s="13">
        <f>IFERROR(VLOOKUP(A108,Customer_Data!$A$1:$P$114,8,TRUE),"")</f>
        <v>9000</v>
      </c>
      <c r="I108" s="13"/>
      <c r="J108" s="3" t="str">
        <f t="shared" si="20"/>
        <v/>
      </c>
      <c r="K108" s="62" t="e">
        <f>(VLOOKUP($J108,Herbicide_Data!$A$1:$L$61,9,TRUE))</f>
        <v>#N/A</v>
      </c>
      <c r="L108" s="62" t="e">
        <f>VLOOKUP($J108,Herbicide_Data!$A$1:$L$61,12,TRUE)</f>
        <v>#N/A</v>
      </c>
      <c r="M108" s="16" t="e">
        <f t="shared" si="15"/>
        <v>#N/A</v>
      </c>
      <c r="N108" s="62" t="str">
        <f t="shared" si="21"/>
        <v>Triplet SF (3-Way) 228-312</v>
      </c>
      <c r="O108" s="63" t="str">
        <f>VLOOKUP($N108,Herbicide_Data!$A$1:$L$61,9)</f>
        <v>2,4-D, dimethylamine salt; Dicamba, dimethylamine salt;Mecoprop-p (MCPP-p), dimethylamine salt</v>
      </c>
      <c r="P108" s="62">
        <f>VLOOKUP($N108,Herbicide_Data!$A$1:$P$61,13)</f>
        <v>24</v>
      </c>
      <c r="Q108" s="16">
        <f t="shared" si="16"/>
        <v>4.9586776859504136</v>
      </c>
      <c r="R108" s="62" t="str">
        <f t="shared" si="22"/>
        <v>Resolute 4Fl (100-1139)</v>
      </c>
      <c r="S108" s="63" t="str">
        <f>VLOOKUP($R108,Herbicide_Data!$A$1:$L$61,9)</f>
        <v>Prodiamine</v>
      </c>
      <c r="T108" s="62">
        <f>VLOOKUP($R108,Herbicide_Data!$A$1:$Q$61,13)</f>
        <v>16</v>
      </c>
      <c r="U108" s="16">
        <f t="shared" si="17"/>
        <v>3.3057851239669422</v>
      </c>
      <c r="V108" s="62" t="b">
        <f t="shared" si="23"/>
        <v>0</v>
      </c>
      <c r="W108" s="63" t="e">
        <f>VLOOKUP($V108,Herbicide_Data!$A$1:$L$17,9)</f>
        <v>#N/A</v>
      </c>
      <c r="X108" s="62" t="e">
        <f>VLOOKUP($V108,Herbicide_Data!$A$1:$L$17,12)</f>
        <v>#N/A</v>
      </c>
      <c r="Y108" s="16" t="e">
        <f t="shared" si="18"/>
        <v>#N/A</v>
      </c>
      <c r="Z108" s="15"/>
      <c r="AA108" s="13"/>
      <c r="AB108" s="17"/>
      <c r="AC108" s="3"/>
      <c r="AD108" s="10"/>
      <c r="AE108" s="3"/>
      <c r="AF108" s="10"/>
      <c r="AG108" s="15"/>
      <c r="AH108" s="62" t="str">
        <f t="shared" si="24"/>
        <v>Surfactant</v>
      </c>
      <c r="AI108" s="62">
        <f>VLOOKUP($AH108,Herbicide_Data!$A$1:$Q$61,13)</f>
        <v>12.8</v>
      </c>
      <c r="AJ108" s="16">
        <f t="shared" si="19"/>
        <v>2.6446280991735538</v>
      </c>
      <c r="AK108" s="3"/>
      <c r="AL108" s="3"/>
      <c r="AM108" s="3"/>
      <c r="AN108" s="3"/>
      <c r="AO108" s="3"/>
      <c r="AP108" s="3"/>
      <c r="AQ108" s="18"/>
      <c r="AR108" s="19"/>
      <c r="AS108" s="19"/>
      <c r="AT108" s="20"/>
      <c r="AU108" s="20"/>
      <c r="AV108" s="21"/>
      <c r="AW108" s="22"/>
      <c r="AX108" s="19"/>
      <c r="AY108" s="19"/>
      <c r="AZ108" s="19"/>
      <c r="BA108" s="23"/>
      <c r="BB108" s="19"/>
      <c r="BC108" s="19"/>
      <c r="BD108" s="19"/>
    </row>
    <row r="109" spans="1:56" ht="72">
      <c r="A109" s="13" t="s">
        <v>595</v>
      </c>
      <c r="B109" s="11">
        <v>46081</v>
      </c>
      <c r="C109" s="12">
        <v>0.5625</v>
      </c>
      <c r="D109" s="12">
        <f t="shared" si="14"/>
        <v>0.58333330000000005</v>
      </c>
      <c r="E109" s="10" t="s">
        <v>85</v>
      </c>
      <c r="F109" s="10">
        <f>IFERROR(VLOOKUP(E109,Data!A$2:B$5,2,TRUE), "")</f>
        <v>48160</v>
      </c>
      <c r="G109" s="3" t="s">
        <v>581</v>
      </c>
      <c r="H109" s="13">
        <f>IFERROR(VLOOKUP(A109,Customer_Data!$A$1:$P$114,8,TRUE),"")</f>
        <v>5900</v>
      </c>
      <c r="I109" s="13"/>
      <c r="J109" s="3" t="str">
        <f t="shared" si="20"/>
        <v/>
      </c>
      <c r="K109" s="62" t="e">
        <f>(VLOOKUP($J109,Herbicide_Data!$A$1:$L$61,9,TRUE))</f>
        <v>#N/A</v>
      </c>
      <c r="L109" s="62" t="e">
        <f>VLOOKUP($J109,Herbicide_Data!$A$1:$L$61,12,TRUE)</f>
        <v>#N/A</v>
      </c>
      <c r="M109" s="16" t="e">
        <f t="shared" si="15"/>
        <v>#N/A</v>
      </c>
      <c r="N109" s="62" t="str">
        <f t="shared" si="21"/>
        <v>Triplet SF (3-Way) 228-312</v>
      </c>
      <c r="O109" s="63" t="str">
        <f>VLOOKUP($N109,Herbicide_Data!$A$1:$L$61,9)</f>
        <v>2,4-D, dimethylamine salt; Dicamba, dimethylamine salt;Mecoprop-p (MCPP-p), dimethylamine salt</v>
      </c>
      <c r="P109" s="62">
        <f>VLOOKUP($N109,Herbicide_Data!$A$1:$P$61,13)</f>
        <v>24</v>
      </c>
      <c r="Q109" s="16">
        <f t="shared" si="16"/>
        <v>3.2506887052341598</v>
      </c>
      <c r="R109" s="62" t="str">
        <f t="shared" si="22"/>
        <v>Resolute 4Fl (100-1139)</v>
      </c>
      <c r="S109" s="63" t="str">
        <f>VLOOKUP($R109,Herbicide_Data!$A$1:$L$61,9)</f>
        <v>Prodiamine</v>
      </c>
      <c r="T109" s="62">
        <f>VLOOKUP($R109,Herbicide_Data!$A$1:$Q$61,13)</f>
        <v>16</v>
      </c>
      <c r="U109" s="16">
        <f t="shared" si="17"/>
        <v>2.1671258034894398</v>
      </c>
      <c r="V109" s="62" t="b">
        <f t="shared" si="23"/>
        <v>0</v>
      </c>
      <c r="W109" s="63" t="e">
        <f>VLOOKUP($V109,Herbicide_Data!$A$1:$L$17,9)</f>
        <v>#N/A</v>
      </c>
      <c r="X109" s="62" t="e">
        <f>VLOOKUP($V109,Herbicide_Data!$A$1:$L$17,12)</f>
        <v>#N/A</v>
      </c>
      <c r="Y109" s="16" t="e">
        <f t="shared" si="18"/>
        <v>#N/A</v>
      </c>
      <c r="Z109" s="15"/>
      <c r="AA109" s="13"/>
      <c r="AB109" s="17"/>
      <c r="AC109" s="3"/>
      <c r="AD109" s="10"/>
      <c r="AE109" s="3"/>
      <c r="AF109" s="10"/>
      <c r="AG109" s="15"/>
      <c r="AH109" s="62" t="str">
        <f t="shared" si="24"/>
        <v>Surfactant</v>
      </c>
      <c r="AI109" s="62">
        <f>VLOOKUP($AH109,Herbicide_Data!$A$1:$Q$61,13)</f>
        <v>12.8</v>
      </c>
      <c r="AJ109" s="16">
        <f t="shared" si="19"/>
        <v>1.733700642791552</v>
      </c>
      <c r="AK109" s="3"/>
      <c r="AL109" s="3"/>
      <c r="AM109" s="3"/>
      <c r="AN109" s="3"/>
      <c r="AO109" s="3"/>
      <c r="AP109" s="3"/>
      <c r="AQ109" s="18"/>
      <c r="AR109" s="19"/>
      <c r="AS109" s="19"/>
      <c r="AT109" s="20"/>
      <c r="AU109" s="20"/>
      <c r="AV109" s="21"/>
      <c r="AW109" s="22"/>
      <c r="AX109" s="19"/>
      <c r="AY109" s="19"/>
      <c r="AZ109" s="19"/>
      <c r="BA109" s="23"/>
      <c r="BB109" s="19"/>
      <c r="BC109" s="19"/>
      <c r="BD109" s="19"/>
    </row>
    <row r="110" spans="1:56" ht="72">
      <c r="A110" s="13" t="s">
        <v>618</v>
      </c>
      <c r="B110" s="11">
        <v>46081</v>
      </c>
      <c r="C110" s="12">
        <v>0.58333333333333337</v>
      </c>
      <c r="D110" s="12">
        <f t="shared" si="14"/>
        <v>0.60416663333333331</v>
      </c>
      <c r="E110" s="10" t="s">
        <v>85</v>
      </c>
      <c r="F110" s="10">
        <f>IFERROR(VLOOKUP(E110,Data!A$2:B$5,2,TRUE), "")</f>
        <v>48160</v>
      </c>
      <c r="G110" s="3" t="s">
        <v>581</v>
      </c>
      <c r="H110" s="13">
        <f>IFERROR(VLOOKUP(A110,Customer_Data!$A$1:$P$114,8,TRUE),"")</f>
        <v>11000</v>
      </c>
      <c r="I110" s="13"/>
      <c r="J110" s="3" t="str">
        <f t="shared" si="20"/>
        <v/>
      </c>
      <c r="K110" s="62" t="e">
        <f>(VLOOKUP($J110,Herbicide_Data!$A$1:$L$61,9,TRUE))</f>
        <v>#N/A</v>
      </c>
      <c r="L110" s="62" t="e">
        <f>VLOOKUP($J110,Herbicide_Data!$A$1:$L$61,12,TRUE)</f>
        <v>#N/A</v>
      </c>
      <c r="M110" s="16" t="e">
        <f t="shared" si="15"/>
        <v>#N/A</v>
      </c>
      <c r="N110" s="62" t="str">
        <f t="shared" si="21"/>
        <v>Triplet SF (3-Way) 228-312</v>
      </c>
      <c r="O110" s="63" t="str">
        <f>VLOOKUP($N110,Herbicide_Data!$A$1:$L$61,9)</f>
        <v>2,4-D, dimethylamine salt; Dicamba, dimethylamine salt;Mecoprop-p (MCPP-p), dimethylamine salt</v>
      </c>
      <c r="P110" s="62">
        <f>VLOOKUP($N110,Herbicide_Data!$A$1:$P$61,13)</f>
        <v>24</v>
      </c>
      <c r="Q110" s="16">
        <f t="shared" si="16"/>
        <v>6.0606060606060606</v>
      </c>
      <c r="R110" s="62" t="str">
        <f t="shared" si="22"/>
        <v>Resolute 4Fl (100-1139)</v>
      </c>
      <c r="S110" s="63" t="str">
        <f>VLOOKUP($R110,Herbicide_Data!$A$1:$L$61,9)</f>
        <v>Prodiamine</v>
      </c>
      <c r="T110" s="62">
        <f>VLOOKUP($R110,Herbicide_Data!$A$1:$Q$61,13)</f>
        <v>16</v>
      </c>
      <c r="U110" s="16">
        <f t="shared" si="17"/>
        <v>4.0404040404040407</v>
      </c>
      <c r="V110" s="62" t="b">
        <f t="shared" si="23"/>
        <v>0</v>
      </c>
      <c r="W110" s="63" t="e">
        <f>VLOOKUP($V110,Herbicide_Data!$A$1:$L$17,9)</f>
        <v>#N/A</v>
      </c>
      <c r="X110" s="62" t="e">
        <f>VLOOKUP($V110,Herbicide_Data!$A$1:$L$17,12)</f>
        <v>#N/A</v>
      </c>
      <c r="Y110" s="16" t="e">
        <f t="shared" si="18"/>
        <v>#N/A</v>
      </c>
      <c r="Z110" s="15"/>
      <c r="AA110" s="13"/>
      <c r="AB110" s="17"/>
      <c r="AC110" s="3"/>
      <c r="AD110" s="10"/>
      <c r="AE110" s="3"/>
      <c r="AF110" s="10"/>
      <c r="AG110" s="15"/>
      <c r="AH110" s="62" t="str">
        <f t="shared" si="24"/>
        <v>Surfactant</v>
      </c>
      <c r="AI110" s="62">
        <f>VLOOKUP($AH110,Herbicide_Data!$A$1:$Q$61,13)</f>
        <v>12.8</v>
      </c>
      <c r="AJ110" s="16">
        <f t="shared" si="19"/>
        <v>3.2323232323232327</v>
      </c>
      <c r="AK110" s="3"/>
      <c r="AL110" s="3"/>
      <c r="AM110" s="3"/>
      <c r="AN110" s="3"/>
      <c r="AO110" s="3"/>
      <c r="AP110" s="3"/>
      <c r="AQ110" s="18"/>
      <c r="AR110" s="19"/>
      <c r="AS110" s="19"/>
      <c r="AT110" s="20"/>
      <c r="AU110" s="20"/>
      <c r="AV110" s="21"/>
      <c r="AW110" s="22"/>
      <c r="AX110" s="19"/>
      <c r="AY110" s="19"/>
      <c r="AZ110" s="19"/>
      <c r="BA110" s="23"/>
      <c r="BB110" s="19"/>
      <c r="BC110" s="19"/>
      <c r="BD110" s="19"/>
    </row>
    <row r="111" spans="1:56" ht="72">
      <c r="A111" s="13" t="s">
        <v>620</v>
      </c>
      <c r="B111" s="11">
        <v>46081</v>
      </c>
      <c r="C111" s="12">
        <v>0.60416666666666663</v>
      </c>
      <c r="D111" s="12">
        <f t="shared" si="14"/>
        <v>0.62499996666666657</v>
      </c>
      <c r="E111" s="10" t="s">
        <v>85</v>
      </c>
      <c r="F111" s="10">
        <f>IFERROR(VLOOKUP(E111,Data!A$2:B$5,2,TRUE), "")</f>
        <v>48160</v>
      </c>
      <c r="G111" s="3" t="s">
        <v>581</v>
      </c>
      <c r="H111" s="13">
        <f>IFERROR(VLOOKUP(A111,Customer_Data!$A$1:$P$114,8,TRUE),"")</f>
        <v>5000</v>
      </c>
      <c r="I111" s="13"/>
      <c r="J111" s="3" t="str">
        <f t="shared" si="20"/>
        <v/>
      </c>
      <c r="K111" s="62" t="e">
        <f>(VLOOKUP($J111,Herbicide_Data!$A$1:$L$61,9,TRUE))</f>
        <v>#N/A</v>
      </c>
      <c r="L111" s="62" t="e">
        <f>VLOOKUP($J111,Herbicide_Data!$A$1:$L$61,12,TRUE)</f>
        <v>#N/A</v>
      </c>
      <c r="M111" s="16" t="e">
        <f t="shared" si="15"/>
        <v>#N/A</v>
      </c>
      <c r="N111" s="62" t="str">
        <f t="shared" si="21"/>
        <v>Triplet SF (3-Way) 228-312</v>
      </c>
      <c r="O111" s="63" t="str">
        <f>VLOOKUP($N111,Herbicide_Data!$A$1:$L$61,9)</f>
        <v>2,4-D, dimethylamine salt; Dicamba, dimethylamine salt;Mecoprop-p (MCPP-p), dimethylamine salt</v>
      </c>
      <c r="P111" s="62">
        <f>VLOOKUP($N111,Herbicide_Data!$A$1:$P$61,13)</f>
        <v>24</v>
      </c>
      <c r="Q111" s="16">
        <f t="shared" si="16"/>
        <v>2.7548209366391183</v>
      </c>
      <c r="R111" s="62" t="str">
        <f t="shared" si="22"/>
        <v>Resolute 4Fl (100-1139)</v>
      </c>
      <c r="S111" s="63" t="str">
        <f>VLOOKUP($R111,Herbicide_Data!$A$1:$L$61,9)</f>
        <v>Prodiamine</v>
      </c>
      <c r="T111" s="62">
        <f>VLOOKUP($R111,Herbicide_Data!$A$1:$Q$61,13)</f>
        <v>16</v>
      </c>
      <c r="U111" s="16">
        <f t="shared" si="17"/>
        <v>1.8365472910927456</v>
      </c>
      <c r="V111" s="62" t="b">
        <f t="shared" si="23"/>
        <v>0</v>
      </c>
      <c r="W111" s="63" t="e">
        <f>VLOOKUP($V111,Herbicide_Data!$A$1:$L$17,9)</f>
        <v>#N/A</v>
      </c>
      <c r="X111" s="62" t="e">
        <f>VLOOKUP($V111,Herbicide_Data!$A$1:$L$17,12)</f>
        <v>#N/A</v>
      </c>
      <c r="Y111" s="16" t="e">
        <f t="shared" si="18"/>
        <v>#N/A</v>
      </c>
      <c r="Z111" s="15"/>
      <c r="AA111" s="13"/>
      <c r="AB111" s="17"/>
      <c r="AC111" s="3"/>
      <c r="AD111" s="10"/>
      <c r="AE111" s="3"/>
      <c r="AF111" s="10"/>
      <c r="AG111" s="15"/>
      <c r="AH111" s="62" t="str">
        <f t="shared" si="24"/>
        <v>Surfactant</v>
      </c>
      <c r="AI111" s="62">
        <f>VLOOKUP($AH111,Herbicide_Data!$A$1:$Q$61,13)</f>
        <v>12.8</v>
      </c>
      <c r="AJ111" s="16">
        <f t="shared" si="19"/>
        <v>1.4692378328741966</v>
      </c>
      <c r="AK111" s="3"/>
      <c r="AL111" s="3"/>
      <c r="AM111" s="3"/>
      <c r="AN111" s="3"/>
      <c r="AO111" s="3"/>
      <c r="AP111" s="3"/>
      <c r="AQ111" s="18"/>
      <c r="AR111" s="19"/>
      <c r="AS111" s="19"/>
      <c r="AT111" s="20"/>
      <c r="AU111" s="20"/>
      <c r="AV111" s="21"/>
      <c r="AW111" s="22"/>
      <c r="AX111" s="19"/>
      <c r="AY111" s="19"/>
      <c r="AZ111" s="19"/>
      <c r="BA111" s="23"/>
      <c r="BB111" s="19"/>
      <c r="BC111" s="19"/>
      <c r="BD111" s="19"/>
    </row>
    <row r="112" spans="1:56" ht="72">
      <c r="A112" s="13" t="s">
        <v>641</v>
      </c>
      <c r="B112" s="11">
        <v>46081</v>
      </c>
      <c r="C112" s="12">
        <v>0.625</v>
      </c>
      <c r="D112" s="12">
        <f t="shared" si="14"/>
        <v>0.64583330000000005</v>
      </c>
      <c r="E112" s="10" t="s">
        <v>85</v>
      </c>
      <c r="F112" s="10">
        <f>IFERROR(VLOOKUP(E112,Data!A$2:B$5,2,TRUE), "")</f>
        <v>48160</v>
      </c>
      <c r="G112" s="3" t="s">
        <v>581</v>
      </c>
      <c r="H112" s="13">
        <f>IFERROR(VLOOKUP(A112,Customer_Data!$A$1:$P$114,8,TRUE),"")</f>
        <v>0</v>
      </c>
      <c r="I112" s="13"/>
      <c r="J112" s="3" t="str">
        <f t="shared" si="20"/>
        <v/>
      </c>
      <c r="K112" s="62" t="e">
        <f>(VLOOKUP($J112,Herbicide_Data!$A$1:$L$61,9,TRUE))</f>
        <v>#N/A</v>
      </c>
      <c r="L112" s="62" t="e">
        <f>VLOOKUP($J112,Herbicide_Data!$A$1:$L$61,12,TRUE)</f>
        <v>#N/A</v>
      </c>
      <c r="M112" s="16" t="e">
        <f t="shared" si="15"/>
        <v>#N/A</v>
      </c>
      <c r="N112" s="62" t="str">
        <f t="shared" si="21"/>
        <v>Triplet SF (3-Way) 228-312</v>
      </c>
      <c r="O112" s="63" t="str">
        <f>VLOOKUP($N112,Herbicide_Data!$A$1:$L$61,9)</f>
        <v>2,4-D, dimethylamine salt; Dicamba, dimethylamine salt;Mecoprop-p (MCPP-p), dimethylamine salt</v>
      </c>
      <c r="P112" s="62">
        <f>VLOOKUP($N112,Herbicide_Data!$A$1:$P$61,13)</f>
        <v>24</v>
      </c>
      <c r="Q112" s="16">
        <f t="shared" si="16"/>
        <v>0</v>
      </c>
      <c r="R112" s="62" t="str">
        <f t="shared" si="22"/>
        <v>Resolute 4Fl (100-1139)</v>
      </c>
      <c r="S112" s="63" t="str">
        <f>VLOOKUP($R112,Herbicide_Data!$A$1:$L$61,9)</f>
        <v>Prodiamine</v>
      </c>
      <c r="T112" s="62">
        <f>VLOOKUP($R112,Herbicide_Data!$A$1:$Q$61,13)</f>
        <v>16</v>
      </c>
      <c r="U112" s="16">
        <f t="shared" si="17"/>
        <v>0</v>
      </c>
      <c r="V112" s="62" t="b">
        <f t="shared" si="23"/>
        <v>0</v>
      </c>
      <c r="W112" s="63" t="e">
        <f>VLOOKUP($V112,Herbicide_Data!$A$1:$L$17,9)</f>
        <v>#N/A</v>
      </c>
      <c r="X112" s="62" t="e">
        <f>VLOOKUP($V112,Herbicide_Data!$A$1:$L$17,12)</f>
        <v>#N/A</v>
      </c>
      <c r="Y112" s="16" t="e">
        <f t="shared" si="18"/>
        <v>#N/A</v>
      </c>
      <c r="Z112" s="15"/>
      <c r="AA112" s="13"/>
      <c r="AB112" s="17"/>
      <c r="AC112" s="3"/>
      <c r="AD112" s="10"/>
      <c r="AE112" s="3"/>
      <c r="AF112" s="10"/>
      <c r="AG112" s="15"/>
      <c r="AH112" s="62" t="str">
        <f t="shared" si="24"/>
        <v>Surfactant</v>
      </c>
      <c r="AI112" s="62">
        <f>VLOOKUP($AH112,Herbicide_Data!$A$1:$Q$61,13)</f>
        <v>12.8</v>
      </c>
      <c r="AJ112" s="16">
        <f t="shared" si="19"/>
        <v>0</v>
      </c>
      <c r="AK112" s="3"/>
      <c r="AL112" s="3"/>
      <c r="AM112" s="3"/>
      <c r="AN112" s="3"/>
      <c r="AO112" s="3"/>
      <c r="AP112" s="3"/>
      <c r="AQ112" s="18"/>
      <c r="AR112" s="19"/>
      <c r="AS112" s="19"/>
      <c r="AT112" s="20"/>
      <c r="AU112" s="20"/>
      <c r="AV112" s="21"/>
      <c r="AW112" s="22"/>
      <c r="AX112" s="19"/>
      <c r="AY112" s="19"/>
      <c r="AZ112" s="19"/>
      <c r="BA112" s="23"/>
      <c r="BB112" s="19"/>
      <c r="BC112" s="19"/>
      <c r="BD112" s="19"/>
    </row>
    <row r="113" spans="1:56" ht="72">
      <c r="A113" s="13" t="s">
        <v>643</v>
      </c>
      <c r="B113" s="11">
        <v>46081</v>
      </c>
      <c r="C113" s="12">
        <v>0.64583333333333337</v>
      </c>
      <c r="D113" s="12">
        <f t="shared" si="14"/>
        <v>0.66666663333333331</v>
      </c>
      <c r="E113" s="10" t="s">
        <v>85</v>
      </c>
      <c r="F113" s="10">
        <f>IFERROR(VLOOKUP(E113,Data!A$2:B$5,2,TRUE), "")</f>
        <v>48160</v>
      </c>
      <c r="G113" s="3" t="s">
        <v>581</v>
      </c>
      <c r="H113" s="13">
        <f>IFERROR(VLOOKUP(A113,Customer_Data!$A$1:$P$114,8,TRUE),"")</f>
        <v>8000</v>
      </c>
      <c r="I113" s="13"/>
      <c r="J113" s="3" t="str">
        <f t="shared" si="20"/>
        <v/>
      </c>
      <c r="K113" s="62" t="e">
        <f>(VLOOKUP($J113,Herbicide_Data!$A$1:$L$61,9,TRUE))</f>
        <v>#N/A</v>
      </c>
      <c r="L113" s="62" t="e">
        <f>VLOOKUP($J113,Herbicide_Data!$A$1:$L$61,12,TRUE)</f>
        <v>#N/A</v>
      </c>
      <c r="M113" s="16" t="e">
        <f t="shared" si="15"/>
        <v>#N/A</v>
      </c>
      <c r="N113" s="62" t="str">
        <f t="shared" si="21"/>
        <v>Triplet SF (3-Way) 228-312</v>
      </c>
      <c r="O113" s="63" t="str">
        <f>VLOOKUP($N113,Herbicide_Data!$A$1:$L$61,9)</f>
        <v>2,4-D, dimethylamine salt; Dicamba, dimethylamine salt;Mecoprop-p (MCPP-p), dimethylamine salt</v>
      </c>
      <c r="P113" s="62">
        <f>VLOOKUP($N113,Herbicide_Data!$A$1:$P$61,13)</f>
        <v>24</v>
      </c>
      <c r="Q113" s="16">
        <f t="shared" si="16"/>
        <v>4.4077134986225897</v>
      </c>
      <c r="R113" s="62" t="str">
        <f t="shared" si="22"/>
        <v>Resolute 4Fl (100-1139)</v>
      </c>
      <c r="S113" s="63" t="str">
        <f>VLOOKUP($R113,Herbicide_Data!$A$1:$L$61,9)</f>
        <v>Prodiamine</v>
      </c>
      <c r="T113" s="62">
        <f>VLOOKUP($R113,Herbicide_Data!$A$1:$Q$61,13)</f>
        <v>16</v>
      </c>
      <c r="U113" s="16">
        <f t="shared" si="17"/>
        <v>2.9384756657483928</v>
      </c>
      <c r="V113" s="62" t="b">
        <f t="shared" si="23"/>
        <v>0</v>
      </c>
      <c r="W113" s="63" t="e">
        <f>VLOOKUP($V113,Herbicide_Data!$A$1:$L$17,9)</f>
        <v>#N/A</v>
      </c>
      <c r="X113" s="62" t="e">
        <f>VLOOKUP($V113,Herbicide_Data!$A$1:$L$17,12)</f>
        <v>#N/A</v>
      </c>
      <c r="Y113" s="16" t="e">
        <f t="shared" si="18"/>
        <v>#N/A</v>
      </c>
      <c r="Z113" s="15"/>
      <c r="AA113" s="13"/>
      <c r="AB113" s="17"/>
      <c r="AC113" s="3"/>
      <c r="AD113" s="10"/>
      <c r="AE113" s="3"/>
      <c r="AF113" s="10"/>
      <c r="AG113" s="15"/>
      <c r="AH113" s="62" t="str">
        <f t="shared" si="24"/>
        <v>Surfactant</v>
      </c>
      <c r="AI113" s="62">
        <f>VLOOKUP($AH113,Herbicide_Data!$A$1:$Q$61,13)</f>
        <v>12.8</v>
      </c>
      <c r="AJ113" s="16">
        <f t="shared" si="19"/>
        <v>2.3507805325987143</v>
      </c>
      <c r="AK113" s="3"/>
      <c r="AL113" s="3"/>
      <c r="AM113" s="3"/>
      <c r="AN113" s="3"/>
      <c r="AO113" s="3"/>
      <c r="AP113" s="3"/>
      <c r="AQ113" s="18"/>
      <c r="AR113" s="19"/>
      <c r="AS113" s="19"/>
      <c r="AT113" s="20"/>
      <c r="AU113" s="20"/>
      <c r="AV113" s="21"/>
      <c r="AW113" s="22"/>
      <c r="AX113" s="19"/>
      <c r="AY113" s="19"/>
      <c r="AZ113" s="19"/>
      <c r="BA113" s="23"/>
      <c r="BB113" s="19"/>
      <c r="BC113" s="19"/>
      <c r="BD113" s="19"/>
    </row>
    <row r="114" spans="1:56" ht="72">
      <c r="A114" s="13" t="s">
        <v>649</v>
      </c>
      <c r="B114" s="11">
        <v>46081</v>
      </c>
      <c r="C114" s="12">
        <v>0.66666666666666663</v>
      </c>
      <c r="D114" s="12">
        <f t="shared" si="14"/>
        <v>0.68749996666666657</v>
      </c>
      <c r="E114" s="10" t="s">
        <v>85</v>
      </c>
      <c r="F114" s="10">
        <f>IFERROR(VLOOKUP(E114,Data!A$2:B$5,2,TRUE), "")</f>
        <v>48160</v>
      </c>
      <c r="G114" s="3" t="s">
        <v>581</v>
      </c>
      <c r="H114" s="13">
        <f>IFERROR(VLOOKUP(A114,Customer_Data!$A$1:$P$114,8,TRUE),"")</f>
        <v>5000</v>
      </c>
      <c r="I114" s="13"/>
      <c r="J114" s="3" t="str">
        <f t="shared" si="20"/>
        <v/>
      </c>
      <c r="K114" s="62" t="e">
        <f>(VLOOKUP($J114,Herbicide_Data!$A$1:$L$61,9,TRUE))</f>
        <v>#N/A</v>
      </c>
      <c r="L114" s="62" t="e">
        <f>VLOOKUP($J114,Herbicide_Data!$A$1:$L$61,12,TRUE)</f>
        <v>#N/A</v>
      </c>
      <c r="M114" s="16" t="e">
        <f t="shared" si="15"/>
        <v>#N/A</v>
      </c>
      <c r="N114" s="62" t="str">
        <f t="shared" si="21"/>
        <v>Triplet SF (3-Way) 228-312</v>
      </c>
      <c r="O114" s="63" t="str">
        <f>VLOOKUP($N114,Herbicide_Data!$A$1:$L$61,9)</f>
        <v>2,4-D, dimethylamine salt; Dicamba, dimethylamine salt;Mecoprop-p (MCPP-p), dimethylamine salt</v>
      </c>
      <c r="P114" s="62">
        <f>VLOOKUP($N114,Herbicide_Data!$A$1:$P$61,13)</f>
        <v>24</v>
      </c>
      <c r="Q114" s="16">
        <f t="shared" si="16"/>
        <v>2.7548209366391183</v>
      </c>
      <c r="R114" s="62" t="str">
        <f t="shared" si="22"/>
        <v>Resolute 4Fl (100-1139)</v>
      </c>
      <c r="S114" s="63" t="str">
        <f>VLOOKUP($R114,Herbicide_Data!$A$1:$L$61,9)</f>
        <v>Prodiamine</v>
      </c>
      <c r="T114" s="62">
        <f>VLOOKUP($R114,Herbicide_Data!$A$1:$Q$61,13)</f>
        <v>16</v>
      </c>
      <c r="U114" s="16">
        <f t="shared" si="17"/>
        <v>1.8365472910927456</v>
      </c>
      <c r="V114" s="62" t="b">
        <f t="shared" si="23"/>
        <v>0</v>
      </c>
      <c r="W114" s="63" t="e">
        <f>VLOOKUP($V114,Herbicide_Data!$A$1:$L$17,9)</f>
        <v>#N/A</v>
      </c>
      <c r="X114" s="62" t="e">
        <f>VLOOKUP($V114,Herbicide_Data!$A$1:$L$17,12)</f>
        <v>#N/A</v>
      </c>
      <c r="Y114" s="16" t="e">
        <f t="shared" si="18"/>
        <v>#N/A</v>
      </c>
      <c r="Z114" s="15"/>
      <c r="AA114" s="13"/>
      <c r="AB114" s="17"/>
      <c r="AC114" s="3"/>
      <c r="AD114" s="10"/>
      <c r="AE114" s="3"/>
      <c r="AF114" s="10"/>
      <c r="AG114" s="15"/>
      <c r="AH114" s="62" t="str">
        <f t="shared" si="24"/>
        <v>Surfactant</v>
      </c>
      <c r="AI114" s="62">
        <f>VLOOKUP($AH114,Herbicide_Data!$A$1:$Q$61,13)</f>
        <v>12.8</v>
      </c>
      <c r="AJ114" s="16">
        <f t="shared" si="19"/>
        <v>1.4692378328741966</v>
      </c>
      <c r="AK114" s="3"/>
      <c r="AL114" s="3"/>
      <c r="AM114" s="3"/>
      <c r="AN114" s="3"/>
      <c r="AO114" s="3"/>
      <c r="AP114" s="3"/>
      <c r="AQ114" s="18"/>
      <c r="AR114" s="19"/>
      <c r="AS114" s="19"/>
      <c r="AT114" s="20"/>
      <c r="AU114" s="20"/>
      <c r="AV114" s="21"/>
      <c r="AW114" s="22"/>
      <c r="AX114" s="19"/>
      <c r="AY114" s="19"/>
      <c r="AZ114" s="19"/>
      <c r="BA114" s="23"/>
      <c r="BB114" s="19"/>
      <c r="BC114" s="19"/>
      <c r="BD114" s="19"/>
    </row>
    <row r="115" spans="1:56" ht="72">
      <c r="A115" s="13" t="s">
        <v>650</v>
      </c>
      <c r="B115" s="11">
        <v>46081</v>
      </c>
      <c r="C115" s="12">
        <v>0.6875</v>
      </c>
      <c r="D115" s="12">
        <f t="shared" si="14"/>
        <v>0.70833330000000005</v>
      </c>
      <c r="E115" s="10" t="s">
        <v>85</v>
      </c>
      <c r="F115" s="10">
        <f>IFERROR(VLOOKUP(E115,Data!A$2:B$5,2,TRUE), "")</f>
        <v>48160</v>
      </c>
      <c r="G115" s="3" t="s">
        <v>581</v>
      </c>
      <c r="H115" s="13">
        <f>IFERROR(VLOOKUP(A115,Customer_Data!$A$1:$P$114,8,TRUE),"")</f>
        <v>6000</v>
      </c>
      <c r="I115" s="13"/>
      <c r="J115" s="3" t="str">
        <f t="shared" si="20"/>
        <v/>
      </c>
      <c r="K115" s="62" t="e">
        <f>(VLOOKUP($J115,Herbicide_Data!$A$1:$L$61,9,TRUE))</f>
        <v>#N/A</v>
      </c>
      <c r="L115" s="62" t="e">
        <f>VLOOKUP($J115,Herbicide_Data!$A$1:$L$61,12,TRUE)</f>
        <v>#N/A</v>
      </c>
      <c r="M115" s="16" t="e">
        <f t="shared" si="15"/>
        <v>#N/A</v>
      </c>
      <c r="N115" s="62" t="str">
        <f t="shared" si="21"/>
        <v>Triplet SF (3-Way) 228-312</v>
      </c>
      <c r="O115" s="63" t="str">
        <f>VLOOKUP($N115,Herbicide_Data!$A$1:$L$61,9)</f>
        <v>2,4-D, dimethylamine salt; Dicamba, dimethylamine salt;Mecoprop-p (MCPP-p), dimethylamine salt</v>
      </c>
      <c r="P115" s="62">
        <f>VLOOKUP($N115,Herbicide_Data!$A$1:$P$61,13)</f>
        <v>24</v>
      </c>
      <c r="Q115" s="16">
        <f t="shared" si="16"/>
        <v>3.3057851239669422</v>
      </c>
      <c r="R115" s="62" t="str">
        <f t="shared" si="22"/>
        <v>Resolute 4Fl (100-1139)</v>
      </c>
      <c r="S115" s="63" t="str">
        <f>VLOOKUP($R115,Herbicide_Data!$A$1:$L$61,9)</f>
        <v>Prodiamine</v>
      </c>
      <c r="T115" s="62">
        <f>VLOOKUP($R115,Herbicide_Data!$A$1:$Q$61,13)</f>
        <v>16</v>
      </c>
      <c r="U115" s="16">
        <f t="shared" si="17"/>
        <v>2.2038567493112948</v>
      </c>
      <c r="V115" s="62" t="b">
        <f t="shared" si="23"/>
        <v>0</v>
      </c>
      <c r="W115" s="63" t="e">
        <f>VLOOKUP($V115,Herbicide_Data!$A$1:$L$17,9)</f>
        <v>#N/A</v>
      </c>
      <c r="X115" s="62" t="e">
        <f>VLOOKUP($V115,Herbicide_Data!$A$1:$L$17,12)</f>
        <v>#N/A</v>
      </c>
      <c r="Y115" s="16" t="e">
        <f t="shared" si="18"/>
        <v>#N/A</v>
      </c>
      <c r="Z115" s="15"/>
      <c r="AA115" s="13"/>
      <c r="AB115" s="17"/>
      <c r="AC115" s="3"/>
      <c r="AD115" s="10"/>
      <c r="AE115" s="3"/>
      <c r="AF115" s="10"/>
      <c r="AG115" s="15"/>
      <c r="AH115" s="62" t="str">
        <f t="shared" si="24"/>
        <v>Surfactant</v>
      </c>
      <c r="AI115" s="62">
        <f>VLOOKUP($AH115,Herbicide_Data!$A$1:$Q$61,13)</f>
        <v>12.8</v>
      </c>
      <c r="AJ115" s="16">
        <f t="shared" si="19"/>
        <v>1.7630853994490359</v>
      </c>
      <c r="AK115" s="3"/>
      <c r="AL115" s="3"/>
      <c r="AM115" s="3"/>
      <c r="AN115" s="3"/>
      <c r="AO115" s="3"/>
      <c r="AP115" s="3"/>
      <c r="AQ115" s="18"/>
      <c r="AR115" s="19"/>
      <c r="AS115" s="19"/>
      <c r="AT115" s="20"/>
      <c r="AU115" s="20"/>
      <c r="AV115" s="21"/>
      <c r="AW115" s="22"/>
      <c r="AX115" s="19"/>
      <c r="AY115" s="19"/>
      <c r="AZ115" s="19"/>
      <c r="BA115" s="23"/>
      <c r="BB115" s="19"/>
      <c r="BC115" s="19"/>
      <c r="BD115" s="19"/>
    </row>
    <row r="116" spans="1:56" ht="72">
      <c r="A116" s="13" t="s">
        <v>652</v>
      </c>
      <c r="B116" s="11">
        <v>46081</v>
      </c>
      <c r="C116" s="12">
        <v>0.70833333333333337</v>
      </c>
      <c r="D116" s="12">
        <f t="shared" si="14"/>
        <v>0.72916663333333331</v>
      </c>
      <c r="E116" s="10" t="s">
        <v>85</v>
      </c>
      <c r="F116" s="10">
        <f>IFERROR(VLOOKUP(E116,Data!A$2:B$5,2,TRUE), "")</f>
        <v>48160</v>
      </c>
      <c r="G116" s="3" t="s">
        <v>581</v>
      </c>
      <c r="H116" s="13">
        <f>IFERROR(VLOOKUP(A116,Customer_Data!$A$1:$P$114,8,TRUE),"")</f>
        <v>10000</v>
      </c>
      <c r="I116" s="13"/>
      <c r="J116" s="3" t="str">
        <f t="shared" si="20"/>
        <v/>
      </c>
      <c r="K116" s="62" t="e">
        <f>(VLOOKUP($J116,Herbicide_Data!$A$1:$L$61,9,TRUE))</f>
        <v>#N/A</v>
      </c>
      <c r="L116" s="62" t="e">
        <f>VLOOKUP($J116,Herbicide_Data!$A$1:$L$61,12,TRUE)</f>
        <v>#N/A</v>
      </c>
      <c r="M116" s="16" t="e">
        <f t="shared" si="15"/>
        <v>#N/A</v>
      </c>
      <c r="N116" s="62" t="str">
        <f t="shared" si="21"/>
        <v>Triplet SF (3-Way) 228-312</v>
      </c>
      <c r="O116" s="63" t="str">
        <f>VLOOKUP($N116,Herbicide_Data!$A$1:$L$61,9)</f>
        <v>2,4-D, dimethylamine salt; Dicamba, dimethylamine salt;Mecoprop-p (MCPP-p), dimethylamine salt</v>
      </c>
      <c r="P116" s="62">
        <f>VLOOKUP($N116,Herbicide_Data!$A$1:$P$61,13)</f>
        <v>24</v>
      </c>
      <c r="Q116" s="16">
        <f t="shared" si="16"/>
        <v>5.5096418732782366</v>
      </c>
      <c r="R116" s="62" t="str">
        <f t="shared" si="22"/>
        <v>Resolute 4Fl (100-1139)</v>
      </c>
      <c r="S116" s="63" t="str">
        <f>VLOOKUP($R116,Herbicide_Data!$A$1:$L$61,9)</f>
        <v>Prodiamine</v>
      </c>
      <c r="T116" s="62">
        <f>VLOOKUP($R116,Herbicide_Data!$A$1:$Q$61,13)</f>
        <v>16</v>
      </c>
      <c r="U116" s="16">
        <f t="shared" si="17"/>
        <v>3.6730945821854912</v>
      </c>
      <c r="V116" s="62" t="b">
        <f t="shared" si="23"/>
        <v>0</v>
      </c>
      <c r="W116" s="63" t="e">
        <f>VLOOKUP($V116,Herbicide_Data!$A$1:$L$17,9)</f>
        <v>#N/A</v>
      </c>
      <c r="X116" s="62" t="e">
        <f>VLOOKUP($V116,Herbicide_Data!$A$1:$L$17,12)</f>
        <v>#N/A</v>
      </c>
      <c r="Y116" s="16" t="e">
        <f t="shared" si="18"/>
        <v>#N/A</v>
      </c>
      <c r="Z116" s="15"/>
      <c r="AA116" s="13"/>
      <c r="AB116" s="17"/>
      <c r="AC116" s="3"/>
      <c r="AD116" s="10"/>
      <c r="AE116" s="3"/>
      <c r="AF116" s="10"/>
      <c r="AG116" s="15"/>
      <c r="AH116" s="62" t="str">
        <f t="shared" si="24"/>
        <v>Surfactant</v>
      </c>
      <c r="AI116" s="62">
        <f>VLOOKUP($AH116,Herbicide_Data!$A$1:$Q$61,13)</f>
        <v>12.8</v>
      </c>
      <c r="AJ116" s="16">
        <f t="shared" si="19"/>
        <v>2.9384756657483933</v>
      </c>
      <c r="AK116" s="3"/>
      <c r="AL116" s="3"/>
      <c r="AM116" s="3"/>
      <c r="AN116" s="3"/>
      <c r="AO116" s="3"/>
      <c r="AP116" s="3"/>
      <c r="AQ116" s="18"/>
      <c r="AR116" s="19"/>
      <c r="AS116" s="19"/>
      <c r="AT116" s="20"/>
      <c r="AU116" s="20"/>
      <c r="AV116" s="21"/>
      <c r="AW116" s="22"/>
      <c r="AX116" s="19"/>
      <c r="AY116" s="19"/>
      <c r="AZ116" s="19"/>
      <c r="BA116" s="23"/>
      <c r="BB116" s="19"/>
      <c r="BC116" s="19"/>
      <c r="BD116" s="19"/>
    </row>
    <row r="117" spans="1:56" ht="72">
      <c r="A117" s="13" t="s">
        <v>654</v>
      </c>
      <c r="B117" s="11">
        <v>46081</v>
      </c>
      <c r="C117" s="12">
        <v>0.72916666666666663</v>
      </c>
      <c r="D117" s="12">
        <f t="shared" si="14"/>
        <v>0.74999996666666657</v>
      </c>
      <c r="E117" s="10" t="s">
        <v>85</v>
      </c>
      <c r="F117" s="10">
        <f>IFERROR(VLOOKUP(E117,Data!A$2:B$5,2,TRUE), "")</f>
        <v>48160</v>
      </c>
      <c r="G117" s="3" t="s">
        <v>581</v>
      </c>
      <c r="H117" s="13">
        <f>IFERROR(VLOOKUP(A117,Customer_Data!$A$1:$P$114,8,TRUE),"")</f>
        <v>3200</v>
      </c>
      <c r="I117" s="13"/>
      <c r="J117" s="3" t="str">
        <f t="shared" si="20"/>
        <v/>
      </c>
      <c r="K117" s="62" t="e">
        <f>(VLOOKUP($J117,Herbicide_Data!$A$1:$L$61,9,TRUE))</f>
        <v>#N/A</v>
      </c>
      <c r="L117" s="62" t="e">
        <f>VLOOKUP($J117,Herbicide_Data!$A$1:$L$61,12,TRUE)</f>
        <v>#N/A</v>
      </c>
      <c r="M117" s="16" t="e">
        <f t="shared" si="15"/>
        <v>#N/A</v>
      </c>
      <c r="N117" s="62" t="str">
        <f t="shared" si="21"/>
        <v>Triplet SF (3-Way) 228-312</v>
      </c>
      <c r="O117" s="63" t="str">
        <f>VLOOKUP($N117,Herbicide_Data!$A$1:$L$61,9)</f>
        <v>2,4-D, dimethylamine salt; Dicamba, dimethylamine salt;Mecoprop-p (MCPP-p), dimethylamine salt</v>
      </c>
      <c r="P117" s="62">
        <f>VLOOKUP($N117,Herbicide_Data!$A$1:$P$61,13)</f>
        <v>24</v>
      </c>
      <c r="Q117" s="16">
        <f t="shared" si="16"/>
        <v>1.7630853994490359</v>
      </c>
      <c r="R117" s="62" t="str">
        <f t="shared" si="22"/>
        <v>Resolute 4Fl (100-1139)</v>
      </c>
      <c r="S117" s="63" t="str">
        <f>VLOOKUP($R117,Herbicide_Data!$A$1:$L$61,9)</f>
        <v>Prodiamine</v>
      </c>
      <c r="T117" s="62">
        <f>VLOOKUP($R117,Herbicide_Data!$A$1:$Q$61,13)</f>
        <v>16</v>
      </c>
      <c r="U117" s="16">
        <f t="shared" si="17"/>
        <v>1.1753902662993572</v>
      </c>
      <c r="V117" s="62" t="b">
        <f t="shared" si="23"/>
        <v>0</v>
      </c>
      <c r="W117" s="63" t="e">
        <f>VLOOKUP($V117,Herbicide_Data!$A$1:$L$17,9)</f>
        <v>#N/A</v>
      </c>
      <c r="X117" s="62" t="e">
        <f>VLOOKUP($V117,Herbicide_Data!$A$1:$L$17,12)</f>
        <v>#N/A</v>
      </c>
      <c r="Y117" s="16" t="e">
        <f t="shared" si="18"/>
        <v>#N/A</v>
      </c>
      <c r="Z117" s="15"/>
      <c r="AA117" s="13"/>
      <c r="AB117" s="17"/>
      <c r="AC117" s="3"/>
      <c r="AD117" s="10"/>
      <c r="AE117" s="3"/>
      <c r="AF117" s="10"/>
      <c r="AG117" s="15"/>
      <c r="AH117" s="62" t="str">
        <f t="shared" si="24"/>
        <v>Surfactant</v>
      </c>
      <c r="AI117" s="62">
        <f>VLOOKUP($AH117,Herbicide_Data!$A$1:$Q$61,13)</f>
        <v>12.8</v>
      </c>
      <c r="AJ117" s="16">
        <f t="shared" si="19"/>
        <v>0.94031221303948576</v>
      </c>
      <c r="AK117" s="3"/>
      <c r="AL117" s="3"/>
      <c r="AM117" s="3"/>
      <c r="AN117" s="3"/>
      <c r="AO117" s="3"/>
      <c r="AP117" s="3"/>
      <c r="AQ117" s="18"/>
      <c r="AR117" s="19"/>
      <c r="AS117" s="19"/>
      <c r="AT117" s="20"/>
      <c r="AU117" s="20"/>
      <c r="AV117" s="21"/>
      <c r="AW117" s="22"/>
      <c r="AX117" s="19"/>
      <c r="AY117" s="19"/>
      <c r="AZ117" s="19"/>
      <c r="BA117" s="23"/>
      <c r="BB117" s="19"/>
      <c r="BC117" s="19"/>
      <c r="BD117" s="19"/>
    </row>
    <row r="118" spans="1:56" ht="72">
      <c r="A118" s="13" t="s">
        <v>483</v>
      </c>
      <c r="B118" s="11">
        <v>46086</v>
      </c>
      <c r="C118" s="12">
        <v>0.70833333333333337</v>
      </c>
      <c r="D118" s="12">
        <f t="shared" si="14"/>
        <v>0.72916663333333331</v>
      </c>
      <c r="E118" s="10" t="s">
        <v>85</v>
      </c>
      <c r="F118" s="10">
        <f>IFERROR(VLOOKUP(E118,Data!A$2:B$5,2,TRUE), "")</f>
        <v>48160</v>
      </c>
      <c r="G118" s="3" t="s">
        <v>581</v>
      </c>
      <c r="H118" s="13">
        <f>IFERROR(VLOOKUP(A118,Customer_Data!$A$1:$P$114,8,TRUE),"")</f>
        <v>8910</v>
      </c>
      <c r="I118" s="13"/>
      <c r="J118" s="3" t="str">
        <f t="shared" si="20"/>
        <v/>
      </c>
      <c r="K118" s="62" t="e">
        <f>(VLOOKUP($J118,Herbicide_Data!$A$1:$L$61,9,TRUE))</f>
        <v>#N/A</v>
      </c>
      <c r="L118" s="62" t="e">
        <f>VLOOKUP($J118,Herbicide_Data!$A$1:$L$61,12,TRUE)</f>
        <v>#N/A</v>
      </c>
      <c r="M118" s="16" t="e">
        <f t="shared" si="15"/>
        <v>#N/A</v>
      </c>
      <c r="N118" s="62" t="str">
        <f t="shared" si="21"/>
        <v>Triplet SF (3-Way) 228-312</v>
      </c>
      <c r="O118" s="63" t="str">
        <f>VLOOKUP($N118,Herbicide_Data!$A$1:$L$61,9)</f>
        <v>2,4-D, dimethylamine salt; Dicamba, dimethylamine salt;Mecoprop-p (MCPP-p), dimethylamine salt</v>
      </c>
      <c r="P118" s="62">
        <f>VLOOKUP($N118,Herbicide_Data!$A$1:$P$61,13)</f>
        <v>24</v>
      </c>
      <c r="Q118" s="16">
        <f t="shared" si="16"/>
        <v>4.9090909090909092</v>
      </c>
      <c r="R118" s="62" t="str">
        <f t="shared" si="22"/>
        <v>Resolute 4Fl (100-1139)</v>
      </c>
      <c r="S118" s="63" t="str">
        <f>VLOOKUP($R118,Herbicide_Data!$A$1:$L$61,9)</f>
        <v>Prodiamine</v>
      </c>
      <c r="T118" s="62">
        <f>VLOOKUP($R118,Herbicide_Data!$A$1:$Q$61,13)</f>
        <v>16</v>
      </c>
      <c r="U118" s="16">
        <f t="shared" si="17"/>
        <v>3.2727272727272729</v>
      </c>
      <c r="V118" s="62" t="b">
        <f t="shared" si="23"/>
        <v>0</v>
      </c>
      <c r="W118" s="63" t="e">
        <f>VLOOKUP($V118,Herbicide_Data!$A$1:$L$17,9)</f>
        <v>#N/A</v>
      </c>
      <c r="X118" s="62" t="e">
        <f>VLOOKUP($V118,Herbicide_Data!$A$1:$L$17,12)</f>
        <v>#N/A</v>
      </c>
      <c r="Y118" s="16" t="e">
        <f t="shared" si="18"/>
        <v>#N/A</v>
      </c>
      <c r="Z118" s="15"/>
      <c r="AA118" s="13"/>
      <c r="AB118" s="17"/>
      <c r="AC118" s="3"/>
      <c r="AD118" s="10"/>
      <c r="AE118" s="3"/>
      <c r="AF118" s="10"/>
      <c r="AG118" s="15"/>
      <c r="AH118" s="62" t="str">
        <f t="shared" si="24"/>
        <v>Surfactant</v>
      </c>
      <c r="AI118" s="62">
        <f>VLOOKUP($AH118,Herbicide_Data!$A$1:$Q$61,13)</f>
        <v>12.8</v>
      </c>
      <c r="AJ118" s="16">
        <f t="shared" si="19"/>
        <v>2.6181818181818186</v>
      </c>
      <c r="AK118" s="3"/>
      <c r="AL118" s="3"/>
      <c r="AM118" s="3"/>
      <c r="AN118" s="3"/>
      <c r="AO118" s="3"/>
      <c r="AP118" s="3"/>
      <c r="AQ118" s="18"/>
      <c r="AR118" s="19"/>
      <c r="AS118" s="19"/>
      <c r="AT118" s="20"/>
      <c r="AU118" s="20"/>
      <c r="AV118" s="21"/>
      <c r="AW118" s="22"/>
      <c r="AX118" s="19"/>
      <c r="AY118" s="19"/>
      <c r="AZ118" s="19"/>
      <c r="BA118" s="23"/>
      <c r="BB118" s="19"/>
      <c r="BC118" s="19"/>
      <c r="BD118" s="19"/>
    </row>
    <row r="119" spans="1:56" ht="72">
      <c r="A119" s="13" t="s">
        <v>586</v>
      </c>
      <c r="B119" s="11">
        <v>46086</v>
      </c>
      <c r="C119" s="12">
        <v>0.72916666666666663</v>
      </c>
      <c r="D119" s="12">
        <f t="shared" si="14"/>
        <v>0.74999996666666657</v>
      </c>
      <c r="E119" s="10" t="s">
        <v>85</v>
      </c>
      <c r="F119" s="10">
        <f>IFERROR(VLOOKUP(E119,Data!A$2:B$5,2,TRUE), "")</f>
        <v>48160</v>
      </c>
      <c r="G119" s="3" t="s">
        <v>581</v>
      </c>
      <c r="H119" s="13">
        <f>IFERROR(VLOOKUP(A119,Customer_Data!$A$1:$P$114,8,TRUE),"")</f>
        <v>7000</v>
      </c>
      <c r="I119" s="13"/>
      <c r="J119" s="3" t="str">
        <f t="shared" si="20"/>
        <v/>
      </c>
      <c r="K119" s="62" t="e">
        <f>(VLOOKUP($J119,Herbicide_Data!$A$1:$L$61,9,TRUE))</f>
        <v>#N/A</v>
      </c>
      <c r="L119" s="62" t="e">
        <f>VLOOKUP($J119,Herbicide_Data!$A$1:$L$61,12,TRUE)</f>
        <v>#N/A</v>
      </c>
      <c r="M119" s="16" t="e">
        <f t="shared" si="15"/>
        <v>#N/A</v>
      </c>
      <c r="N119" s="62" t="str">
        <f t="shared" si="21"/>
        <v>Triplet SF (3-Way) 228-312</v>
      </c>
      <c r="O119" s="63" t="str">
        <f>VLOOKUP($N119,Herbicide_Data!$A$1:$L$61,9)</f>
        <v>2,4-D, dimethylamine salt; Dicamba, dimethylamine salt;Mecoprop-p (MCPP-p), dimethylamine salt</v>
      </c>
      <c r="P119" s="62">
        <f>VLOOKUP($N119,Herbicide_Data!$A$1:$P$61,13)</f>
        <v>24</v>
      </c>
      <c r="Q119" s="16">
        <f t="shared" si="16"/>
        <v>3.8567493112947657</v>
      </c>
      <c r="R119" s="62" t="str">
        <f t="shared" si="22"/>
        <v>Resolute 4Fl (100-1139)</v>
      </c>
      <c r="S119" s="63" t="str">
        <f>VLOOKUP($R119,Herbicide_Data!$A$1:$L$61,9)</f>
        <v>Prodiamine</v>
      </c>
      <c r="T119" s="62">
        <f>VLOOKUP($R119,Herbicide_Data!$A$1:$Q$61,13)</f>
        <v>16</v>
      </c>
      <c r="U119" s="16">
        <f t="shared" si="17"/>
        <v>2.5711662075298438</v>
      </c>
      <c r="V119" s="62" t="b">
        <f t="shared" si="23"/>
        <v>0</v>
      </c>
      <c r="W119" s="63" t="e">
        <f>VLOOKUP($V119,Herbicide_Data!$A$1:$L$17,9)</f>
        <v>#N/A</v>
      </c>
      <c r="X119" s="62" t="e">
        <f>VLOOKUP($V119,Herbicide_Data!$A$1:$L$17,12)</f>
        <v>#N/A</v>
      </c>
      <c r="Y119" s="16" t="e">
        <f t="shared" si="18"/>
        <v>#N/A</v>
      </c>
      <c r="Z119" s="15"/>
      <c r="AA119" s="13"/>
      <c r="AB119" s="17"/>
      <c r="AC119" s="3"/>
      <c r="AD119" s="10"/>
      <c r="AE119" s="3"/>
      <c r="AF119" s="10"/>
      <c r="AG119" s="15"/>
      <c r="AH119" s="62" t="str">
        <f t="shared" si="24"/>
        <v>Surfactant</v>
      </c>
      <c r="AI119" s="62">
        <f>VLOOKUP($AH119,Herbicide_Data!$A$1:$Q$61,13)</f>
        <v>12.8</v>
      </c>
      <c r="AJ119" s="16">
        <f t="shared" si="19"/>
        <v>2.0569329660238753</v>
      </c>
      <c r="AK119" s="3"/>
      <c r="AL119" s="3"/>
      <c r="AM119" s="3"/>
      <c r="AN119" s="3"/>
      <c r="AO119" s="3"/>
      <c r="AP119" s="3"/>
      <c r="AQ119" s="18"/>
      <c r="AR119" s="19"/>
      <c r="AS119" s="19"/>
      <c r="AT119" s="20"/>
      <c r="AU119" s="20"/>
      <c r="AV119" s="21"/>
      <c r="AW119" s="22"/>
      <c r="AX119" s="19"/>
      <c r="AY119" s="19"/>
      <c r="AZ119" s="19"/>
      <c r="BA119" s="23"/>
      <c r="BB119" s="19"/>
      <c r="BC119" s="19"/>
      <c r="BD119" s="19"/>
    </row>
    <row r="120" spans="1:56" ht="72">
      <c r="A120" s="13" t="s">
        <v>593</v>
      </c>
      <c r="B120" s="11">
        <v>46086</v>
      </c>
      <c r="C120" s="12">
        <v>0.75</v>
      </c>
      <c r="D120" s="12">
        <f t="shared" si="14"/>
        <v>0.77083330000000005</v>
      </c>
      <c r="E120" s="10" t="s">
        <v>85</v>
      </c>
      <c r="F120" s="10">
        <f>IFERROR(VLOOKUP(E120,Data!A$2:B$5,2,TRUE), "")</f>
        <v>48160</v>
      </c>
      <c r="G120" s="3" t="s">
        <v>581</v>
      </c>
      <c r="H120" s="13">
        <f>IFERROR(VLOOKUP(A120,Customer_Data!$A$1:$P$114,8,TRUE),"")</f>
        <v>6500</v>
      </c>
      <c r="I120" s="13"/>
      <c r="J120" s="3" t="str">
        <f t="shared" si="20"/>
        <v/>
      </c>
      <c r="K120" s="62" t="e">
        <f>(VLOOKUP($J120,Herbicide_Data!$A$1:$L$61,9,TRUE))</f>
        <v>#N/A</v>
      </c>
      <c r="L120" s="62" t="e">
        <f>VLOOKUP($J120,Herbicide_Data!$A$1:$L$61,12,TRUE)</f>
        <v>#N/A</v>
      </c>
      <c r="M120" s="16" t="e">
        <f t="shared" si="15"/>
        <v>#N/A</v>
      </c>
      <c r="N120" s="62" t="str">
        <f t="shared" si="21"/>
        <v>Triplet SF (3-Way) 228-312</v>
      </c>
      <c r="O120" s="63" t="str">
        <f>VLOOKUP($N120,Herbicide_Data!$A$1:$L$61,9)</f>
        <v>2,4-D, dimethylamine salt; Dicamba, dimethylamine salt;Mecoprop-p (MCPP-p), dimethylamine salt</v>
      </c>
      <c r="P120" s="62">
        <f>VLOOKUP($N120,Herbicide_Data!$A$1:$P$61,13)</f>
        <v>24</v>
      </c>
      <c r="Q120" s="16">
        <f t="shared" si="16"/>
        <v>3.5812672176308542</v>
      </c>
      <c r="R120" s="62" t="str">
        <f t="shared" si="22"/>
        <v>Resolute 4Fl (100-1139)</v>
      </c>
      <c r="S120" s="63" t="str">
        <f>VLOOKUP($R120,Herbicide_Data!$A$1:$L$61,9)</f>
        <v>Prodiamine</v>
      </c>
      <c r="T120" s="62">
        <f>VLOOKUP($R120,Herbicide_Data!$A$1:$Q$61,13)</f>
        <v>16</v>
      </c>
      <c r="U120" s="16">
        <f t="shared" si="17"/>
        <v>2.3875114784205693</v>
      </c>
      <c r="V120" s="62" t="b">
        <f t="shared" si="23"/>
        <v>0</v>
      </c>
      <c r="W120" s="63" t="e">
        <f>VLOOKUP($V120,Herbicide_Data!$A$1:$L$17,9)</f>
        <v>#N/A</v>
      </c>
      <c r="X120" s="62" t="e">
        <f>VLOOKUP($V120,Herbicide_Data!$A$1:$L$17,12)</f>
        <v>#N/A</v>
      </c>
      <c r="Y120" s="16" t="e">
        <f t="shared" si="18"/>
        <v>#N/A</v>
      </c>
      <c r="Z120" s="15"/>
      <c r="AA120" s="13"/>
      <c r="AB120" s="17"/>
      <c r="AC120" s="3"/>
      <c r="AD120" s="10"/>
      <c r="AE120" s="3"/>
      <c r="AF120" s="10"/>
      <c r="AG120" s="15"/>
      <c r="AH120" s="62" t="str">
        <f t="shared" si="24"/>
        <v>Surfactant</v>
      </c>
      <c r="AI120" s="62">
        <f>VLOOKUP($AH120,Herbicide_Data!$A$1:$Q$61,13)</f>
        <v>12.8</v>
      </c>
      <c r="AJ120" s="16">
        <f t="shared" si="19"/>
        <v>1.9100091827364556</v>
      </c>
      <c r="AK120" s="3"/>
      <c r="AL120" s="3"/>
      <c r="AM120" s="3"/>
      <c r="AN120" s="3"/>
      <c r="AO120" s="3"/>
      <c r="AP120" s="3"/>
      <c r="AQ120" s="18"/>
      <c r="AR120" s="19"/>
      <c r="AS120" s="19"/>
      <c r="AT120" s="20"/>
      <c r="AU120" s="20"/>
      <c r="AV120" s="21"/>
      <c r="AW120" s="22"/>
      <c r="AX120" s="19"/>
      <c r="AY120" s="19"/>
      <c r="AZ120" s="19"/>
      <c r="BA120" s="23"/>
      <c r="BB120" s="19"/>
      <c r="BC120" s="19"/>
      <c r="BD120" s="19"/>
    </row>
    <row r="121" spans="1:56" ht="72">
      <c r="A121" s="13" t="s">
        <v>660</v>
      </c>
      <c r="B121" s="11">
        <v>46086</v>
      </c>
      <c r="C121" s="12">
        <v>0.66666666666666663</v>
      </c>
      <c r="D121" s="12">
        <f t="shared" si="14"/>
        <v>0.68749996666666657</v>
      </c>
      <c r="E121" s="10" t="s">
        <v>85</v>
      </c>
      <c r="F121" s="10">
        <f>IFERROR(VLOOKUP(E121,Data!A$2:B$5,2,TRUE), "")</f>
        <v>48160</v>
      </c>
      <c r="G121" s="3" t="s">
        <v>581</v>
      </c>
      <c r="H121" s="13">
        <f>IFERROR(VLOOKUP(A121,Customer_Data!$A$1:$P$114,8,TRUE),"")</f>
        <v>3200</v>
      </c>
      <c r="I121" s="13"/>
      <c r="J121" s="3" t="str">
        <f t="shared" si="20"/>
        <v/>
      </c>
      <c r="K121" s="62" t="e">
        <f>(VLOOKUP($J121,Herbicide_Data!$A$1:$L$61,9,TRUE))</f>
        <v>#N/A</v>
      </c>
      <c r="L121" s="62" t="e">
        <f>VLOOKUP($J121,Herbicide_Data!$A$1:$L$61,12,TRUE)</f>
        <v>#N/A</v>
      </c>
      <c r="M121" s="16" t="e">
        <f t="shared" si="15"/>
        <v>#N/A</v>
      </c>
      <c r="N121" s="62" t="str">
        <f t="shared" si="21"/>
        <v>Triplet SF (3-Way) 228-312</v>
      </c>
      <c r="O121" s="63" t="str">
        <f>VLOOKUP($N121,Herbicide_Data!$A$1:$L$61,9)</f>
        <v>2,4-D, dimethylamine salt; Dicamba, dimethylamine salt;Mecoprop-p (MCPP-p), dimethylamine salt</v>
      </c>
      <c r="P121" s="62">
        <f>VLOOKUP($N121,Herbicide_Data!$A$1:$P$61,13)</f>
        <v>24</v>
      </c>
      <c r="Q121" s="16">
        <f t="shared" si="16"/>
        <v>1.7630853994490359</v>
      </c>
      <c r="R121" s="62" t="str">
        <f t="shared" si="22"/>
        <v>Resolute 4Fl (100-1139)</v>
      </c>
      <c r="S121" s="63" t="str">
        <f>VLOOKUP($R121,Herbicide_Data!$A$1:$L$61,9)</f>
        <v>Prodiamine</v>
      </c>
      <c r="T121" s="62">
        <f>VLOOKUP($R121,Herbicide_Data!$A$1:$Q$61,13)</f>
        <v>16</v>
      </c>
      <c r="U121" s="16">
        <f t="shared" si="17"/>
        <v>1.1753902662993572</v>
      </c>
      <c r="V121" s="62" t="b">
        <f t="shared" si="23"/>
        <v>0</v>
      </c>
      <c r="W121" s="63" t="e">
        <f>VLOOKUP($V121,Herbicide_Data!$A$1:$L$17,9)</f>
        <v>#N/A</v>
      </c>
      <c r="X121" s="62" t="e">
        <f>VLOOKUP($V121,Herbicide_Data!$A$1:$L$17,12)</f>
        <v>#N/A</v>
      </c>
      <c r="Y121" s="16" t="e">
        <f t="shared" si="18"/>
        <v>#N/A</v>
      </c>
      <c r="Z121" s="15"/>
      <c r="AA121" s="13"/>
      <c r="AB121" s="17"/>
      <c r="AC121" s="3"/>
      <c r="AD121" s="10"/>
      <c r="AE121" s="3"/>
      <c r="AF121" s="10"/>
      <c r="AG121" s="15"/>
      <c r="AH121" s="62" t="str">
        <f t="shared" si="24"/>
        <v>Surfactant</v>
      </c>
      <c r="AI121" s="62">
        <f>VLOOKUP($AH121,Herbicide_Data!$A$1:$Q$61,13)</f>
        <v>12.8</v>
      </c>
      <c r="AJ121" s="16">
        <f t="shared" si="19"/>
        <v>0.94031221303948576</v>
      </c>
      <c r="AK121" s="3"/>
      <c r="AL121" s="3"/>
      <c r="AM121" s="3"/>
      <c r="AN121" s="3"/>
      <c r="AO121" s="3"/>
      <c r="AP121" s="3"/>
      <c r="AQ121" s="18"/>
      <c r="AR121" s="19"/>
      <c r="AS121" s="19"/>
      <c r="AT121" s="20"/>
      <c r="AU121" s="20"/>
      <c r="AV121" s="21"/>
      <c r="AW121" s="22"/>
      <c r="AX121" s="19"/>
      <c r="AY121" s="19"/>
      <c r="AZ121" s="19"/>
      <c r="BA121" s="23"/>
      <c r="BB121" s="19"/>
      <c r="BC121" s="19"/>
      <c r="BD121" s="19"/>
    </row>
    <row r="122" spans="1:56" ht="72">
      <c r="A122" s="13" t="s">
        <v>657</v>
      </c>
      <c r="B122" s="11">
        <v>46086</v>
      </c>
      <c r="C122" s="12">
        <v>0.6875</v>
      </c>
      <c r="D122" s="12">
        <f t="shared" si="14"/>
        <v>0.70833330000000005</v>
      </c>
      <c r="E122" s="10" t="s">
        <v>85</v>
      </c>
      <c r="F122" s="10">
        <f>IFERROR(VLOOKUP(E122,Data!A$2:B$5,2,TRUE), "")</f>
        <v>48160</v>
      </c>
      <c r="G122" s="3" t="s">
        <v>581</v>
      </c>
      <c r="H122" s="13">
        <f>IFERROR(VLOOKUP(A122,Customer_Data!$A$1:$P$114,8,FALSE),"")</f>
        <v>6000</v>
      </c>
      <c r="I122" s="13"/>
      <c r="J122" s="3" t="str">
        <f t="shared" si="20"/>
        <v/>
      </c>
      <c r="K122" s="62" t="e">
        <f>(VLOOKUP($J122,Herbicide_Data!$A$1:$L$61,9,TRUE))</f>
        <v>#N/A</v>
      </c>
      <c r="L122" s="62" t="e">
        <f>VLOOKUP($J122,Herbicide_Data!$A$1:$L$61,12,TRUE)</f>
        <v>#N/A</v>
      </c>
      <c r="M122" s="16" t="e">
        <f t="shared" si="15"/>
        <v>#N/A</v>
      </c>
      <c r="N122" s="62" t="str">
        <f t="shared" si="21"/>
        <v>Triplet SF (3-Way) 228-312</v>
      </c>
      <c r="O122" s="63" t="str">
        <f>VLOOKUP($N122,Herbicide_Data!$A$1:$L$61,9)</f>
        <v>2,4-D, dimethylamine salt; Dicamba, dimethylamine salt;Mecoprop-p (MCPP-p), dimethylamine salt</v>
      </c>
      <c r="P122" s="62">
        <f>VLOOKUP($N122,Herbicide_Data!$A$1:$P$61,13)</f>
        <v>24</v>
      </c>
      <c r="Q122" s="16">
        <f t="shared" si="16"/>
        <v>3.3057851239669422</v>
      </c>
      <c r="R122" s="62" t="str">
        <f t="shared" si="22"/>
        <v>Resolute 4Fl (100-1139)</v>
      </c>
      <c r="S122" s="63" t="str">
        <f>VLOOKUP($R122,Herbicide_Data!$A$1:$L$61,9)</f>
        <v>Prodiamine</v>
      </c>
      <c r="T122" s="62">
        <f>VLOOKUP($R122,Herbicide_Data!$A$1:$Q$61,13)</f>
        <v>16</v>
      </c>
      <c r="U122" s="16">
        <f t="shared" si="17"/>
        <v>2.2038567493112948</v>
      </c>
      <c r="V122" s="62" t="b">
        <f t="shared" si="23"/>
        <v>0</v>
      </c>
      <c r="W122" s="63" t="e">
        <f>VLOOKUP($V122,Herbicide_Data!$A$1:$L$17,9)</f>
        <v>#N/A</v>
      </c>
      <c r="X122" s="62" t="e">
        <f>VLOOKUP($V122,Herbicide_Data!$A$1:$L$17,12)</f>
        <v>#N/A</v>
      </c>
      <c r="Y122" s="16" t="e">
        <f t="shared" si="18"/>
        <v>#N/A</v>
      </c>
      <c r="Z122" s="15"/>
      <c r="AA122" s="13"/>
      <c r="AB122" s="17"/>
      <c r="AC122" s="3"/>
      <c r="AD122" s="10"/>
      <c r="AE122" s="3"/>
      <c r="AF122" s="10"/>
      <c r="AG122" s="15"/>
      <c r="AH122" s="62" t="str">
        <f t="shared" si="24"/>
        <v>Surfactant</v>
      </c>
      <c r="AI122" s="62">
        <f>VLOOKUP($AH122,Herbicide_Data!$A$1:$Q$61,13)</f>
        <v>12.8</v>
      </c>
      <c r="AJ122" s="16">
        <f t="shared" si="19"/>
        <v>1.7630853994490359</v>
      </c>
      <c r="AK122" s="3"/>
      <c r="AL122" s="3"/>
      <c r="AM122" s="3"/>
      <c r="AN122" s="3"/>
      <c r="AO122" s="3"/>
      <c r="AP122" s="3"/>
      <c r="AQ122" s="18"/>
      <c r="AR122" s="19"/>
      <c r="AS122" s="19"/>
      <c r="AT122" s="20"/>
      <c r="AU122" s="20"/>
      <c r="AV122" s="21"/>
      <c r="AW122" s="22"/>
      <c r="AX122" s="19"/>
      <c r="AY122" s="19"/>
      <c r="AZ122" s="19"/>
      <c r="BA122" s="23"/>
      <c r="BB122" s="19"/>
      <c r="BC122" s="19"/>
      <c r="BD122" s="19"/>
    </row>
    <row r="123" spans="1:56" ht="72">
      <c r="A123" s="13" t="s">
        <v>663</v>
      </c>
      <c r="B123" s="11">
        <v>46086</v>
      </c>
      <c r="C123" s="12">
        <v>0.625</v>
      </c>
      <c r="D123" s="12">
        <f t="shared" si="14"/>
        <v>0.64583330000000005</v>
      </c>
      <c r="E123" s="10" t="s">
        <v>85</v>
      </c>
      <c r="F123" s="10">
        <f>IFERROR(VLOOKUP(E123,Data!A$2:B$5,2,TRUE), "")</f>
        <v>48160</v>
      </c>
      <c r="G123" s="3" t="s">
        <v>581</v>
      </c>
      <c r="H123" s="13">
        <f>IFERROR(VLOOKUP(A123,Customer_Data!$A$1:$P$114,8,TRUE),"")</f>
        <v>12000</v>
      </c>
      <c r="I123" s="13"/>
      <c r="J123" s="3" t="str">
        <f t="shared" si="20"/>
        <v/>
      </c>
      <c r="K123" s="62" t="e">
        <f>(VLOOKUP($J123,Herbicide_Data!$A$1:$L$61,9,TRUE))</f>
        <v>#N/A</v>
      </c>
      <c r="L123" s="62" t="e">
        <f>VLOOKUP($J123,Herbicide_Data!$A$1:$L$61,12,TRUE)</f>
        <v>#N/A</v>
      </c>
      <c r="M123" s="16" t="e">
        <f t="shared" si="15"/>
        <v>#N/A</v>
      </c>
      <c r="N123" s="62" t="str">
        <f t="shared" si="21"/>
        <v>Triplet SF (3-Way) 228-312</v>
      </c>
      <c r="O123" s="63" t="str">
        <f>VLOOKUP($N123,Herbicide_Data!$A$1:$L$61,9)</f>
        <v>2,4-D, dimethylamine salt; Dicamba, dimethylamine salt;Mecoprop-p (MCPP-p), dimethylamine salt</v>
      </c>
      <c r="P123" s="62">
        <f>VLOOKUP($N123,Herbicide_Data!$A$1:$P$61,13)</f>
        <v>24</v>
      </c>
      <c r="Q123" s="16">
        <f t="shared" si="16"/>
        <v>6.6115702479338845</v>
      </c>
      <c r="R123" s="62" t="str">
        <f t="shared" si="22"/>
        <v>Resolute 4Fl (100-1139)</v>
      </c>
      <c r="S123" s="63" t="str">
        <f>VLOOKUP($R123,Herbicide_Data!$A$1:$L$61,9)</f>
        <v>Prodiamine</v>
      </c>
      <c r="T123" s="62">
        <f>VLOOKUP($R123,Herbicide_Data!$A$1:$Q$61,13)</f>
        <v>16</v>
      </c>
      <c r="U123" s="16">
        <f t="shared" si="17"/>
        <v>4.4077134986225897</v>
      </c>
      <c r="V123" s="62" t="b">
        <f t="shared" si="23"/>
        <v>0</v>
      </c>
      <c r="W123" s="63" t="e">
        <f>VLOOKUP($V123,Herbicide_Data!$A$1:$L$17,9)</f>
        <v>#N/A</v>
      </c>
      <c r="X123" s="62" t="e">
        <f>VLOOKUP($V123,Herbicide_Data!$A$1:$L$17,12)</f>
        <v>#N/A</v>
      </c>
      <c r="Y123" s="16" t="e">
        <f t="shared" si="18"/>
        <v>#N/A</v>
      </c>
      <c r="Z123" s="15"/>
      <c r="AA123" s="13"/>
      <c r="AB123" s="17"/>
      <c r="AC123" s="3"/>
      <c r="AD123" s="10"/>
      <c r="AE123" s="3"/>
      <c r="AF123" s="10"/>
      <c r="AG123" s="15"/>
      <c r="AH123" s="62" t="str">
        <f t="shared" si="24"/>
        <v>Surfactant</v>
      </c>
      <c r="AI123" s="62">
        <f>VLOOKUP($AH123,Herbicide_Data!$A$1:$Q$61,13)</f>
        <v>12.8</v>
      </c>
      <c r="AJ123" s="16">
        <f t="shared" si="19"/>
        <v>3.5261707988980717</v>
      </c>
      <c r="AK123" s="3"/>
      <c r="AL123" s="3"/>
      <c r="AM123" s="3"/>
      <c r="AN123" s="3"/>
      <c r="AO123" s="3"/>
      <c r="AP123" s="3"/>
      <c r="AQ123" s="18"/>
      <c r="AR123" s="19"/>
      <c r="AS123" s="19"/>
      <c r="AT123" s="20"/>
      <c r="AU123" s="20"/>
      <c r="AV123" s="21"/>
      <c r="AW123" s="22"/>
      <c r="AX123" s="19"/>
      <c r="AY123" s="19"/>
      <c r="AZ123" s="19"/>
      <c r="BA123" s="23"/>
      <c r="BB123" s="19"/>
      <c r="BC123" s="19"/>
      <c r="BD123" s="19"/>
    </row>
    <row r="124" spans="1:56" ht="72">
      <c r="A124" s="13" t="s">
        <v>665</v>
      </c>
      <c r="B124" s="11">
        <v>46088</v>
      </c>
      <c r="C124" s="12">
        <f t="shared" ref="C124" ca="1" si="25">IF(ISBLANK($A124),"",NOW()-TODAY())</f>
        <v>0.63285474536678521</v>
      </c>
      <c r="D124" s="12">
        <f t="shared" ca="1" si="14"/>
        <v>0.65368804536678526</v>
      </c>
      <c r="E124" s="10" t="s">
        <v>85</v>
      </c>
      <c r="F124" s="10">
        <f>IFERROR(VLOOKUP(E124,Data!A$2:B$5,2,TRUE), "")</f>
        <v>48160</v>
      </c>
      <c r="G124" s="3" t="s">
        <v>581</v>
      </c>
      <c r="H124" s="13">
        <f>IFERROR(VLOOKUP(A124,Customer_Data!$A$1:$P$114,8,TRUE),"")</f>
        <v>6000</v>
      </c>
      <c r="I124" s="13"/>
      <c r="J124" s="3" t="str">
        <f t="shared" si="20"/>
        <v/>
      </c>
      <c r="K124" s="62" t="e">
        <f>(VLOOKUP($J124,Herbicide_Data!$A$1:$L$61,9,TRUE))</f>
        <v>#N/A</v>
      </c>
      <c r="L124" s="62" t="e">
        <f>VLOOKUP($J124,Herbicide_Data!$A$1:$L$61,12,TRUE)</f>
        <v>#N/A</v>
      </c>
      <c r="M124" s="16" t="e">
        <f t="shared" si="15"/>
        <v>#N/A</v>
      </c>
      <c r="N124" s="62" t="str">
        <f t="shared" si="21"/>
        <v>Triplet SF (3-Way) 228-312</v>
      </c>
      <c r="O124" s="63" t="str">
        <f>VLOOKUP($N124,Herbicide_Data!$A$1:$L$61,9)</f>
        <v>2,4-D, dimethylamine salt; Dicamba, dimethylamine salt;Mecoprop-p (MCPP-p), dimethylamine salt</v>
      </c>
      <c r="P124" s="62">
        <f>VLOOKUP($N124,Herbicide_Data!$A$1:$P$61,13)</f>
        <v>24</v>
      </c>
      <c r="Q124" s="16">
        <f t="shared" si="16"/>
        <v>3.3057851239669422</v>
      </c>
      <c r="R124" s="62" t="str">
        <f t="shared" si="22"/>
        <v>Resolute 4Fl (100-1139)</v>
      </c>
      <c r="S124" s="63" t="str">
        <f>VLOOKUP($R124,Herbicide_Data!$A$1:$L$61,9)</f>
        <v>Prodiamine</v>
      </c>
      <c r="T124" s="62">
        <f>VLOOKUP($R124,Herbicide_Data!$A$1:$Q$61,13)</f>
        <v>16</v>
      </c>
      <c r="U124" s="16">
        <f t="shared" si="17"/>
        <v>2.2038567493112948</v>
      </c>
      <c r="V124" s="62" t="b">
        <f t="shared" si="23"/>
        <v>0</v>
      </c>
      <c r="W124" s="63" t="e">
        <f>VLOOKUP($V124,Herbicide_Data!$A$1:$L$17,9)</f>
        <v>#N/A</v>
      </c>
      <c r="X124" s="62" t="e">
        <f>VLOOKUP($V124,Herbicide_Data!$A$1:$L$17,12)</f>
        <v>#N/A</v>
      </c>
      <c r="Y124" s="16" t="e">
        <f t="shared" si="18"/>
        <v>#N/A</v>
      </c>
      <c r="Z124" s="15"/>
      <c r="AA124" s="13"/>
      <c r="AB124" s="17"/>
      <c r="AC124" s="3"/>
      <c r="AD124" s="10"/>
      <c r="AE124" s="3"/>
      <c r="AF124" s="10"/>
      <c r="AG124" s="15"/>
      <c r="AH124" s="62" t="str">
        <f t="shared" si="24"/>
        <v>Surfactant</v>
      </c>
      <c r="AI124" s="62">
        <f>VLOOKUP($AH124,Herbicide_Data!$A$1:$Q$61,13)</f>
        <v>12.8</v>
      </c>
      <c r="AJ124" s="16">
        <f t="shared" si="19"/>
        <v>1.7630853994490359</v>
      </c>
      <c r="AK124" s="3"/>
      <c r="AL124" s="3"/>
      <c r="AM124" s="3"/>
      <c r="AN124" s="3"/>
      <c r="AO124" s="3"/>
      <c r="AP124" s="3"/>
      <c r="AQ124" s="18"/>
      <c r="AR124" s="19"/>
      <c r="AS124" s="19"/>
      <c r="AT124" s="20"/>
      <c r="AU124" s="20"/>
      <c r="AV124" s="21"/>
      <c r="AW124" s="22"/>
      <c r="AX124" s="19"/>
      <c r="AY124" s="19"/>
      <c r="AZ124" s="19"/>
      <c r="BA124" s="23"/>
      <c r="BB124" s="19"/>
      <c r="BC124" s="19"/>
      <c r="BD124" s="19"/>
    </row>
    <row r="125" spans="1:56" ht="72">
      <c r="A125" s="13" t="s">
        <v>382</v>
      </c>
      <c r="B125" s="11">
        <v>46158</v>
      </c>
      <c r="C125" s="12">
        <v>0.41666666666666669</v>
      </c>
      <c r="D125" s="12">
        <f t="shared" si="14"/>
        <v>0.43749996666666668</v>
      </c>
      <c r="E125" s="10" t="s">
        <v>85</v>
      </c>
      <c r="F125" s="10">
        <f>IFERROR(VLOOKUP(E125,Data!A$2:B$5,2,TRUE), "")</f>
        <v>48160</v>
      </c>
      <c r="G125" s="3" t="s">
        <v>582</v>
      </c>
      <c r="H125" s="13">
        <f>IFERROR(VLOOKUP(A125,Customer_Data!$A$1:$P$114,8,TRUE),"")</f>
        <v>1800</v>
      </c>
      <c r="I125" s="13"/>
      <c r="J125" s="3" t="str">
        <f t="shared" si="20"/>
        <v/>
      </c>
      <c r="K125" s="62" t="e">
        <f>(VLOOKUP($J125,Herbicide_Data!$A$1:$L$61,9,TRUE))</f>
        <v>#N/A</v>
      </c>
      <c r="L125" s="62" t="e">
        <f>VLOOKUP($J125,Herbicide_Data!$A$1:$L$61,12,TRUE)</f>
        <v>#N/A</v>
      </c>
      <c r="M125" s="16" t="e">
        <f t="shared" si="15"/>
        <v>#N/A</v>
      </c>
      <c r="N125" s="62" t="str">
        <f t="shared" si="21"/>
        <v>Triplet SF (3-Way) 228-312</v>
      </c>
      <c r="O125" s="63" t="str">
        <f>VLOOKUP($N125,Herbicide_Data!$A$1:$L$61,9)</f>
        <v>2,4-D, dimethylamine salt; Dicamba, dimethylamine salt;Mecoprop-p (MCPP-p), dimethylamine salt</v>
      </c>
      <c r="P125" s="62">
        <f>VLOOKUP($N125,Herbicide_Data!$A$1:$P$61,13)</f>
        <v>24</v>
      </c>
      <c r="Q125" s="16">
        <f t="shared" si="16"/>
        <v>0.99173553719008267</v>
      </c>
      <c r="R125" s="62" t="str">
        <f t="shared" si="22"/>
        <v>Certinty Turf 59639-226</v>
      </c>
      <c r="S125" s="63" t="str">
        <f>VLOOKUP($R125,Herbicide_Data!$A$1:$L$61,9)</f>
        <v>Sulfosulfuron</v>
      </c>
      <c r="T125" s="62">
        <f>VLOOKUP($R125,Herbicide_Data!$A$1:$Q$61,13)</f>
        <v>0</v>
      </c>
      <c r="U125" s="16">
        <f t="shared" si="17"/>
        <v>0</v>
      </c>
      <c r="V125" s="62" t="b">
        <f t="shared" si="23"/>
        <v>0</v>
      </c>
      <c r="W125" s="63" t="e">
        <f>VLOOKUP($V125,Herbicide_Data!$A$1:$L$17,9)</f>
        <v>#N/A</v>
      </c>
      <c r="X125" s="62" t="e">
        <f>VLOOKUP($V125,Herbicide_Data!$A$1:$L$17,12)</f>
        <v>#N/A</v>
      </c>
      <c r="Y125" s="16" t="e">
        <f t="shared" si="18"/>
        <v>#N/A</v>
      </c>
      <c r="Z125" s="15"/>
      <c r="AA125" s="13"/>
      <c r="AB125" s="17"/>
      <c r="AC125" s="3"/>
      <c r="AD125" s="10"/>
      <c r="AE125" s="3"/>
      <c r="AF125" s="10"/>
      <c r="AG125" s="15"/>
      <c r="AH125" s="62" t="str">
        <f t="shared" si="24"/>
        <v>Surfactant</v>
      </c>
      <c r="AI125" s="62">
        <f>VLOOKUP($AH125,Herbicide_Data!$A$1:$Q$61,13)</f>
        <v>12.8</v>
      </c>
      <c r="AJ125" s="16">
        <f t="shared" si="19"/>
        <v>0.52892561983471076</v>
      </c>
      <c r="AK125" s="3"/>
      <c r="AL125" s="3"/>
      <c r="AM125" s="3"/>
      <c r="AN125" s="3"/>
      <c r="AO125" s="3"/>
      <c r="AP125" s="3"/>
      <c r="AQ125" s="18"/>
      <c r="AR125" s="19"/>
      <c r="AS125" s="19"/>
      <c r="AT125" s="20"/>
      <c r="AU125" s="20"/>
      <c r="AV125" s="21"/>
      <c r="AW125" s="22"/>
      <c r="AX125" s="19"/>
      <c r="AY125" s="19"/>
      <c r="AZ125" s="19"/>
      <c r="BA125" s="23"/>
      <c r="BB125" s="19"/>
      <c r="BC125" s="19"/>
      <c r="BD125" s="19"/>
    </row>
    <row r="126" spans="1:56" ht="72">
      <c r="A126" s="13" t="s">
        <v>379</v>
      </c>
      <c r="B126" s="11">
        <v>46159</v>
      </c>
      <c r="C126" s="12">
        <v>0.58333333333333337</v>
      </c>
      <c r="D126" s="12">
        <f t="shared" si="14"/>
        <v>0.60416663333333331</v>
      </c>
      <c r="E126" s="10" t="s">
        <v>85</v>
      </c>
      <c r="F126" s="10">
        <f>IFERROR(VLOOKUP(E126,Data!A$2:B$5,2,TRUE), "")</f>
        <v>48160</v>
      </c>
      <c r="G126" s="3" t="s">
        <v>582</v>
      </c>
      <c r="H126" s="13">
        <f>IFERROR(VLOOKUP(A126,Customer_Data!$A$1:$P$114,8,TRUE),"")</f>
        <v>3687</v>
      </c>
      <c r="I126" s="13"/>
      <c r="J126" s="3" t="str">
        <f t="shared" si="20"/>
        <v/>
      </c>
      <c r="K126" s="62" t="e">
        <f>(VLOOKUP($J126,Herbicide_Data!$A$1:$L$61,9,TRUE))</f>
        <v>#N/A</v>
      </c>
      <c r="L126" s="62" t="e">
        <f>VLOOKUP($J126,Herbicide_Data!$A$1:$L$61,12,TRUE)</f>
        <v>#N/A</v>
      </c>
      <c r="M126" s="16" t="e">
        <f t="shared" si="15"/>
        <v>#N/A</v>
      </c>
      <c r="N126" s="62" t="str">
        <f t="shared" si="21"/>
        <v>Triplet SF (3-Way) 228-312</v>
      </c>
      <c r="O126" s="63" t="str">
        <f>VLOOKUP($N126,Herbicide_Data!$A$1:$L$61,9)</f>
        <v>2,4-D, dimethylamine salt; Dicamba, dimethylamine salt;Mecoprop-p (MCPP-p), dimethylamine salt</v>
      </c>
      <c r="P126" s="62">
        <f>VLOOKUP($N126,Herbicide_Data!$A$1:$P$61,13)</f>
        <v>24</v>
      </c>
      <c r="Q126" s="16">
        <f t="shared" si="16"/>
        <v>2.0314049586776859</v>
      </c>
      <c r="R126" s="62" t="str">
        <f t="shared" si="22"/>
        <v>Certinty Turf 59639-226</v>
      </c>
      <c r="S126" s="63" t="str">
        <f>VLOOKUP($R126,Herbicide_Data!$A$1:$L$61,9)</f>
        <v>Sulfosulfuron</v>
      </c>
      <c r="T126" s="62">
        <f>VLOOKUP($R126,Herbicide_Data!$A$1:$Q$61,13)</f>
        <v>0</v>
      </c>
      <c r="U126" s="16">
        <f t="shared" si="17"/>
        <v>0</v>
      </c>
      <c r="V126" s="62" t="b">
        <f t="shared" si="23"/>
        <v>0</v>
      </c>
      <c r="W126" s="63" t="e">
        <f>VLOOKUP($V126,Herbicide_Data!$A$1:$L$17,9)</f>
        <v>#N/A</v>
      </c>
      <c r="X126" s="62" t="e">
        <f>VLOOKUP($V126,Herbicide_Data!$A$1:$L$17,12)</f>
        <v>#N/A</v>
      </c>
      <c r="Y126" s="16" t="e">
        <f t="shared" si="18"/>
        <v>#N/A</v>
      </c>
      <c r="Z126" s="15"/>
      <c r="AA126" s="13"/>
      <c r="AB126" s="17"/>
      <c r="AC126" s="3"/>
      <c r="AD126" s="10"/>
      <c r="AE126" s="3"/>
      <c r="AF126" s="10"/>
      <c r="AG126" s="15"/>
      <c r="AH126" s="62" t="str">
        <f t="shared" si="24"/>
        <v>Surfactant</v>
      </c>
      <c r="AI126" s="62">
        <f>VLOOKUP($AH126,Herbicide_Data!$A$1:$Q$61,13)</f>
        <v>12.8</v>
      </c>
      <c r="AJ126" s="16">
        <f t="shared" si="19"/>
        <v>1.0834159779614325</v>
      </c>
      <c r="AK126" s="3"/>
      <c r="AL126" s="3"/>
      <c r="AM126" s="3"/>
      <c r="AN126" s="3"/>
      <c r="AO126" s="3"/>
      <c r="AP126" s="3"/>
      <c r="AQ126" s="18"/>
      <c r="AR126" s="19"/>
      <c r="AS126" s="19"/>
      <c r="AT126" s="20"/>
      <c r="AU126" s="20"/>
      <c r="AV126" s="21"/>
      <c r="AW126" s="22"/>
      <c r="AX126" s="19"/>
      <c r="AY126" s="19"/>
      <c r="AZ126" s="19"/>
      <c r="BA126" s="23"/>
      <c r="BB126" s="19"/>
      <c r="BC126" s="19"/>
      <c r="BD126" s="19"/>
    </row>
    <row r="127" spans="1:56" ht="72">
      <c r="A127" s="13" t="s">
        <v>441</v>
      </c>
      <c r="B127" s="11">
        <v>46158</v>
      </c>
      <c r="C127" s="12">
        <v>0.4375</v>
      </c>
      <c r="D127" s="12">
        <f t="shared" si="14"/>
        <v>0.4583333</v>
      </c>
      <c r="E127" s="10" t="s">
        <v>85</v>
      </c>
      <c r="F127" s="10">
        <f>IFERROR(VLOOKUP(E127,Data!A$2:B$5,2,TRUE), "")</f>
        <v>48160</v>
      </c>
      <c r="G127" s="3" t="s">
        <v>582</v>
      </c>
      <c r="H127" s="13">
        <f>IFERROR(VLOOKUP(A127,Customer_Data!$A$1:$P$114,8,TRUE),"")</f>
        <v>2000</v>
      </c>
      <c r="I127" s="13"/>
      <c r="J127" s="3" t="str">
        <f t="shared" si="20"/>
        <v/>
      </c>
      <c r="K127" s="62" t="e">
        <f>(VLOOKUP($J127,Herbicide_Data!$A$1:$L$61,9,TRUE))</f>
        <v>#N/A</v>
      </c>
      <c r="L127" s="62" t="e">
        <f>VLOOKUP($J127,Herbicide_Data!$A$1:$L$61,12,TRUE)</f>
        <v>#N/A</v>
      </c>
      <c r="M127" s="16" t="e">
        <f t="shared" si="15"/>
        <v>#N/A</v>
      </c>
      <c r="N127" s="62" t="str">
        <f t="shared" si="21"/>
        <v>Triplet SF (3-Way) 228-312</v>
      </c>
      <c r="O127" s="63" t="str">
        <f>VLOOKUP($N127,Herbicide_Data!$A$1:$L$61,9)</f>
        <v>2,4-D, dimethylamine salt; Dicamba, dimethylamine salt;Mecoprop-p (MCPP-p), dimethylamine salt</v>
      </c>
      <c r="P127" s="62">
        <f>VLOOKUP($N127,Herbicide_Data!$A$1:$P$61,13)</f>
        <v>24</v>
      </c>
      <c r="Q127" s="16">
        <f t="shared" si="16"/>
        <v>1.1019283746556474</v>
      </c>
      <c r="R127" s="62" t="str">
        <f t="shared" si="22"/>
        <v>Certinty Turf 59639-226</v>
      </c>
      <c r="S127" s="63" t="str">
        <f>VLOOKUP($R127,Herbicide_Data!$A$1:$L$61,9)</f>
        <v>Sulfosulfuron</v>
      </c>
      <c r="T127" s="62">
        <f>VLOOKUP($R127,Herbicide_Data!$A$1:$Q$61,13)</f>
        <v>0</v>
      </c>
      <c r="U127" s="16">
        <f t="shared" si="17"/>
        <v>0</v>
      </c>
      <c r="V127" s="62" t="b">
        <f t="shared" si="23"/>
        <v>0</v>
      </c>
      <c r="W127" s="63" t="e">
        <f>VLOOKUP($V127,Herbicide_Data!$A$1:$L$17,9)</f>
        <v>#N/A</v>
      </c>
      <c r="X127" s="62" t="e">
        <f>VLOOKUP($V127,Herbicide_Data!$A$1:$L$17,12)</f>
        <v>#N/A</v>
      </c>
      <c r="Y127" s="16" t="e">
        <f t="shared" si="18"/>
        <v>#N/A</v>
      </c>
      <c r="Z127" s="15"/>
      <c r="AA127" s="13"/>
      <c r="AB127" s="17"/>
      <c r="AC127" s="3"/>
      <c r="AD127" s="10"/>
      <c r="AE127" s="3"/>
      <c r="AF127" s="10"/>
      <c r="AG127" s="15"/>
      <c r="AH127" s="62" t="str">
        <f t="shared" si="24"/>
        <v>Surfactant</v>
      </c>
      <c r="AI127" s="62">
        <f>VLOOKUP($AH127,Herbicide_Data!$A$1:$Q$61,13)</f>
        <v>12.8</v>
      </c>
      <c r="AJ127" s="16">
        <f t="shared" si="19"/>
        <v>0.58769513314967858</v>
      </c>
      <c r="AK127" s="3"/>
      <c r="AL127" s="3"/>
      <c r="AM127" s="3"/>
      <c r="AN127" s="3"/>
      <c r="AO127" s="3"/>
      <c r="AP127" s="3"/>
      <c r="AQ127" s="18"/>
      <c r="AR127" s="19"/>
      <c r="AS127" s="19"/>
      <c r="AT127" s="20"/>
      <c r="AU127" s="20"/>
      <c r="AV127" s="21"/>
      <c r="AW127" s="22"/>
      <c r="AX127" s="19"/>
      <c r="AY127" s="19"/>
      <c r="AZ127" s="19"/>
      <c r="BA127" s="23"/>
      <c r="BB127" s="19"/>
      <c r="BC127" s="19"/>
      <c r="BD127" s="19"/>
    </row>
    <row r="128" spans="1:56" ht="72">
      <c r="A128" s="13" t="s">
        <v>483</v>
      </c>
      <c r="B128" s="11">
        <v>46159</v>
      </c>
      <c r="C128" s="12">
        <v>0.60416666666666663</v>
      </c>
      <c r="D128" s="12">
        <f t="shared" si="14"/>
        <v>0.62499996666666657</v>
      </c>
      <c r="E128" s="10" t="s">
        <v>85</v>
      </c>
      <c r="F128" s="10">
        <f>IFERROR(VLOOKUP(E128,Data!A$2:B$5,2,TRUE), "")</f>
        <v>48160</v>
      </c>
      <c r="G128" s="3" t="s">
        <v>582</v>
      </c>
      <c r="H128" s="13">
        <f>IFERROR(VLOOKUP(A128,Customer_Data!$A$1:$P$114,8,TRUE),"")</f>
        <v>8910</v>
      </c>
      <c r="I128" s="13"/>
      <c r="J128" s="3" t="str">
        <f t="shared" si="20"/>
        <v/>
      </c>
      <c r="K128" s="62" t="e">
        <f>(VLOOKUP($J128,Herbicide_Data!$A$1:$L$61,9,TRUE))</f>
        <v>#N/A</v>
      </c>
      <c r="L128" s="62" t="e">
        <f>VLOOKUP($J128,Herbicide_Data!$A$1:$L$61,12,TRUE)</f>
        <v>#N/A</v>
      </c>
      <c r="M128" s="16" t="e">
        <f t="shared" si="15"/>
        <v>#N/A</v>
      </c>
      <c r="N128" s="62" t="str">
        <f t="shared" si="21"/>
        <v>Triplet SF (3-Way) 228-312</v>
      </c>
      <c r="O128" s="63" t="str">
        <f>VLOOKUP($N128,Herbicide_Data!$A$1:$L$61,9)</f>
        <v>2,4-D, dimethylamine salt; Dicamba, dimethylamine salt;Mecoprop-p (MCPP-p), dimethylamine salt</v>
      </c>
      <c r="P128" s="62">
        <f>VLOOKUP($N128,Herbicide_Data!$A$1:$P$61,13)</f>
        <v>24</v>
      </c>
      <c r="Q128" s="16">
        <f t="shared" si="16"/>
        <v>4.9090909090909092</v>
      </c>
      <c r="R128" s="62" t="str">
        <f t="shared" si="22"/>
        <v>Certinty Turf 59639-226</v>
      </c>
      <c r="S128" s="63" t="str">
        <f>VLOOKUP($R128,Herbicide_Data!$A$1:$L$61,9)</f>
        <v>Sulfosulfuron</v>
      </c>
      <c r="T128" s="62">
        <f>VLOOKUP($R128,Herbicide_Data!$A$1:$Q$61,13)</f>
        <v>0</v>
      </c>
      <c r="U128" s="16">
        <f t="shared" si="17"/>
        <v>0</v>
      </c>
      <c r="V128" s="62" t="b">
        <f t="shared" si="23"/>
        <v>0</v>
      </c>
      <c r="W128" s="63" t="e">
        <f>VLOOKUP($V128,Herbicide_Data!$A$1:$L$17,9)</f>
        <v>#N/A</v>
      </c>
      <c r="X128" s="62" t="e">
        <f>VLOOKUP($V128,Herbicide_Data!$A$1:$L$17,12)</f>
        <v>#N/A</v>
      </c>
      <c r="Y128" s="16" t="e">
        <f t="shared" si="18"/>
        <v>#N/A</v>
      </c>
      <c r="Z128" s="15"/>
      <c r="AA128" s="13"/>
      <c r="AB128" s="17"/>
      <c r="AC128" s="3"/>
      <c r="AD128" s="10"/>
      <c r="AE128" s="3"/>
      <c r="AF128" s="10"/>
      <c r="AG128" s="15"/>
      <c r="AH128" s="62" t="str">
        <f t="shared" si="24"/>
        <v>Surfactant</v>
      </c>
      <c r="AI128" s="62">
        <f>VLOOKUP($AH128,Herbicide_Data!$A$1:$Q$61,13)</f>
        <v>12.8</v>
      </c>
      <c r="AJ128" s="16">
        <f t="shared" si="19"/>
        <v>2.6181818181818186</v>
      </c>
      <c r="AK128" s="3"/>
      <c r="AL128" s="3"/>
      <c r="AM128" s="3"/>
      <c r="AN128" s="3"/>
      <c r="AO128" s="3"/>
      <c r="AP128" s="3"/>
      <c r="AQ128" s="18"/>
      <c r="AR128" s="19"/>
      <c r="AS128" s="19"/>
      <c r="AT128" s="20"/>
      <c r="AU128" s="20"/>
      <c r="AV128" s="21"/>
      <c r="AW128" s="22"/>
      <c r="AX128" s="19"/>
      <c r="AY128" s="19"/>
      <c r="AZ128" s="19"/>
      <c r="BA128" s="23"/>
      <c r="BB128" s="19"/>
      <c r="BC128" s="19"/>
      <c r="BD128" s="19"/>
    </row>
    <row r="129" spans="1:56" ht="72">
      <c r="A129" s="13" t="s">
        <v>544</v>
      </c>
      <c r="B129" s="11">
        <v>46158</v>
      </c>
      <c r="C129" s="12">
        <v>0.45833333333333331</v>
      </c>
      <c r="D129" s="12">
        <f t="shared" si="14"/>
        <v>0.47916663333333331</v>
      </c>
      <c r="E129" s="10" t="s">
        <v>86</v>
      </c>
      <c r="F129" s="10">
        <f>IFERROR(VLOOKUP(E129,Data!A$2:B$5,2,TRUE), "")</f>
        <v>48182</v>
      </c>
      <c r="G129" s="3" t="s">
        <v>582</v>
      </c>
      <c r="H129" s="13">
        <f>IFERROR(VLOOKUP(A129,Customer_Data!$A$1:$P$114,8,TRUE),"")</f>
        <v>2750</v>
      </c>
      <c r="I129" s="13"/>
      <c r="J129" s="3" t="str">
        <f t="shared" si="20"/>
        <v/>
      </c>
      <c r="K129" s="62" t="e">
        <f>(VLOOKUP($J129,Herbicide_Data!$A$1:$L$61,9,TRUE))</f>
        <v>#N/A</v>
      </c>
      <c r="L129" s="62" t="e">
        <f>VLOOKUP($J129,Herbicide_Data!$A$1:$L$61,12,TRUE)</f>
        <v>#N/A</v>
      </c>
      <c r="M129" s="16" t="e">
        <f t="shared" si="15"/>
        <v>#N/A</v>
      </c>
      <c r="N129" s="62" t="str">
        <f t="shared" si="21"/>
        <v>Triplet SF (3-Way) 228-312</v>
      </c>
      <c r="O129" s="63" t="str">
        <f>VLOOKUP($N129,Herbicide_Data!$A$1:$L$61,9)</f>
        <v>2,4-D, dimethylamine salt; Dicamba, dimethylamine salt;Mecoprop-p (MCPP-p), dimethylamine salt</v>
      </c>
      <c r="P129" s="62">
        <f>VLOOKUP($N129,Herbicide_Data!$A$1:$P$61,13)</f>
        <v>24</v>
      </c>
      <c r="Q129" s="16">
        <f t="shared" si="16"/>
        <v>1.5151515151515151</v>
      </c>
      <c r="R129" s="62" t="str">
        <f t="shared" si="22"/>
        <v>Certinty Turf 59639-226</v>
      </c>
      <c r="S129" s="63" t="str">
        <f>VLOOKUP($R129,Herbicide_Data!$A$1:$L$61,9)</f>
        <v>Sulfosulfuron</v>
      </c>
      <c r="T129" s="62">
        <f>VLOOKUP($R129,Herbicide_Data!$A$1:$Q$61,13)</f>
        <v>0</v>
      </c>
      <c r="U129" s="16">
        <f t="shared" si="17"/>
        <v>0</v>
      </c>
      <c r="V129" s="62" t="b">
        <f t="shared" si="23"/>
        <v>0</v>
      </c>
      <c r="W129" s="63" t="e">
        <f>VLOOKUP($V129,Herbicide_Data!$A$1:$L$17,9)</f>
        <v>#N/A</v>
      </c>
      <c r="X129" s="62" t="e">
        <f>VLOOKUP($V129,Herbicide_Data!$A$1:$L$17,12)</f>
        <v>#N/A</v>
      </c>
      <c r="Y129" s="16" t="e">
        <f t="shared" si="18"/>
        <v>#N/A</v>
      </c>
      <c r="Z129" s="15"/>
      <c r="AA129" s="13"/>
      <c r="AB129" s="17"/>
      <c r="AC129" s="3"/>
      <c r="AD129" s="10"/>
      <c r="AE129" s="3"/>
      <c r="AF129" s="10"/>
      <c r="AG129" s="15"/>
      <c r="AH129" s="62" t="str">
        <f t="shared" si="24"/>
        <v>Surfactant</v>
      </c>
      <c r="AI129" s="62">
        <f>VLOOKUP($AH129,Herbicide_Data!$A$1:$Q$61,13)</f>
        <v>12.8</v>
      </c>
      <c r="AJ129" s="16">
        <f t="shared" si="19"/>
        <v>0.80808080808080818</v>
      </c>
      <c r="AK129" s="3"/>
      <c r="AL129" s="3"/>
      <c r="AM129" s="3"/>
      <c r="AN129" s="3"/>
      <c r="AO129" s="3"/>
      <c r="AP129" s="3"/>
      <c r="AQ129" s="18"/>
      <c r="AR129" s="19"/>
      <c r="AS129" s="19"/>
      <c r="AT129" s="20"/>
      <c r="AU129" s="20"/>
      <c r="AV129" s="21"/>
      <c r="AW129" s="22"/>
      <c r="AX129" s="19"/>
      <c r="AY129" s="19"/>
      <c r="AZ129" s="19"/>
      <c r="BA129" s="23"/>
      <c r="BB129" s="19"/>
      <c r="BC129" s="19"/>
      <c r="BD129" s="19"/>
    </row>
    <row r="130" spans="1:56" ht="72">
      <c r="A130" s="13" t="s">
        <v>546</v>
      </c>
      <c r="B130" s="11">
        <v>46156</v>
      </c>
      <c r="C130" s="12">
        <v>0.72916666666666663</v>
      </c>
      <c r="D130" s="12">
        <f t="shared" ref="D130:D193" si="26">C130+0.0208333</f>
        <v>0.74999996666666657</v>
      </c>
      <c r="E130" s="10" t="s">
        <v>85</v>
      </c>
      <c r="F130" s="10">
        <f>IFERROR(VLOOKUP(E130,Data!A$2:B$5,2,TRUE), "")</f>
        <v>48160</v>
      </c>
      <c r="G130" s="3" t="s">
        <v>582</v>
      </c>
      <c r="H130" s="13">
        <f>IFERROR(VLOOKUP(A130,Customer_Data!$A$1:$P$114,8,TRUE),"")</f>
        <v>7500</v>
      </c>
      <c r="I130" s="13"/>
      <c r="J130" s="3" t="str">
        <f t="shared" si="20"/>
        <v/>
      </c>
      <c r="K130" s="62" t="e">
        <f>(VLOOKUP($J130,Herbicide_Data!$A$1:$L$61,9,TRUE))</f>
        <v>#N/A</v>
      </c>
      <c r="L130" s="62" t="e">
        <f>VLOOKUP($J130,Herbicide_Data!$A$1:$L$61,12,TRUE)</f>
        <v>#N/A</v>
      </c>
      <c r="M130" s="16" t="e">
        <f t="shared" ref="M130:M193" si="27">L130*(H130/43560)</f>
        <v>#N/A</v>
      </c>
      <c r="N130" s="62" t="str">
        <f t="shared" si="21"/>
        <v>Triplet SF (3-Way) 228-312</v>
      </c>
      <c r="O130" s="63" t="str">
        <f>VLOOKUP($N130,Herbicide_Data!$A$1:$L$61,9)</f>
        <v>2,4-D, dimethylamine salt; Dicamba, dimethylamine salt;Mecoprop-p (MCPP-p), dimethylamine salt</v>
      </c>
      <c r="P130" s="62">
        <f>VLOOKUP($N130,Herbicide_Data!$A$1:$P$61,13)</f>
        <v>24</v>
      </c>
      <c r="Q130" s="16">
        <f t="shared" ref="Q130:Q193" si="28">P130*($H130/43560)</f>
        <v>4.1322314049586772</v>
      </c>
      <c r="R130" s="62" t="str">
        <f t="shared" si="22"/>
        <v>Certinty Turf 59639-226</v>
      </c>
      <c r="S130" s="63" t="str">
        <f>VLOOKUP($R130,Herbicide_Data!$A$1:$L$61,9)</f>
        <v>Sulfosulfuron</v>
      </c>
      <c r="T130" s="62">
        <f>VLOOKUP($R130,Herbicide_Data!$A$1:$Q$61,13)</f>
        <v>0</v>
      </c>
      <c r="U130" s="16">
        <f t="shared" ref="U130:U193" si="29">T130*($H130/43560)</f>
        <v>0</v>
      </c>
      <c r="V130" s="62" t="b">
        <f t="shared" si="23"/>
        <v>0</v>
      </c>
      <c r="W130" s="63" t="e">
        <f>VLOOKUP($V130,Herbicide_Data!$A$1:$L$17,9)</f>
        <v>#N/A</v>
      </c>
      <c r="X130" s="62" t="e">
        <f>VLOOKUP($V130,Herbicide_Data!$A$1:$L$17,12)</f>
        <v>#N/A</v>
      </c>
      <c r="Y130" s="16" t="e">
        <f t="shared" ref="Y130:Y193" si="30">X130*($H130/43560)</f>
        <v>#N/A</v>
      </c>
      <c r="Z130" s="15"/>
      <c r="AA130" s="13"/>
      <c r="AB130" s="17"/>
      <c r="AC130" s="3"/>
      <c r="AD130" s="10"/>
      <c r="AE130" s="3"/>
      <c r="AF130" s="10"/>
      <c r="AG130" s="15"/>
      <c r="AH130" s="62" t="str">
        <f t="shared" si="24"/>
        <v>Surfactant</v>
      </c>
      <c r="AI130" s="62">
        <f>VLOOKUP($AH130,Herbicide_Data!$A$1:$Q$61,13)</f>
        <v>12.8</v>
      </c>
      <c r="AJ130" s="16">
        <f t="shared" ref="AJ130:AJ193" si="31">AI130*($H130/43560)</f>
        <v>2.2038567493112948</v>
      </c>
      <c r="AK130" s="3"/>
      <c r="AL130" s="3"/>
      <c r="AM130" s="3"/>
      <c r="AN130" s="3"/>
      <c r="AO130" s="3"/>
      <c r="AP130" s="3"/>
      <c r="AQ130" s="18"/>
      <c r="AR130" s="19"/>
      <c r="AS130" s="19"/>
      <c r="AT130" s="20"/>
      <c r="AU130" s="20"/>
      <c r="AV130" s="21"/>
      <c r="AW130" s="22"/>
      <c r="AX130" s="19"/>
      <c r="AY130" s="19"/>
      <c r="AZ130" s="19"/>
      <c r="BA130" s="23"/>
      <c r="BB130" s="19"/>
      <c r="BC130" s="19"/>
      <c r="BD130" s="19"/>
    </row>
    <row r="131" spans="1:56" ht="72">
      <c r="A131" s="13" t="s">
        <v>550</v>
      </c>
      <c r="B131" s="11">
        <v>46158</v>
      </c>
      <c r="C131" s="12">
        <v>0.54166666666666663</v>
      </c>
      <c r="D131" s="12">
        <f t="shared" si="26"/>
        <v>0.56249996666666657</v>
      </c>
      <c r="E131" s="10" t="s">
        <v>85</v>
      </c>
      <c r="F131" s="10">
        <f>IFERROR(VLOOKUP(E131,Data!A$2:B$5,2,TRUE), "")</f>
        <v>48160</v>
      </c>
      <c r="G131" s="3" t="s">
        <v>582</v>
      </c>
      <c r="H131" s="13">
        <f>IFERROR(VLOOKUP(A131,Customer_Data!$A$1:$P$114,8,TRUE),"")</f>
        <v>4670</v>
      </c>
      <c r="I131" s="13"/>
      <c r="J131" s="3" t="str">
        <f t="shared" ref="J131:J194" si="32">IF($G131=("Fall (pre/post emerge)"),"Princep Liquid (100-526)", IF($G131=("Fertilize"),"Harrell's 34-0-5",IF($G131=("Spot Treat"),"Outrider (59639-223)","")))</f>
        <v/>
      </c>
      <c r="K131" s="62" t="e">
        <f>(VLOOKUP($J131,Herbicide_Data!$A$1:$L$61,9,TRUE))</f>
        <v>#N/A</v>
      </c>
      <c r="L131" s="62" t="e">
        <f>VLOOKUP($J131,Herbicide_Data!$A$1:$L$61,12,TRUE)</f>
        <v>#N/A</v>
      </c>
      <c r="M131" s="16" t="e">
        <f t="shared" si="27"/>
        <v>#N/A</v>
      </c>
      <c r="N131" s="62" t="str">
        <f t="shared" ref="N131:N194" si="33">IF($G131=("Fall (pre/post emerge)"),"Triplet SF (3-Way) 228-312",IF($G131=("Spring Preemerge (Jan)"),"Triplet SF (3-Way) 228-312",IF($G131=("Spring Preemerge (Apr)"),"Triplet SF (3-Way) 228-312","")))</f>
        <v>Triplet SF (3-Way) 228-312</v>
      </c>
      <c r="O131" s="63" t="str">
        <f>VLOOKUP($N131,Herbicide_Data!$A$1:$L$61,9)</f>
        <v>2,4-D, dimethylamine salt; Dicamba, dimethylamine salt;Mecoprop-p (MCPP-p), dimethylamine salt</v>
      </c>
      <c r="P131" s="62">
        <f>VLOOKUP($N131,Herbicide_Data!$A$1:$P$61,13)</f>
        <v>24</v>
      </c>
      <c r="Q131" s="16">
        <f t="shared" si="28"/>
        <v>2.5730027548209367</v>
      </c>
      <c r="R131" s="62" t="str">
        <f t="shared" ref="R131:R194" si="34">IF($G131=("Fall (pre/post emerge)"),"Resolute 4Fl (100-1139)",IF($G131=("Spring Preemerge (Jan)"),"Resolute 4Fl (100-1139)",IF($G131=("Spring Preemerge (Apr)"),"Certinty Turf 59639-226","")))</f>
        <v>Certinty Turf 59639-226</v>
      </c>
      <c r="S131" s="63" t="str">
        <f>VLOOKUP($R131,Herbicide_Data!$A$1:$L$61,9)</f>
        <v>Sulfosulfuron</v>
      </c>
      <c r="T131" s="62">
        <f>VLOOKUP($R131,Herbicide_Data!$A$1:$Q$61,13)</f>
        <v>0</v>
      </c>
      <c r="U131" s="16">
        <f t="shared" si="29"/>
        <v>0</v>
      </c>
      <c r="V131" s="62" t="b">
        <f t="shared" ref="V131:V194" si="35">IF($G131 = ("Preemerge"),"MSM Turf 228-373")</f>
        <v>0</v>
      </c>
      <c r="W131" s="63" t="e">
        <f>VLOOKUP($V131,Herbicide_Data!$A$1:$L$17,9)</f>
        <v>#N/A</v>
      </c>
      <c r="X131" s="62" t="e">
        <f>VLOOKUP($V131,Herbicide_Data!$A$1:$L$17,12)</f>
        <v>#N/A</v>
      </c>
      <c r="Y131" s="16" t="e">
        <f t="shared" si="30"/>
        <v>#N/A</v>
      </c>
      <c r="Z131" s="15"/>
      <c r="AA131" s="13"/>
      <c r="AB131" s="17"/>
      <c r="AC131" s="3"/>
      <c r="AD131" s="10"/>
      <c r="AE131" s="3"/>
      <c r="AF131" s="10"/>
      <c r="AG131" s="15"/>
      <c r="AH131" s="62" t="str">
        <f t="shared" si="24"/>
        <v>Surfactant</v>
      </c>
      <c r="AI131" s="62">
        <f>VLOOKUP($AH131,Herbicide_Data!$A$1:$Q$61,13)</f>
        <v>12.8</v>
      </c>
      <c r="AJ131" s="16">
        <f t="shared" si="31"/>
        <v>1.3722681359044997</v>
      </c>
      <c r="AK131" s="3"/>
      <c r="AL131" s="3"/>
      <c r="AM131" s="3"/>
      <c r="AN131" s="3"/>
      <c r="AO131" s="3"/>
      <c r="AP131" s="3"/>
      <c r="AQ131" s="18"/>
      <c r="AR131" s="19"/>
      <c r="AS131" s="19"/>
      <c r="AT131" s="20"/>
      <c r="AU131" s="20"/>
      <c r="AV131" s="21"/>
      <c r="AW131" s="22"/>
      <c r="AX131" s="19"/>
      <c r="AY131" s="19"/>
      <c r="AZ131" s="19"/>
      <c r="BA131" s="23"/>
      <c r="BB131" s="19"/>
      <c r="BC131" s="19"/>
      <c r="BD131" s="19"/>
    </row>
    <row r="132" spans="1:56" ht="72">
      <c r="A132" s="13" t="s">
        <v>572</v>
      </c>
      <c r="B132" s="11">
        <v>46159</v>
      </c>
      <c r="C132" s="12">
        <v>0.60416666666666663</v>
      </c>
      <c r="D132" s="12">
        <f t="shared" si="26"/>
        <v>0.62499996666666657</v>
      </c>
      <c r="E132" s="10" t="s">
        <v>85</v>
      </c>
      <c r="F132" s="10">
        <f>IFERROR(VLOOKUP(E132,Data!A$2:B$5,2,TRUE), "")</f>
        <v>48160</v>
      </c>
      <c r="G132" s="3" t="s">
        <v>582</v>
      </c>
      <c r="H132" s="13">
        <f>IFERROR(VLOOKUP(A132,Customer_Data!$A$1:$P$114,8,TRUE),"")</f>
        <v>4150</v>
      </c>
      <c r="I132" s="13"/>
      <c r="J132" s="3" t="str">
        <f t="shared" si="32"/>
        <v/>
      </c>
      <c r="K132" s="62" t="e">
        <f>(VLOOKUP($J132,Herbicide_Data!$A$1:$L$61,9,TRUE))</f>
        <v>#N/A</v>
      </c>
      <c r="L132" s="62" t="e">
        <f>VLOOKUP($J132,Herbicide_Data!$A$1:$L$61,12,TRUE)</f>
        <v>#N/A</v>
      </c>
      <c r="M132" s="16" t="e">
        <f t="shared" si="27"/>
        <v>#N/A</v>
      </c>
      <c r="N132" s="62" t="str">
        <f t="shared" si="33"/>
        <v>Triplet SF (3-Way) 228-312</v>
      </c>
      <c r="O132" s="63" t="str">
        <f>VLOOKUP($N132,Herbicide_Data!$A$1:$L$61,9)</f>
        <v>2,4-D, dimethylamine salt; Dicamba, dimethylamine salt;Mecoprop-p (MCPP-p), dimethylamine salt</v>
      </c>
      <c r="P132" s="62">
        <f>VLOOKUP($N132,Herbicide_Data!$A$1:$P$61,13)</f>
        <v>24</v>
      </c>
      <c r="Q132" s="16">
        <f t="shared" si="28"/>
        <v>2.2865013774104685</v>
      </c>
      <c r="R132" s="62" t="str">
        <f t="shared" si="34"/>
        <v>Certinty Turf 59639-226</v>
      </c>
      <c r="S132" s="63" t="str">
        <f>VLOOKUP($R132,Herbicide_Data!$A$1:$L$61,9)</f>
        <v>Sulfosulfuron</v>
      </c>
      <c r="T132" s="62">
        <f>VLOOKUP($R132,Herbicide_Data!$A$1:$Q$61,13)</f>
        <v>0</v>
      </c>
      <c r="U132" s="16">
        <f t="shared" si="29"/>
        <v>0</v>
      </c>
      <c r="V132" s="62" t="b">
        <f t="shared" si="35"/>
        <v>0</v>
      </c>
      <c r="W132" s="63" t="e">
        <f>VLOOKUP($V132,Herbicide_Data!$A$1:$L$17,9)</f>
        <v>#N/A</v>
      </c>
      <c r="X132" s="62" t="e">
        <f>VLOOKUP($V132,Herbicide_Data!$A$1:$L$17,12)</f>
        <v>#N/A</v>
      </c>
      <c r="Y132" s="16" t="e">
        <f t="shared" si="30"/>
        <v>#N/A</v>
      </c>
      <c r="Z132" s="15"/>
      <c r="AA132" s="13"/>
      <c r="AB132" s="17"/>
      <c r="AC132" s="3"/>
      <c r="AD132" s="10"/>
      <c r="AE132" s="3"/>
      <c r="AF132" s="10"/>
      <c r="AG132" s="15"/>
      <c r="AH132" s="62" t="str">
        <f t="shared" si="24"/>
        <v>Surfactant</v>
      </c>
      <c r="AI132" s="62">
        <f>VLOOKUP($AH132,Herbicide_Data!$A$1:$Q$61,13)</f>
        <v>12.8</v>
      </c>
      <c r="AJ132" s="16">
        <f t="shared" si="31"/>
        <v>1.2194674012855833</v>
      </c>
      <c r="AK132" s="3"/>
      <c r="AL132" s="3"/>
      <c r="AM132" s="3"/>
      <c r="AN132" s="3"/>
      <c r="AO132" s="3"/>
      <c r="AP132" s="3"/>
      <c r="AQ132" s="18"/>
      <c r="AR132" s="19"/>
      <c r="AS132" s="19"/>
      <c r="AT132" s="20"/>
      <c r="AU132" s="20"/>
      <c r="AV132" s="21"/>
      <c r="AW132" s="22"/>
      <c r="AX132" s="19"/>
      <c r="AY132" s="19"/>
      <c r="AZ132" s="19"/>
      <c r="BA132" s="23"/>
      <c r="BB132" s="19"/>
      <c r="BC132" s="19"/>
      <c r="BD132" s="19"/>
    </row>
    <row r="133" spans="1:56" ht="72">
      <c r="A133" s="13" t="s">
        <v>576</v>
      </c>
      <c r="B133" s="11">
        <v>46159</v>
      </c>
      <c r="C133" s="12">
        <v>0.625</v>
      </c>
      <c r="D133" s="12">
        <f t="shared" si="26"/>
        <v>0.64583330000000005</v>
      </c>
      <c r="E133" s="10" t="s">
        <v>85</v>
      </c>
      <c r="F133" s="10">
        <f>IFERROR(VLOOKUP(E133,Data!A$2:B$5,2,TRUE), "")</f>
        <v>48160</v>
      </c>
      <c r="G133" s="3" t="s">
        <v>582</v>
      </c>
      <c r="H133" s="13">
        <f>IFERROR(VLOOKUP(A133,Customer_Data!$A$1:$P$114,8,TRUE),"")</f>
        <v>3875</v>
      </c>
      <c r="I133" s="13"/>
      <c r="J133" s="3" t="str">
        <f t="shared" si="32"/>
        <v/>
      </c>
      <c r="K133" s="62" t="e">
        <f>(VLOOKUP($J133,Herbicide_Data!$A$1:$L$61,9,TRUE))</f>
        <v>#N/A</v>
      </c>
      <c r="L133" s="62" t="e">
        <f>VLOOKUP($J133,Herbicide_Data!$A$1:$L$61,12,TRUE)</f>
        <v>#N/A</v>
      </c>
      <c r="M133" s="16" t="e">
        <f t="shared" si="27"/>
        <v>#N/A</v>
      </c>
      <c r="N133" s="62" t="str">
        <f t="shared" si="33"/>
        <v>Triplet SF (3-Way) 228-312</v>
      </c>
      <c r="O133" s="63" t="str">
        <f>VLOOKUP($N133,Herbicide_Data!$A$1:$L$61,9)</f>
        <v>2,4-D, dimethylamine salt; Dicamba, dimethylamine salt;Mecoprop-p (MCPP-p), dimethylamine salt</v>
      </c>
      <c r="P133" s="62">
        <f>VLOOKUP($N133,Herbicide_Data!$A$1:$P$61,13)</f>
        <v>24</v>
      </c>
      <c r="Q133" s="16">
        <f t="shared" si="28"/>
        <v>2.1349862258953167</v>
      </c>
      <c r="R133" s="62" t="str">
        <f t="shared" si="34"/>
        <v>Certinty Turf 59639-226</v>
      </c>
      <c r="S133" s="63" t="str">
        <f>VLOOKUP($R133,Herbicide_Data!$A$1:$L$61,9)</f>
        <v>Sulfosulfuron</v>
      </c>
      <c r="T133" s="62">
        <f>VLOOKUP($R133,Herbicide_Data!$A$1:$Q$61,13)</f>
        <v>0</v>
      </c>
      <c r="U133" s="16">
        <f t="shared" si="29"/>
        <v>0</v>
      </c>
      <c r="V133" s="62" t="b">
        <f t="shared" si="35"/>
        <v>0</v>
      </c>
      <c r="W133" s="63" t="e">
        <f>VLOOKUP($V133,Herbicide_Data!$A$1:$L$17,9)</f>
        <v>#N/A</v>
      </c>
      <c r="X133" s="62" t="e">
        <f>VLOOKUP($V133,Herbicide_Data!$A$1:$L$17,12)</f>
        <v>#N/A</v>
      </c>
      <c r="Y133" s="16" t="e">
        <f t="shared" si="30"/>
        <v>#N/A</v>
      </c>
      <c r="Z133" s="15"/>
      <c r="AA133" s="13"/>
      <c r="AB133" s="17"/>
      <c r="AC133" s="3"/>
      <c r="AD133" s="10"/>
      <c r="AE133" s="3"/>
      <c r="AF133" s="10"/>
      <c r="AG133" s="15"/>
      <c r="AH133" s="62" t="str">
        <f t="shared" si="24"/>
        <v>Surfactant</v>
      </c>
      <c r="AI133" s="62">
        <f>VLOOKUP($AH133,Herbicide_Data!$A$1:$Q$61,13)</f>
        <v>12.8</v>
      </c>
      <c r="AJ133" s="16">
        <f t="shared" si="31"/>
        <v>1.1386593204775024</v>
      </c>
      <c r="AK133" s="3"/>
      <c r="AL133" s="3"/>
      <c r="AM133" s="3"/>
      <c r="AN133" s="3"/>
      <c r="AO133" s="3"/>
      <c r="AP133" s="3"/>
      <c r="AQ133" s="18"/>
      <c r="AR133" s="19"/>
      <c r="AS133" s="19"/>
      <c r="AT133" s="20"/>
      <c r="AU133" s="20"/>
      <c r="AV133" s="21"/>
      <c r="AW133" s="22"/>
      <c r="AX133" s="19"/>
      <c r="AY133" s="19"/>
      <c r="AZ133" s="19"/>
      <c r="BA133" s="23"/>
      <c r="BB133" s="19"/>
      <c r="BC133" s="19"/>
      <c r="BD133" s="19"/>
    </row>
    <row r="134" spans="1:56" ht="72">
      <c r="A134" s="13" t="s">
        <v>578</v>
      </c>
      <c r="B134" s="11">
        <v>46158</v>
      </c>
      <c r="C134" s="12">
        <v>0.5625</v>
      </c>
      <c r="D134" s="12">
        <f t="shared" si="26"/>
        <v>0.58333330000000005</v>
      </c>
      <c r="E134" s="10" t="s">
        <v>85</v>
      </c>
      <c r="F134" s="10">
        <f>IFERROR(VLOOKUP(E134,Data!A$2:B$5,2,TRUE), "")</f>
        <v>48160</v>
      </c>
      <c r="G134" s="3" t="s">
        <v>582</v>
      </c>
      <c r="H134" s="13">
        <f>IFERROR(VLOOKUP(A134,Customer_Data!$A$1:$P$114,8,TRUE),"")</f>
        <v>13500</v>
      </c>
      <c r="I134" s="13"/>
      <c r="J134" s="3" t="str">
        <f t="shared" si="32"/>
        <v/>
      </c>
      <c r="K134" s="62" t="e">
        <f>(VLOOKUP($J134,Herbicide_Data!$A$1:$L$61,9,TRUE))</f>
        <v>#N/A</v>
      </c>
      <c r="L134" s="62" t="e">
        <f>VLOOKUP($J134,Herbicide_Data!$A$1:$L$61,12,TRUE)</f>
        <v>#N/A</v>
      </c>
      <c r="M134" s="16" t="e">
        <f t="shared" si="27"/>
        <v>#N/A</v>
      </c>
      <c r="N134" s="62" t="str">
        <f t="shared" si="33"/>
        <v>Triplet SF (3-Way) 228-312</v>
      </c>
      <c r="O134" s="63" t="str">
        <f>VLOOKUP($N134,Herbicide_Data!$A$1:$L$61,9)</f>
        <v>2,4-D, dimethylamine salt; Dicamba, dimethylamine salt;Mecoprop-p (MCPP-p), dimethylamine salt</v>
      </c>
      <c r="P134" s="62">
        <f>VLOOKUP($N134,Herbicide_Data!$A$1:$P$61,13)</f>
        <v>24</v>
      </c>
      <c r="Q134" s="16">
        <f t="shared" si="28"/>
        <v>7.4380165289256208</v>
      </c>
      <c r="R134" s="62" t="str">
        <f t="shared" si="34"/>
        <v>Certinty Turf 59639-226</v>
      </c>
      <c r="S134" s="63" t="str">
        <f>VLOOKUP($R134,Herbicide_Data!$A$1:$L$61,9)</f>
        <v>Sulfosulfuron</v>
      </c>
      <c r="T134" s="62">
        <f>VLOOKUP($R134,Herbicide_Data!$A$1:$Q$61,13)</f>
        <v>0</v>
      </c>
      <c r="U134" s="16">
        <f t="shared" si="29"/>
        <v>0</v>
      </c>
      <c r="V134" s="62" t="b">
        <f t="shared" si="35"/>
        <v>0</v>
      </c>
      <c r="W134" s="63" t="e">
        <f>VLOOKUP($V134,Herbicide_Data!$A$1:$L$17,9)</f>
        <v>#N/A</v>
      </c>
      <c r="X134" s="62" t="e">
        <f>VLOOKUP($V134,Herbicide_Data!$A$1:$L$17,12)</f>
        <v>#N/A</v>
      </c>
      <c r="Y134" s="16" t="e">
        <f t="shared" si="30"/>
        <v>#N/A</v>
      </c>
      <c r="Z134" s="15"/>
      <c r="AA134" s="13"/>
      <c r="AB134" s="17"/>
      <c r="AC134" s="3"/>
      <c r="AD134" s="10"/>
      <c r="AE134" s="3"/>
      <c r="AF134" s="10"/>
      <c r="AG134" s="15"/>
      <c r="AH134" s="62" t="str">
        <f t="shared" si="24"/>
        <v>Surfactant</v>
      </c>
      <c r="AI134" s="62">
        <f>VLOOKUP($AH134,Herbicide_Data!$A$1:$Q$61,13)</f>
        <v>12.8</v>
      </c>
      <c r="AJ134" s="16">
        <f t="shared" si="31"/>
        <v>3.9669421487603311</v>
      </c>
      <c r="AK134" s="3"/>
      <c r="AL134" s="3"/>
      <c r="AM134" s="3"/>
      <c r="AN134" s="3"/>
      <c r="AO134" s="3"/>
      <c r="AP134" s="3"/>
      <c r="AQ134" s="18"/>
      <c r="AR134" s="19"/>
      <c r="AS134" s="19"/>
      <c r="AT134" s="20"/>
      <c r="AU134" s="20"/>
      <c r="AV134" s="21"/>
      <c r="AW134" s="22"/>
      <c r="AX134" s="19"/>
      <c r="AY134" s="19"/>
      <c r="AZ134" s="19"/>
      <c r="BA134" s="23"/>
      <c r="BB134" s="19"/>
      <c r="BC134" s="19"/>
      <c r="BD134" s="19"/>
    </row>
    <row r="135" spans="1:56" ht="72">
      <c r="A135" s="13" t="s">
        <v>586</v>
      </c>
      <c r="B135" s="11">
        <v>46159</v>
      </c>
      <c r="C135" s="12">
        <v>0.64583333333333337</v>
      </c>
      <c r="D135" s="12">
        <f t="shared" si="26"/>
        <v>0.66666663333333331</v>
      </c>
      <c r="E135" s="10" t="s">
        <v>85</v>
      </c>
      <c r="F135" s="10">
        <f>IFERROR(VLOOKUP(E135,Data!A$2:B$5,2,TRUE), "")</f>
        <v>48160</v>
      </c>
      <c r="G135" s="3" t="s">
        <v>582</v>
      </c>
      <c r="H135" s="13">
        <f>IFERROR(VLOOKUP(A135,Customer_Data!$A$1:$P$114,8,TRUE),"")</f>
        <v>7000</v>
      </c>
      <c r="I135" s="13"/>
      <c r="J135" s="3" t="str">
        <f t="shared" si="32"/>
        <v/>
      </c>
      <c r="K135" s="62" t="e">
        <f>(VLOOKUP($J135,Herbicide_Data!$A$1:$L$61,9,TRUE))</f>
        <v>#N/A</v>
      </c>
      <c r="L135" s="62" t="e">
        <f>VLOOKUP($J135,Herbicide_Data!$A$1:$L$61,12,TRUE)</f>
        <v>#N/A</v>
      </c>
      <c r="M135" s="16" t="e">
        <f t="shared" si="27"/>
        <v>#N/A</v>
      </c>
      <c r="N135" s="62" t="str">
        <f t="shared" si="33"/>
        <v>Triplet SF (3-Way) 228-312</v>
      </c>
      <c r="O135" s="63" t="str">
        <f>VLOOKUP($N135,Herbicide_Data!$A$1:$L$61,9)</f>
        <v>2,4-D, dimethylamine salt; Dicamba, dimethylamine salt;Mecoprop-p (MCPP-p), dimethylamine salt</v>
      </c>
      <c r="P135" s="62">
        <f>VLOOKUP($N135,Herbicide_Data!$A$1:$P$61,13)</f>
        <v>24</v>
      </c>
      <c r="Q135" s="16">
        <f t="shared" si="28"/>
        <v>3.8567493112947657</v>
      </c>
      <c r="R135" s="62" t="str">
        <f t="shared" si="34"/>
        <v>Certinty Turf 59639-226</v>
      </c>
      <c r="S135" s="63" t="str">
        <f>VLOOKUP($R135,Herbicide_Data!$A$1:$L$61,9)</f>
        <v>Sulfosulfuron</v>
      </c>
      <c r="T135" s="62">
        <f>VLOOKUP($R135,Herbicide_Data!$A$1:$Q$61,13)</f>
        <v>0</v>
      </c>
      <c r="U135" s="16">
        <f t="shared" si="29"/>
        <v>0</v>
      </c>
      <c r="V135" s="62" t="b">
        <f t="shared" si="35"/>
        <v>0</v>
      </c>
      <c r="W135" s="63" t="e">
        <f>VLOOKUP($V135,Herbicide_Data!$A$1:$L$17,9)</f>
        <v>#N/A</v>
      </c>
      <c r="X135" s="62" t="e">
        <f>VLOOKUP($V135,Herbicide_Data!$A$1:$L$17,12)</f>
        <v>#N/A</v>
      </c>
      <c r="Y135" s="16" t="e">
        <f t="shared" si="30"/>
        <v>#N/A</v>
      </c>
      <c r="Z135" s="15"/>
      <c r="AA135" s="13"/>
      <c r="AB135" s="17"/>
      <c r="AC135" s="3"/>
      <c r="AD135" s="10"/>
      <c r="AE135" s="3"/>
      <c r="AF135" s="10"/>
      <c r="AG135" s="15"/>
      <c r="AH135" s="62" t="str">
        <f t="shared" si="24"/>
        <v>Surfactant</v>
      </c>
      <c r="AI135" s="62">
        <f>VLOOKUP($AH135,Herbicide_Data!$A$1:$Q$61,13)</f>
        <v>12.8</v>
      </c>
      <c r="AJ135" s="16">
        <f t="shared" si="31"/>
        <v>2.0569329660238753</v>
      </c>
      <c r="AK135" s="3"/>
      <c r="AL135" s="3"/>
      <c r="AM135" s="3"/>
      <c r="AN135" s="3"/>
      <c r="AO135" s="3"/>
      <c r="AP135" s="3"/>
      <c r="AQ135" s="18"/>
      <c r="AR135" s="19"/>
      <c r="AS135" s="19"/>
      <c r="AT135" s="20"/>
      <c r="AU135" s="20"/>
      <c r="AV135" s="21"/>
      <c r="AW135" s="22"/>
      <c r="AX135" s="19"/>
      <c r="AY135" s="19"/>
      <c r="AZ135" s="19"/>
      <c r="BA135" s="23"/>
      <c r="BB135" s="19"/>
      <c r="BC135" s="19"/>
      <c r="BD135" s="19"/>
    </row>
    <row r="136" spans="1:56" ht="72">
      <c r="A136" s="13" t="s">
        <v>588</v>
      </c>
      <c r="B136" s="11">
        <v>46158</v>
      </c>
      <c r="C136" s="12">
        <v>0.58333333333333337</v>
      </c>
      <c r="D136" s="12">
        <f t="shared" si="26"/>
        <v>0.60416663333333331</v>
      </c>
      <c r="E136" s="10" t="s">
        <v>85</v>
      </c>
      <c r="F136" s="10">
        <f>IFERROR(VLOOKUP(E136,Data!A$2:B$5,2,TRUE), "")</f>
        <v>48160</v>
      </c>
      <c r="G136" s="3" t="s">
        <v>582</v>
      </c>
      <c r="H136" s="13">
        <f>IFERROR(VLOOKUP(A136,Customer_Data!$A$1:$P$114,8,TRUE),"")</f>
        <v>9000</v>
      </c>
      <c r="I136" s="13"/>
      <c r="J136" s="3" t="str">
        <f t="shared" si="32"/>
        <v/>
      </c>
      <c r="K136" s="62" t="e">
        <f>(VLOOKUP($J136,Herbicide_Data!$A$1:$L$61,9,TRUE))</f>
        <v>#N/A</v>
      </c>
      <c r="L136" s="62" t="e">
        <f>VLOOKUP($J136,Herbicide_Data!$A$1:$L$61,12,TRUE)</f>
        <v>#N/A</v>
      </c>
      <c r="M136" s="16" t="e">
        <f t="shared" si="27"/>
        <v>#N/A</v>
      </c>
      <c r="N136" s="62" t="str">
        <f t="shared" si="33"/>
        <v>Triplet SF (3-Way) 228-312</v>
      </c>
      <c r="O136" s="63" t="str">
        <f>VLOOKUP($N136,Herbicide_Data!$A$1:$L$61,9)</f>
        <v>2,4-D, dimethylamine salt; Dicamba, dimethylamine salt;Mecoprop-p (MCPP-p), dimethylamine salt</v>
      </c>
      <c r="P136" s="62">
        <f>VLOOKUP($N136,Herbicide_Data!$A$1:$P$61,13)</f>
        <v>24</v>
      </c>
      <c r="Q136" s="16">
        <f t="shared" si="28"/>
        <v>4.9586776859504136</v>
      </c>
      <c r="R136" s="62" t="str">
        <f t="shared" si="34"/>
        <v>Certinty Turf 59639-226</v>
      </c>
      <c r="S136" s="63" t="str">
        <f>VLOOKUP($R136,Herbicide_Data!$A$1:$L$61,9)</f>
        <v>Sulfosulfuron</v>
      </c>
      <c r="T136" s="62">
        <f>VLOOKUP($R136,Herbicide_Data!$A$1:$Q$61,13)</f>
        <v>0</v>
      </c>
      <c r="U136" s="16">
        <f t="shared" si="29"/>
        <v>0</v>
      </c>
      <c r="V136" s="62" t="b">
        <f t="shared" si="35"/>
        <v>0</v>
      </c>
      <c r="W136" s="63" t="e">
        <f>VLOOKUP($V136,Herbicide_Data!$A$1:$L$17,9)</f>
        <v>#N/A</v>
      </c>
      <c r="X136" s="62" t="e">
        <f>VLOOKUP($V136,Herbicide_Data!$A$1:$L$17,12)</f>
        <v>#N/A</v>
      </c>
      <c r="Y136" s="16" t="e">
        <f t="shared" si="30"/>
        <v>#N/A</v>
      </c>
      <c r="Z136" s="15"/>
      <c r="AA136" s="13"/>
      <c r="AB136" s="17"/>
      <c r="AC136" s="3"/>
      <c r="AD136" s="10"/>
      <c r="AE136" s="3"/>
      <c r="AF136" s="10"/>
      <c r="AG136" s="15"/>
      <c r="AH136" s="62" t="str">
        <f t="shared" si="24"/>
        <v>Surfactant</v>
      </c>
      <c r="AI136" s="62">
        <f>VLOOKUP($AH136,Herbicide_Data!$A$1:$Q$61,13)</f>
        <v>12.8</v>
      </c>
      <c r="AJ136" s="16">
        <f t="shared" si="31"/>
        <v>2.6446280991735538</v>
      </c>
      <c r="AK136" s="3"/>
      <c r="AL136" s="3"/>
      <c r="AM136" s="3"/>
      <c r="AN136" s="3"/>
      <c r="AO136" s="3"/>
      <c r="AP136" s="3"/>
      <c r="AQ136" s="18"/>
      <c r="AR136" s="19"/>
      <c r="AS136" s="19"/>
      <c r="AT136" s="20"/>
      <c r="AU136" s="20"/>
      <c r="AV136" s="21"/>
      <c r="AW136" s="22"/>
      <c r="AX136" s="19"/>
      <c r="AY136" s="19"/>
      <c r="AZ136" s="19"/>
      <c r="BA136" s="23"/>
      <c r="BB136" s="19"/>
      <c r="BC136" s="19"/>
      <c r="BD136" s="19"/>
    </row>
    <row r="137" spans="1:56" ht="72">
      <c r="A137" s="13" t="s">
        <v>591</v>
      </c>
      <c r="B137" s="11">
        <v>46159</v>
      </c>
      <c r="C137" s="12">
        <v>0.64583333333333337</v>
      </c>
      <c r="D137" s="12">
        <f t="shared" si="26"/>
        <v>0.66666663333333331</v>
      </c>
      <c r="E137" s="10" t="s">
        <v>85</v>
      </c>
      <c r="F137" s="10">
        <f>IFERROR(VLOOKUP(E137,Data!A$2:B$5,2,TRUE), "")</f>
        <v>48160</v>
      </c>
      <c r="G137" s="3" t="s">
        <v>582</v>
      </c>
      <c r="H137" s="13">
        <f>IFERROR(VLOOKUP(A137,Customer_Data!$A$1:$P$114,8,TRUE),"")</f>
        <v>9000</v>
      </c>
      <c r="I137" s="13"/>
      <c r="J137" s="3" t="str">
        <f t="shared" si="32"/>
        <v/>
      </c>
      <c r="K137" s="62" t="e">
        <f>(VLOOKUP($J137,Herbicide_Data!$A$1:$L$61,9,TRUE))</f>
        <v>#N/A</v>
      </c>
      <c r="L137" s="62" t="e">
        <f>VLOOKUP($J137,Herbicide_Data!$A$1:$L$61,12,TRUE)</f>
        <v>#N/A</v>
      </c>
      <c r="M137" s="16" t="e">
        <f t="shared" si="27"/>
        <v>#N/A</v>
      </c>
      <c r="N137" s="62" t="str">
        <f t="shared" si="33"/>
        <v>Triplet SF (3-Way) 228-312</v>
      </c>
      <c r="O137" s="63" t="str">
        <f>VLOOKUP($N137,Herbicide_Data!$A$1:$L$61,9)</f>
        <v>2,4-D, dimethylamine salt; Dicamba, dimethylamine salt;Mecoprop-p (MCPP-p), dimethylamine salt</v>
      </c>
      <c r="P137" s="62">
        <f>VLOOKUP($N137,Herbicide_Data!$A$1:$P$61,13)</f>
        <v>24</v>
      </c>
      <c r="Q137" s="16">
        <f t="shared" si="28"/>
        <v>4.9586776859504136</v>
      </c>
      <c r="R137" s="62" t="str">
        <f t="shared" si="34"/>
        <v>Certinty Turf 59639-226</v>
      </c>
      <c r="S137" s="63" t="str">
        <f>VLOOKUP($R137,Herbicide_Data!$A$1:$L$61,9)</f>
        <v>Sulfosulfuron</v>
      </c>
      <c r="T137" s="62">
        <f>VLOOKUP($R137,Herbicide_Data!$A$1:$Q$61,13)</f>
        <v>0</v>
      </c>
      <c r="U137" s="16">
        <f t="shared" si="29"/>
        <v>0</v>
      </c>
      <c r="V137" s="62" t="b">
        <f t="shared" si="35"/>
        <v>0</v>
      </c>
      <c r="W137" s="63" t="e">
        <f>VLOOKUP($V137,Herbicide_Data!$A$1:$L$17,9)</f>
        <v>#N/A</v>
      </c>
      <c r="X137" s="62" t="e">
        <f>VLOOKUP($V137,Herbicide_Data!$A$1:$L$17,12)</f>
        <v>#N/A</v>
      </c>
      <c r="Y137" s="16" t="e">
        <f t="shared" si="30"/>
        <v>#N/A</v>
      </c>
      <c r="Z137" s="15"/>
      <c r="AA137" s="13"/>
      <c r="AB137" s="17"/>
      <c r="AC137" s="3"/>
      <c r="AD137" s="10"/>
      <c r="AE137" s="3"/>
      <c r="AF137" s="10"/>
      <c r="AG137" s="15"/>
      <c r="AH137" s="62" t="str">
        <f t="shared" si="24"/>
        <v>Surfactant</v>
      </c>
      <c r="AI137" s="62">
        <f>VLOOKUP($AH137,Herbicide_Data!$A$1:$Q$61,13)</f>
        <v>12.8</v>
      </c>
      <c r="AJ137" s="16">
        <f t="shared" si="31"/>
        <v>2.6446280991735538</v>
      </c>
      <c r="AK137" s="3"/>
      <c r="AL137" s="3"/>
      <c r="AM137" s="3"/>
      <c r="AN137" s="3"/>
      <c r="AO137" s="3"/>
      <c r="AP137" s="3"/>
      <c r="AQ137" s="18"/>
      <c r="AR137" s="19"/>
      <c r="AS137" s="19"/>
      <c r="AT137" s="20"/>
      <c r="AU137" s="20"/>
      <c r="AV137" s="21"/>
      <c r="AW137" s="22"/>
      <c r="AX137" s="19"/>
      <c r="AY137" s="19"/>
      <c r="AZ137" s="19"/>
      <c r="BA137" s="23"/>
      <c r="BB137" s="19"/>
      <c r="BC137" s="19"/>
      <c r="BD137" s="19"/>
    </row>
    <row r="138" spans="1:56" ht="72">
      <c r="A138" s="13" t="s">
        <v>593</v>
      </c>
      <c r="B138" s="11">
        <v>46159</v>
      </c>
      <c r="C138" s="12">
        <v>0.66666666666666663</v>
      </c>
      <c r="D138" s="12">
        <f t="shared" si="26"/>
        <v>0.68749996666666657</v>
      </c>
      <c r="E138" s="10" t="s">
        <v>85</v>
      </c>
      <c r="F138" s="10">
        <f>IFERROR(VLOOKUP(E138,Data!A$2:B$5,2,TRUE), "")</f>
        <v>48160</v>
      </c>
      <c r="G138" s="3" t="s">
        <v>582</v>
      </c>
      <c r="H138" s="13">
        <f>IFERROR(VLOOKUP(A138,Customer_Data!$A$1:$P$114,8,TRUE),"")</f>
        <v>6500</v>
      </c>
      <c r="I138" s="13"/>
      <c r="J138" s="3" t="str">
        <f t="shared" si="32"/>
        <v/>
      </c>
      <c r="K138" s="62" t="e">
        <f>(VLOOKUP($J138,Herbicide_Data!$A$1:$L$61,9,TRUE))</f>
        <v>#N/A</v>
      </c>
      <c r="L138" s="62" t="e">
        <f>VLOOKUP($J138,Herbicide_Data!$A$1:$L$61,12,TRUE)</f>
        <v>#N/A</v>
      </c>
      <c r="M138" s="16" t="e">
        <f t="shared" si="27"/>
        <v>#N/A</v>
      </c>
      <c r="N138" s="62" t="str">
        <f t="shared" si="33"/>
        <v>Triplet SF (3-Way) 228-312</v>
      </c>
      <c r="O138" s="63" t="str">
        <f>VLOOKUP($N138,Herbicide_Data!$A$1:$L$61,9)</f>
        <v>2,4-D, dimethylamine salt; Dicamba, dimethylamine salt;Mecoprop-p (MCPP-p), dimethylamine salt</v>
      </c>
      <c r="P138" s="62">
        <f>VLOOKUP($N138,Herbicide_Data!$A$1:$P$61,13)</f>
        <v>24</v>
      </c>
      <c r="Q138" s="16">
        <f t="shared" si="28"/>
        <v>3.5812672176308542</v>
      </c>
      <c r="R138" s="62" t="str">
        <f t="shared" si="34"/>
        <v>Certinty Turf 59639-226</v>
      </c>
      <c r="S138" s="63" t="str">
        <f>VLOOKUP($R138,Herbicide_Data!$A$1:$L$61,9)</f>
        <v>Sulfosulfuron</v>
      </c>
      <c r="T138" s="62">
        <f>VLOOKUP($R138,Herbicide_Data!$A$1:$Q$61,13)</f>
        <v>0</v>
      </c>
      <c r="U138" s="16">
        <f t="shared" si="29"/>
        <v>0</v>
      </c>
      <c r="V138" s="62" t="b">
        <f t="shared" si="35"/>
        <v>0</v>
      </c>
      <c r="W138" s="63" t="e">
        <f>VLOOKUP($V138,Herbicide_Data!$A$1:$L$17,9)</f>
        <v>#N/A</v>
      </c>
      <c r="X138" s="62" t="e">
        <f>VLOOKUP($V138,Herbicide_Data!$A$1:$L$17,12)</f>
        <v>#N/A</v>
      </c>
      <c r="Y138" s="16" t="e">
        <f t="shared" si="30"/>
        <v>#N/A</v>
      </c>
      <c r="Z138" s="15"/>
      <c r="AA138" s="13"/>
      <c r="AB138" s="17"/>
      <c r="AC138" s="3"/>
      <c r="AD138" s="10"/>
      <c r="AE138" s="3"/>
      <c r="AF138" s="10"/>
      <c r="AG138" s="15"/>
      <c r="AH138" s="62" t="str">
        <f t="shared" si="24"/>
        <v>Surfactant</v>
      </c>
      <c r="AI138" s="62">
        <f>VLOOKUP($AH138,Herbicide_Data!$A$1:$Q$61,13)</f>
        <v>12.8</v>
      </c>
      <c r="AJ138" s="16">
        <f t="shared" si="31"/>
        <v>1.9100091827364556</v>
      </c>
      <c r="AK138" s="3"/>
      <c r="AL138" s="3"/>
      <c r="AM138" s="3"/>
      <c r="AN138" s="3"/>
      <c r="AO138" s="3"/>
      <c r="AP138" s="3"/>
      <c r="AQ138" s="18"/>
      <c r="AR138" s="19"/>
      <c r="AS138" s="19"/>
      <c r="AT138" s="20"/>
      <c r="AU138" s="20"/>
      <c r="AV138" s="21"/>
      <c r="AW138" s="22"/>
      <c r="AX138" s="19"/>
      <c r="AY138" s="19"/>
      <c r="AZ138" s="19"/>
      <c r="BA138" s="23"/>
      <c r="BB138" s="19"/>
      <c r="BC138" s="19"/>
      <c r="BD138" s="19"/>
    </row>
    <row r="139" spans="1:56" ht="72">
      <c r="A139" s="13" t="s">
        <v>595</v>
      </c>
      <c r="B139" s="11">
        <v>46158</v>
      </c>
      <c r="C139" s="12">
        <v>0.60416666666666663</v>
      </c>
      <c r="D139" s="12">
        <f t="shared" si="26"/>
        <v>0.62499996666666657</v>
      </c>
      <c r="E139" s="10" t="s">
        <v>85</v>
      </c>
      <c r="F139" s="10">
        <f>IFERROR(VLOOKUP(E139,Data!A$2:B$5,2,TRUE), "")</f>
        <v>48160</v>
      </c>
      <c r="G139" s="3" t="s">
        <v>582</v>
      </c>
      <c r="H139" s="13">
        <f>IFERROR(VLOOKUP(A139,Customer_Data!$A$1:$P$114,8,TRUE),"")</f>
        <v>5900</v>
      </c>
      <c r="I139" s="13"/>
      <c r="J139" s="3" t="str">
        <f t="shared" si="32"/>
        <v/>
      </c>
      <c r="K139" s="62" t="e">
        <f>(VLOOKUP($J139,Herbicide_Data!$A$1:$L$61,9,TRUE))</f>
        <v>#N/A</v>
      </c>
      <c r="L139" s="62" t="e">
        <f>VLOOKUP($J139,Herbicide_Data!$A$1:$L$61,12,TRUE)</f>
        <v>#N/A</v>
      </c>
      <c r="M139" s="16" t="e">
        <f t="shared" si="27"/>
        <v>#N/A</v>
      </c>
      <c r="N139" s="62" t="str">
        <f t="shared" si="33"/>
        <v>Triplet SF (3-Way) 228-312</v>
      </c>
      <c r="O139" s="63" t="str">
        <f>VLOOKUP($N139,Herbicide_Data!$A$1:$L$61,9)</f>
        <v>2,4-D, dimethylamine salt; Dicamba, dimethylamine salt;Mecoprop-p (MCPP-p), dimethylamine salt</v>
      </c>
      <c r="P139" s="62">
        <f>VLOOKUP($N139,Herbicide_Data!$A$1:$P$61,13)</f>
        <v>24</v>
      </c>
      <c r="Q139" s="16">
        <f t="shared" si="28"/>
        <v>3.2506887052341598</v>
      </c>
      <c r="R139" s="62" t="str">
        <f t="shared" si="34"/>
        <v>Certinty Turf 59639-226</v>
      </c>
      <c r="S139" s="63" t="str">
        <f>VLOOKUP($R139,Herbicide_Data!$A$1:$L$61,9)</f>
        <v>Sulfosulfuron</v>
      </c>
      <c r="T139" s="62">
        <f>VLOOKUP($R139,Herbicide_Data!$A$1:$Q$61,13)</f>
        <v>0</v>
      </c>
      <c r="U139" s="16">
        <f t="shared" si="29"/>
        <v>0</v>
      </c>
      <c r="V139" s="62" t="b">
        <f t="shared" si="35"/>
        <v>0</v>
      </c>
      <c r="W139" s="63" t="e">
        <f>VLOOKUP($V139,Herbicide_Data!$A$1:$L$17,9)</f>
        <v>#N/A</v>
      </c>
      <c r="X139" s="62" t="e">
        <f>VLOOKUP($V139,Herbicide_Data!$A$1:$L$17,12)</f>
        <v>#N/A</v>
      </c>
      <c r="Y139" s="16" t="e">
        <f t="shared" si="30"/>
        <v>#N/A</v>
      </c>
      <c r="Z139" s="15"/>
      <c r="AA139" s="13"/>
      <c r="AB139" s="17"/>
      <c r="AC139" s="3"/>
      <c r="AD139" s="10"/>
      <c r="AE139" s="3"/>
      <c r="AF139" s="10"/>
      <c r="AG139" s="15"/>
      <c r="AH139" s="62" t="str">
        <f t="shared" si="24"/>
        <v>Surfactant</v>
      </c>
      <c r="AI139" s="62">
        <f>VLOOKUP($AH139,Herbicide_Data!$A$1:$Q$61,13)</f>
        <v>12.8</v>
      </c>
      <c r="AJ139" s="16">
        <f t="shared" si="31"/>
        <v>1.733700642791552</v>
      </c>
      <c r="AK139" s="3"/>
      <c r="AL139" s="3"/>
      <c r="AM139" s="3"/>
      <c r="AN139" s="3"/>
      <c r="AO139" s="3"/>
      <c r="AP139" s="3"/>
      <c r="AQ139" s="18"/>
      <c r="AR139" s="19"/>
      <c r="AS139" s="19"/>
      <c r="AT139" s="20"/>
      <c r="AU139" s="20"/>
      <c r="AV139" s="21"/>
      <c r="AW139" s="22"/>
      <c r="AX139" s="19"/>
      <c r="AY139" s="19"/>
      <c r="AZ139" s="19"/>
      <c r="BA139" s="23"/>
      <c r="BB139" s="19"/>
      <c r="BC139" s="19"/>
      <c r="BD139" s="19"/>
    </row>
    <row r="140" spans="1:56" ht="72">
      <c r="A140" s="13" t="s">
        <v>618</v>
      </c>
      <c r="B140" s="11">
        <v>46158</v>
      </c>
      <c r="C140" s="12">
        <v>0.625</v>
      </c>
      <c r="D140" s="12">
        <f t="shared" si="26"/>
        <v>0.64583330000000005</v>
      </c>
      <c r="E140" s="10" t="s">
        <v>85</v>
      </c>
      <c r="F140" s="10">
        <f>IFERROR(VLOOKUP(E140,Data!A$2:B$5,2,TRUE), "")</f>
        <v>48160</v>
      </c>
      <c r="G140" s="3" t="s">
        <v>582</v>
      </c>
      <c r="H140" s="13">
        <f>IFERROR(VLOOKUP(A140,Customer_Data!$A$1:$P$114,8,TRUE),"")</f>
        <v>11000</v>
      </c>
      <c r="I140" s="13"/>
      <c r="J140" s="3" t="str">
        <f t="shared" si="32"/>
        <v/>
      </c>
      <c r="K140" s="62" t="e">
        <f>(VLOOKUP($J140,Herbicide_Data!$A$1:$L$61,9,TRUE))</f>
        <v>#N/A</v>
      </c>
      <c r="L140" s="62" t="e">
        <f>VLOOKUP($J140,Herbicide_Data!$A$1:$L$61,12,TRUE)</f>
        <v>#N/A</v>
      </c>
      <c r="M140" s="16" t="e">
        <f t="shared" si="27"/>
        <v>#N/A</v>
      </c>
      <c r="N140" s="62" t="str">
        <f t="shared" si="33"/>
        <v>Triplet SF (3-Way) 228-312</v>
      </c>
      <c r="O140" s="63" t="str">
        <f>VLOOKUP($N140,Herbicide_Data!$A$1:$L$61,9)</f>
        <v>2,4-D, dimethylamine salt; Dicamba, dimethylamine salt;Mecoprop-p (MCPP-p), dimethylamine salt</v>
      </c>
      <c r="P140" s="62">
        <f>VLOOKUP($N140,Herbicide_Data!$A$1:$P$61,13)</f>
        <v>24</v>
      </c>
      <c r="Q140" s="16">
        <f t="shared" si="28"/>
        <v>6.0606060606060606</v>
      </c>
      <c r="R140" s="62" t="str">
        <f t="shared" si="34"/>
        <v>Certinty Turf 59639-226</v>
      </c>
      <c r="S140" s="63" t="str">
        <f>VLOOKUP($R140,Herbicide_Data!$A$1:$L$61,9)</f>
        <v>Sulfosulfuron</v>
      </c>
      <c r="T140" s="62">
        <f>VLOOKUP($R140,Herbicide_Data!$A$1:$Q$61,13)</f>
        <v>0</v>
      </c>
      <c r="U140" s="16">
        <f t="shared" si="29"/>
        <v>0</v>
      </c>
      <c r="V140" s="62" t="b">
        <f t="shared" si="35"/>
        <v>0</v>
      </c>
      <c r="W140" s="63" t="e">
        <f>VLOOKUP($V140,Herbicide_Data!$A$1:$L$17,9)</f>
        <v>#N/A</v>
      </c>
      <c r="X140" s="62" t="e">
        <f>VLOOKUP($V140,Herbicide_Data!$A$1:$L$17,12)</f>
        <v>#N/A</v>
      </c>
      <c r="Y140" s="16" t="e">
        <f t="shared" si="30"/>
        <v>#N/A</v>
      </c>
      <c r="Z140" s="15"/>
      <c r="AA140" s="13"/>
      <c r="AB140" s="17"/>
      <c r="AC140" s="3"/>
      <c r="AD140" s="10"/>
      <c r="AE140" s="3"/>
      <c r="AF140" s="10"/>
      <c r="AG140" s="15"/>
      <c r="AH140" s="62" t="str">
        <f t="shared" si="24"/>
        <v>Surfactant</v>
      </c>
      <c r="AI140" s="62">
        <f>VLOOKUP($AH140,Herbicide_Data!$A$1:$Q$61,13)</f>
        <v>12.8</v>
      </c>
      <c r="AJ140" s="16">
        <f t="shared" si="31"/>
        <v>3.2323232323232327</v>
      </c>
      <c r="AK140" s="3"/>
      <c r="AL140" s="3"/>
      <c r="AM140" s="3"/>
      <c r="AN140" s="3"/>
      <c r="AO140" s="3"/>
      <c r="AP140" s="3"/>
      <c r="AQ140" s="18"/>
      <c r="AR140" s="19"/>
      <c r="AS140" s="19"/>
      <c r="AT140" s="20"/>
      <c r="AU140" s="20"/>
      <c r="AV140" s="21"/>
      <c r="AW140" s="22"/>
      <c r="AX140" s="19"/>
      <c r="AY140" s="19"/>
      <c r="AZ140" s="19"/>
      <c r="BA140" s="23"/>
      <c r="BB140" s="19"/>
      <c r="BC140" s="19"/>
      <c r="BD140" s="19"/>
    </row>
    <row r="141" spans="1:56" ht="72">
      <c r="A141" s="13" t="s">
        <v>620</v>
      </c>
      <c r="B141" s="11">
        <v>46158</v>
      </c>
      <c r="C141" s="12">
        <v>0.64583333333333337</v>
      </c>
      <c r="D141" s="12">
        <f t="shared" si="26"/>
        <v>0.66666663333333331</v>
      </c>
      <c r="E141" s="10" t="s">
        <v>85</v>
      </c>
      <c r="F141" s="10">
        <f>IFERROR(VLOOKUP(E141,Data!A$2:B$5,2,TRUE), "")</f>
        <v>48160</v>
      </c>
      <c r="G141" s="3" t="s">
        <v>582</v>
      </c>
      <c r="H141" s="13">
        <f>IFERROR(VLOOKUP(A141,Customer_Data!$A$1:$P$114,8,TRUE),"")</f>
        <v>5000</v>
      </c>
      <c r="I141" s="13"/>
      <c r="J141" s="3" t="str">
        <f t="shared" si="32"/>
        <v/>
      </c>
      <c r="K141" s="62" t="e">
        <f>(VLOOKUP($J141,Herbicide_Data!$A$1:$L$61,9,TRUE))</f>
        <v>#N/A</v>
      </c>
      <c r="L141" s="62" t="e">
        <f>VLOOKUP($J141,Herbicide_Data!$A$1:$L$61,12,TRUE)</f>
        <v>#N/A</v>
      </c>
      <c r="M141" s="16" t="e">
        <f t="shared" si="27"/>
        <v>#N/A</v>
      </c>
      <c r="N141" s="62" t="str">
        <f t="shared" si="33"/>
        <v>Triplet SF (3-Way) 228-312</v>
      </c>
      <c r="O141" s="63" t="str">
        <f>VLOOKUP($N141,Herbicide_Data!$A$1:$L$61,9)</f>
        <v>2,4-D, dimethylamine salt; Dicamba, dimethylamine salt;Mecoprop-p (MCPP-p), dimethylamine salt</v>
      </c>
      <c r="P141" s="62">
        <f>VLOOKUP($N141,Herbicide_Data!$A$1:$P$61,13)</f>
        <v>24</v>
      </c>
      <c r="Q141" s="16">
        <f t="shared" si="28"/>
        <v>2.7548209366391183</v>
      </c>
      <c r="R141" s="62" t="str">
        <f t="shared" si="34"/>
        <v>Certinty Turf 59639-226</v>
      </c>
      <c r="S141" s="63" t="str">
        <f>VLOOKUP($R141,Herbicide_Data!$A$1:$L$61,9)</f>
        <v>Sulfosulfuron</v>
      </c>
      <c r="T141" s="62">
        <f>VLOOKUP($R141,Herbicide_Data!$A$1:$Q$61,13)</f>
        <v>0</v>
      </c>
      <c r="U141" s="16">
        <f t="shared" si="29"/>
        <v>0</v>
      </c>
      <c r="V141" s="62" t="b">
        <f t="shared" si="35"/>
        <v>0</v>
      </c>
      <c r="W141" s="63" t="e">
        <f>VLOOKUP($V141,Herbicide_Data!$A$1:$L$17,9)</f>
        <v>#N/A</v>
      </c>
      <c r="X141" s="62" t="e">
        <f>VLOOKUP($V141,Herbicide_Data!$A$1:$L$17,12)</f>
        <v>#N/A</v>
      </c>
      <c r="Y141" s="16" t="e">
        <f t="shared" si="30"/>
        <v>#N/A</v>
      </c>
      <c r="Z141" s="15"/>
      <c r="AA141" s="13"/>
      <c r="AB141" s="17"/>
      <c r="AC141" s="3"/>
      <c r="AD141" s="10"/>
      <c r="AE141" s="3"/>
      <c r="AF141" s="10"/>
      <c r="AG141" s="15"/>
      <c r="AH141" s="62" t="str">
        <f t="shared" si="24"/>
        <v>Surfactant</v>
      </c>
      <c r="AI141" s="62">
        <f>VLOOKUP($AH141,Herbicide_Data!$A$1:$Q$61,13)</f>
        <v>12.8</v>
      </c>
      <c r="AJ141" s="16">
        <f t="shared" si="31"/>
        <v>1.4692378328741966</v>
      </c>
      <c r="AK141" s="3"/>
      <c r="AL141" s="3"/>
      <c r="AM141" s="3"/>
      <c r="AN141" s="3"/>
      <c r="AO141" s="3"/>
      <c r="AP141" s="3"/>
      <c r="AQ141" s="18"/>
      <c r="AR141" s="19"/>
      <c r="AS141" s="19"/>
      <c r="AT141" s="20"/>
      <c r="AU141" s="20"/>
      <c r="AV141" s="21"/>
      <c r="AW141" s="22"/>
      <c r="AX141" s="19"/>
      <c r="AY141" s="19"/>
      <c r="AZ141" s="19"/>
      <c r="BA141" s="23"/>
      <c r="BB141" s="19"/>
      <c r="BC141" s="19"/>
      <c r="BD141" s="19"/>
    </row>
    <row r="142" spans="1:56" ht="72">
      <c r="A142" s="13" t="s">
        <v>641</v>
      </c>
      <c r="B142" s="11">
        <v>46158</v>
      </c>
      <c r="C142" s="12">
        <v>0.66666666666666663</v>
      </c>
      <c r="D142" s="12">
        <f t="shared" si="26"/>
        <v>0.68749996666666657</v>
      </c>
      <c r="E142" s="10" t="s">
        <v>85</v>
      </c>
      <c r="F142" s="10">
        <f>IFERROR(VLOOKUP(E142,Data!A$2:B$5,2,TRUE), "")</f>
        <v>48160</v>
      </c>
      <c r="G142" s="3" t="s">
        <v>582</v>
      </c>
      <c r="H142" s="13">
        <f>IFERROR(VLOOKUP(A142,Customer_Data!$A$1:$P$114,8,TRUE),"")</f>
        <v>0</v>
      </c>
      <c r="I142" s="13"/>
      <c r="J142" s="3" t="str">
        <f t="shared" si="32"/>
        <v/>
      </c>
      <c r="K142" s="62" t="e">
        <f>(VLOOKUP($J142,Herbicide_Data!$A$1:$L$61,9,TRUE))</f>
        <v>#N/A</v>
      </c>
      <c r="L142" s="62" t="e">
        <f>VLOOKUP($J142,Herbicide_Data!$A$1:$L$61,12,TRUE)</f>
        <v>#N/A</v>
      </c>
      <c r="M142" s="16" t="e">
        <f t="shared" si="27"/>
        <v>#N/A</v>
      </c>
      <c r="N142" s="62" t="str">
        <f t="shared" si="33"/>
        <v>Triplet SF (3-Way) 228-312</v>
      </c>
      <c r="O142" s="63" t="str">
        <f>VLOOKUP($N142,Herbicide_Data!$A$1:$L$61,9)</f>
        <v>2,4-D, dimethylamine salt; Dicamba, dimethylamine salt;Mecoprop-p (MCPP-p), dimethylamine salt</v>
      </c>
      <c r="P142" s="62">
        <f>VLOOKUP($N142,Herbicide_Data!$A$1:$P$61,13)</f>
        <v>24</v>
      </c>
      <c r="Q142" s="16">
        <f t="shared" si="28"/>
        <v>0</v>
      </c>
      <c r="R142" s="62" t="str">
        <f t="shared" si="34"/>
        <v>Certinty Turf 59639-226</v>
      </c>
      <c r="S142" s="63" t="str">
        <f>VLOOKUP($R142,Herbicide_Data!$A$1:$L$61,9)</f>
        <v>Sulfosulfuron</v>
      </c>
      <c r="T142" s="62">
        <f>VLOOKUP($R142,Herbicide_Data!$A$1:$Q$61,13)</f>
        <v>0</v>
      </c>
      <c r="U142" s="16">
        <f t="shared" si="29"/>
        <v>0</v>
      </c>
      <c r="V142" s="62" t="b">
        <f t="shared" si="35"/>
        <v>0</v>
      </c>
      <c r="W142" s="63" t="e">
        <f>VLOOKUP($V142,Herbicide_Data!$A$1:$L$17,9)</f>
        <v>#N/A</v>
      </c>
      <c r="X142" s="62" t="e">
        <f>VLOOKUP($V142,Herbicide_Data!$A$1:$L$17,12)</f>
        <v>#N/A</v>
      </c>
      <c r="Y142" s="16" t="e">
        <f t="shared" si="30"/>
        <v>#N/A</v>
      </c>
      <c r="Z142" s="15"/>
      <c r="AA142" s="13"/>
      <c r="AB142" s="17"/>
      <c r="AC142" s="3"/>
      <c r="AD142" s="10"/>
      <c r="AE142" s="3"/>
      <c r="AF142" s="10"/>
      <c r="AG142" s="15"/>
      <c r="AH142" s="62" t="str">
        <f t="shared" si="24"/>
        <v>Surfactant</v>
      </c>
      <c r="AI142" s="62">
        <f>VLOOKUP($AH142,Herbicide_Data!$A$1:$Q$61,13)</f>
        <v>12.8</v>
      </c>
      <c r="AJ142" s="16">
        <f t="shared" si="31"/>
        <v>0</v>
      </c>
      <c r="AK142" s="3"/>
      <c r="AL142" s="3"/>
      <c r="AM142" s="3"/>
      <c r="AN142" s="3"/>
      <c r="AO142" s="3"/>
      <c r="AP142" s="3"/>
      <c r="AQ142" s="18"/>
      <c r="AR142" s="19"/>
      <c r="AS142" s="19"/>
      <c r="AT142" s="20"/>
      <c r="AU142" s="20"/>
      <c r="AV142" s="21"/>
      <c r="AW142" s="22"/>
      <c r="AX142" s="19"/>
      <c r="AY142" s="19"/>
      <c r="AZ142" s="19"/>
      <c r="BA142" s="23"/>
      <c r="BB142" s="19"/>
      <c r="BC142" s="19"/>
      <c r="BD142" s="19"/>
    </row>
    <row r="143" spans="1:56" ht="72">
      <c r="A143" s="13" t="s">
        <v>643</v>
      </c>
      <c r="B143" s="11">
        <v>46158</v>
      </c>
      <c r="C143" s="12">
        <v>0.6875</v>
      </c>
      <c r="D143" s="12">
        <f t="shared" si="26"/>
        <v>0.70833330000000005</v>
      </c>
      <c r="E143" s="10" t="s">
        <v>85</v>
      </c>
      <c r="F143" s="10">
        <f>IFERROR(VLOOKUP(E143,Data!A$2:B$5,2,TRUE), "")</f>
        <v>48160</v>
      </c>
      <c r="G143" s="3" t="s">
        <v>582</v>
      </c>
      <c r="H143" s="13">
        <f>IFERROR(VLOOKUP(A143,Customer_Data!$A$1:$P$114,8,TRUE),"")</f>
        <v>8000</v>
      </c>
      <c r="I143" s="13"/>
      <c r="J143" s="3" t="str">
        <f t="shared" si="32"/>
        <v/>
      </c>
      <c r="K143" s="62" t="e">
        <f>(VLOOKUP($J143,Herbicide_Data!$A$1:$L$61,9,TRUE))</f>
        <v>#N/A</v>
      </c>
      <c r="L143" s="62" t="e">
        <f>VLOOKUP($J143,Herbicide_Data!$A$1:$L$61,12,TRUE)</f>
        <v>#N/A</v>
      </c>
      <c r="M143" s="16" t="e">
        <f t="shared" si="27"/>
        <v>#N/A</v>
      </c>
      <c r="N143" s="62" t="str">
        <f t="shared" si="33"/>
        <v>Triplet SF (3-Way) 228-312</v>
      </c>
      <c r="O143" s="63" t="str">
        <f>VLOOKUP($N143,Herbicide_Data!$A$1:$L$61,9)</f>
        <v>2,4-D, dimethylamine salt; Dicamba, dimethylamine salt;Mecoprop-p (MCPP-p), dimethylamine salt</v>
      </c>
      <c r="P143" s="62">
        <f>VLOOKUP($N143,Herbicide_Data!$A$1:$P$61,13)</f>
        <v>24</v>
      </c>
      <c r="Q143" s="16">
        <f t="shared" si="28"/>
        <v>4.4077134986225897</v>
      </c>
      <c r="R143" s="62" t="str">
        <f t="shared" si="34"/>
        <v>Certinty Turf 59639-226</v>
      </c>
      <c r="S143" s="63" t="str">
        <f>VLOOKUP($R143,Herbicide_Data!$A$1:$L$61,9)</f>
        <v>Sulfosulfuron</v>
      </c>
      <c r="T143" s="62">
        <f>VLOOKUP($R143,Herbicide_Data!$A$1:$Q$61,13)</f>
        <v>0</v>
      </c>
      <c r="U143" s="16">
        <f t="shared" si="29"/>
        <v>0</v>
      </c>
      <c r="V143" s="62" t="b">
        <f t="shared" si="35"/>
        <v>0</v>
      </c>
      <c r="W143" s="63" t="e">
        <f>VLOOKUP($V143,Herbicide_Data!$A$1:$L$17,9)</f>
        <v>#N/A</v>
      </c>
      <c r="X143" s="62" t="e">
        <f>VLOOKUP($V143,Herbicide_Data!$A$1:$L$17,12)</f>
        <v>#N/A</v>
      </c>
      <c r="Y143" s="16" t="e">
        <f t="shared" si="30"/>
        <v>#N/A</v>
      </c>
      <c r="Z143" s="15"/>
      <c r="AA143" s="13"/>
      <c r="AB143" s="17"/>
      <c r="AC143" s="3"/>
      <c r="AD143" s="10"/>
      <c r="AE143" s="3"/>
      <c r="AF143" s="10"/>
      <c r="AG143" s="15"/>
      <c r="AH143" s="62" t="str">
        <f t="shared" si="24"/>
        <v>Surfactant</v>
      </c>
      <c r="AI143" s="62">
        <f>VLOOKUP($AH143,Herbicide_Data!$A$1:$Q$61,13)</f>
        <v>12.8</v>
      </c>
      <c r="AJ143" s="16">
        <f t="shared" si="31"/>
        <v>2.3507805325987143</v>
      </c>
      <c r="AK143" s="3"/>
      <c r="AL143" s="3"/>
      <c r="AM143" s="3"/>
      <c r="AN143" s="3"/>
      <c r="AO143" s="3"/>
      <c r="AP143" s="3"/>
      <c r="AQ143" s="18"/>
      <c r="AR143" s="19"/>
      <c r="AS143" s="19"/>
      <c r="AT143" s="20"/>
      <c r="AU143" s="20"/>
      <c r="AV143" s="21"/>
      <c r="AW143" s="22"/>
      <c r="AX143" s="19"/>
      <c r="AY143" s="19"/>
      <c r="AZ143" s="19"/>
      <c r="BA143" s="23"/>
      <c r="BB143" s="19"/>
      <c r="BC143" s="19"/>
      <c r="BD143" s="19"/>
    </row>
    <row r="144" spans="1:56" ht="72">
      <c r="A144" s="13" t="s">
        <v>649</v>
      </c>
      <c r="B144" s="11">
        <v>46158</v>
      </c>
      <c r="C144" s="12">
        <v>0.375</v>
      </c>
      <c r="D144" s="12">
        <f t="shared" si="26"/>
        <v>0.3958333</v>
      </c>
      <c r="E144" s="10" t="s">
        <v>85</v>
      </c>
      <c r="F144" s="10">
        <f>IFERROR(VLOOKUP(E144,Data!A$2:B$5,2,TRUE), "")</f>
        <v>48160</v>
      </c>
      <c r="G144" s="3" t="s">
        <v>582</v>
      </c>
      <c r="H144" s="13">
        <f>IFERROR(VLOOKUP(A144,Customer_Data!$A$1:$P$114,8,TRUE),"")</f>
        <v>5000</v>
      </c>
      <c r="I144" s="13"/>
      <c r="J144" s="3" t="str">
        <f t="shared" si="32"/>
        <v/>
      </c>
      <c r="K144" s="62" t="e">
        <f>(VLOOKUP($J144,Herbicide_Data!$A$1:$L$61,9,TRUE))</f>
        <v>#N/A</v>
      </c>
      <c r="L144" s="62" t="e">
        <f>VLOOKUP($J144,Herbicide_Data!$A$1:$L$61,12,TRUE)</f>
        <v>#N/A</v>
      </c>
      <c r="M144" s="16" t="e">
        <f t="shared" si="27"/>
        <v>#N/A</v>
      </c>
      <c r="N144" s="62" t="str">
        <f t="shared" si="33"/>
        <v>Triplet SF (3-Way) 228-312</v>
      </c>
      <c r="O144" s="63" t="str">
        <f>VLOOKUP($N144,Herbicide_Data!$A$1:$L$61,9)</f>
        <v>2,4-D, dimethylamine salt; Dicamba, dimethylamine salt;Mecoprop-p (MCPP-p), dimethylamine salt</v>
      </c>
      <c r="P144" s="62">
        <f>VLOOKUP($N144,Herbicide_Data!$A$1:$P$61,13)</f>
        <v>24</v>
      </c>
      <c r="Q144" s="16">
        <f t="shared" si="28"/>
        <v>2.7548209366391183</v>
      </c>
      <c r="R144" s="62" t="str">
        <f t="shared" si="34"/>
        <v>Certinty Turf 59639-226</v>
      </c>
      <c r="S144" s="63" t="str">
        <f>VLOOKUP($R144,Herbicide_Data!$A$1:$L$61,9)</f>
        <v>Sulfosulfuron</v>
      </c>
      <c r="T144" s="62">
        <f>VLOOKUP($R144,Herbicide_Data!$A$1:$Q$61,13)</f>
        <v>0</v>
      </c>
      <c r="U144" s="16">
        <f t="shared" si="29"/>
        <v>0</v>
      </c>
      <c r="V144" s="62" t="b">
        <f t="shared" si="35"/>
        <v>0</v>
      </c>
      <c r="W144" s="63" t="e">
        <f>VLOOKUP($V144,Herbicide_Data!$A$1:$L$17,9)</f>
        <v>#N/A</v>
      </c>
      <c r="X144" s="62" t="e">
        <f>VLOOKUP($V144,Herbicide_Data!$A$1:$L$17,12)</f>
        <v>#N/A</v>
      </c>
      <c r="Y144" s="16" t="e">
        <f t="shared" si="30"/>
        <v>#N/A</v>
      </c>
      <c r="Z144" s="15"/>
      <c r="AA144" s="13"/>
      <c r="AB144" s="17"/>
      <c r="AC144" s="3"/>
      <c r="AD144" s="10"/>
      <c r="AE144" s="3"/>
      <c r="AF144" s="10"/>
      <c r="AG144" s="15"/>
      <c r="AH144" s="62" t="str">
        <f t="shared" si="24"/>
        <v>Surfactant</v>
      </c>
      <c r="AI144" s="62">
        <f>VLOOKUP($AH144,Herbicide_Data!$A$1:$Q$61,13)</f>
        <v>12.8</v>
      </c>
      <c r="AJ144" s="16">
        <f t="shared" si="31"/>
        <v>1.4692378328741966</v>
      </c>
      <c r="AK144" s="3"/>
      <c r="AL144" s="3"/>
      <c r="AM144" s="3"/>
      <c r="AN144" s="3"/>
      <c r="AO144" s="3"/>
      <c r="AP144" s="3"/>
      <c r="AQ144" s="18"/>
      <c r="AR144" s="19"/>
      <c r="AS144" s="19"/>
      <c r="AT144" s="20"/>
      <c r="AU144" s="20"/>
      <c r="AV144" s="21"/>
      <c r="AW144" s="22"/>
      <c r="AX144" s="19"/>
      <c r="AY144" s="19"/>
      <c r="AZ144" s="19"/>
      <c r="BA144" s="23"/>
      <c r="BB144" s="19"/>
      <c r="BC144" s="19"/>
      <c r="BD144" s="19"/>
    </row>
    <row r="145" spans="1:56" ht="72">
      <c r="A145" s="13" t="s">
        <v>650</v>
      </c>
      <c r="B145" s="11">
        <v>46158</v>
      </c>
      <c r="C145" s="12">
        <v>0.39583333333333331</v>
      </c>
      <c r="D145" s="12">
        <f t="shared" si="26"/>
        <v>0.41666663333333331</v>
      </c>
      <c r="E145" s="10" t="s">
        <v>85</v>
      </c>
      <c r="F145" s="10">
        <f>IFERROR(VLOOKUP(E145,Data!A$2:B$5,2,TRUE), "")</f>
        <v>48160</v>
      </c>
      <c r="G145" s="3" t="s">
        <v>582</v>
      </c>
      <c r="H145" s="13">
        <f>IFERROR(VLOOKUP(A145,Customer_Data!$A$1:$P$114,8,TRUE),"")</f>
        <v>6000</v>
      </c>
      <c r="I145" s="13"/>
      <c r="J145" s="3" t="str">
        <f t="shared" si="32"/>
        <v/>
      </c>
      <c r="K145" s="62" t="e">
        <f>(VLOOKUP($J145,Herbicide_Data!$A$1:$L$61,9,TRUE))</f>
        <v>#N/A</v>
      </c>
      <c r="L145" s="62" t="e">
        <f>VLOOKUP($J145,Herbicide_Data!$A$1:$L$61,12,TRUE)</f>
        <v>#N/A</v>
      </c>
      <c r="M145" s="16" t="e">
        <f t="shared" si="27"/>
        <v>#N/A</v>
      </c>
      <c r="N145" s="62" t="str">
        <f t="shared" si="33"/>
        <v>Triplet SF (3-Way) 228-312</v>
      </c>
      <c r="O145" s="63" t="str">
        <f>VLOOKUP($N145,Herbicide_Data!$A$1:$L$61,9)</f>
        <v>2,4-D, dimethylamine salt; Dicamba, dimethylamine salt;Mecoprop-p (MCPP-p), dimethylamine salt</v>
      </c>
      <c r="P145" s="62">
        <f>VLOOKUP($N145,Herbicide_Data!$A$1:$P$61,13)</f>
        <v>24</v>
      </c>
      <c r="Q145" s="16">
        <f t="shared" si="28"/>
        <v>3.3057851239669422</v>
      </c>
      <c r="R145" s="62" t="str">
        <f t="shared" si="34"/>
        <v>Certinty Turf 59639-226</v>
      </c>
      <c r="S145" s="63" t="str">
        <f>VLOOKUP($R145,Herbicide_Data!$A$1:$L$61,9)</f>
        <v>Sulfosulfuron</v>
      </c>
      <c r="T145" s="62">
        <f>VLOOKUP($R145,Herbicide_Data!$A$1:$Q$61,13)</f>
        <v>0</v>
      </c>
      <c r="U145" s="16">
        <f t="shared" si="29"/>
        <v>0</v>
      </c>
      <c r="V145" s="62" t="b">
        <f t="shared" si="35"/>
        <v>0</v>
      </c>
      <c r="W145" s="63" t="e">
        <f>VLOOKUP($V145,Herbicide_Data!$A$1:$L$17,9)</f>
        <v>#N/A</v>
      </c>
      <c r="X145" s="62" t="e">
        <f>VLOOKUP($V145,Herbicide_Data!$A$1:$L$17,12)</f>
        <v>#N/A</v>
      </c>
      <c r="Y145" s="16" t="e">
        <f t="shared" si="30"/>
        <v>#N/A</v>
      </c>
      <c r="Z145" s="15"/>
      <c r="AA145" s="13"/>
      <c r="AB145" s="17"/>
      <c r="AC145" s="3"/>
      <c r="AD145" s="10"/>
      <c r="AE145" s="3"/>
      <c r="AF145" s="10"/>
      <c r="AG145" s="15"/>
      <c r="AH145" s="62" t="str">
        <f t="shared" si="24"/>
        <v>Surfactant</v>
      </c>
      <c r="AI145" s="62">
        <f>VLOOKUP($AH145,Herbicide_Data!$A$1:$Q$61,13)</f>
        <v>12.8</v>
      </c>
      <c r="AJ145" s="16">
        <f t="shared" si="31"/>
        <v>1.7630853994490359</v>
      </c>
      <c r="AK145" s="3"/>
      <c r="AL145" s="3"/>
      <c r="AM145" s="3"/>
      <c r="AN145" s="3"/>
      <c r="AO145" s="3"/>
      <c r="AP145" s="3"/>
      <c r="AQ145" s="18"/>
      <c r="AR145" s="19"/>
      <c r="AS145" s="19"/>
      <c r="AT145" s="20"/>
      <c r="AU145" s="20"/>
      <c r="AV145" s="21"/>
      <c r="AW145" s="22"/>
      <c r="AX145" s="19"/>
      <c r="AY145" s="19"/>
      <c r="AZ145" s="19"/>
      <c r="BA145" s="23"/>
      <c r="BB145" s="19"/>
      <c r="BC145" s="19"/>
      <c r="BD145" s="19"/>
    </row>
    <row r="146" spans="1:56" ht="72">
      <c r="A146" s="13" t="s">
        <v>654</v>
      </c>
      <c r="B146" s="11">
        <v>46158</v>
      </c>
      <c r="C146" s="12">
        <v>0.70833333333333337</v>
      </c>
      <c r="D146" s="12">
        <f t="shared" si="26"/>
        <v>0.72916663333333331</v>
      </c>
      <c r="E146" s="10" t="s">
        <v>85</v>
      </c>
      <c r="F146" s="10">
        <f>IFERROR(VLOOKUP(E146,Data!A$2:B$5,2,TRUE), "")</f>
        <v>48160</v>
      </c>
      <c r="G146" s="3" t="s">
        <v>582</v>
      </c>
      <c r="H146" s="13">
        <f>IFERROR(VLOOKUP(A146,Customer_Data!$A$1:$P$114,8,TRUE),"")</f>
        <v>3200</v>
      </c>
      <c r="I146" s="13"/>
      <c r="J146" s="3" t="str">
        <f t="shared" si="32"/>
        <v/>
      </c>
      <c r="K146" s="62" t="e">
        <f>(VLOOKUP($J146,Herbicide_Data!$A$1:$L$61,9,TRUE))</f>
        <v>#N/A</v>
      </c>
      <c r="L146" s="62" t="e">
        <f>VLOOKUP($J146,Herbicide_Data!$A$1:$L$61,12,TRUE)</f>
        <v>#N/A</v>
      </c>
      <c r="M146" s="16" t="e">
        <f t="shared" si="27"/>
        <v>#N/A</v>
      </c>
      <c r="N146" s="62" t="str">
        <f t="shared" si="33"/>
        <v>Triplet SF (3-Way) 228-312</v>
      </c>
      <c r="O146" s="63" t="str">
        <f>VLOOKUP($N146,Herbicide_Data!$A$1:$L$61,9)</f>
        <v>2,4-D, dimethylamine salt; Dicamba, dimethylamine salt;Mecoprop-p (MCPP-p), dimethylamine salt</v>
      </c>
      <c r="P146" s="62">
        <f>VLOOKUP($N146,Herbicide_Data!$A$1:$P$61,13)</f>
        <v>24</v>
      </c>
      <c r="Q146" s="16">
        <f t="shared" si="28"/>
        <v>1.7630853994490359</v>
      </c>
      <c r="R146" s="62" t="str">
        <f t="shared" si="34"/>
        <v>Certinty Turf 59639-226</v>
      </c>
      <c r="S146" s="63" t="str">
        <f>VLOOKUP($R146,Herbicide_Data!$A$1:$L$61,9)</f>
        <v>Sulfosulfuron</v>
      </c>
      <c r="T146" s="62">
        <f>VLOOKUP($R146,Herbicide_Data!$A$1:$Q$61,13)</f>
        <v>0</v>
      </c>
      <c r="U146" s="16">
        <f t="shared" si="29"/>
        <v>0</v>
      </c>
      <c r="V146" s="62" t="b">
        <f t="shared" si="35"/>
        <v>0</v>
      </c>
      <c r="W146" s="63" t="e">
        <f>VLOOKUP($V146,Herbicide_Data!$A$1:$L$17,9)</f>
        <v>#N/A</v>
      </c>
      <c r="X146" s="62" t="e">
        <f>VLOOKUP($V146,Herbicide_Data!$A$1:$L$17,12)</f>
        <v>#N/A</v>
      </c>
      <c r="Y146" s="16" t="e">
        <f t="shared" si="30"/>
        <v>#N/A</v>
      </c>
      <c r="Z146" s="15"/>
      <c r="AA146" s="13"/>
      <c r="AB146" s="17"/>
      <c r="AC146" s="3"/>
      <c r="AD146" s="10"/>
      <c r="AE146" s="3"/>
      <c r="AF146" s="10"/>
      <c r="AG146" s="15"/>
      <c r="AH146" s="62" t="str">
        <f t="shared" si="24"/>
        <v>Surfactant</v>
      </c>
      <c r="AI146" s="62">
        <f>VLOOKUP($AH146,Herbicide_Data!$A$1:$Q$61,13)</f>
        <v>12.8</v>
      </c>
      <c r="AJ146" s="16">
        <f t="shared" si="31"/>
        <v>0.94031221303948576</v>
      </c>
      <c r="AK146" s="3"/>
      <c r="AL146" s="3"/>
      <c r="AM146" s="3"/>
      <c r="AN146" s="3"/>
      <c r="AO146" s="3"/>
      <c r="AP146" s="3"/>
      <c r="AQ146" s="18"/>
      <c r="AR146" s="19"/>
      <c r="AS146" s="19"/>
      <c r="AT146" s="20"/>
      <c r="AU146" s="20"/>
      <c r="AV146" s="21"/>
      <c r="AW146" s="22"/>
      <c r="AX146" s="19"/>
      <c r="AY146" s="19"/>
      <c r="AZ146" s="19"/>
      <c r="BA146" s="23"/>
      <c r="BB146" s="19"/>
      <c r="BC146" s="19"/>
      <c r="BD146" s="19"/>
    </row>
    <row r="147" spans="1:56" ht="72">
      <c r="A147" s="13" t="s">
        <v>652</v>
      </c>
      <c r="B147" s="11">
        <v>46158</v>
      </c>
      <c r="C147" s="12">
        <v>0.72916666666666663</v>
      </c>
      <c r="D147" s="12">
        <f t="shared" si="26"/>
        <v>0.74999996666666657</v>
      </c>
      <c r="E147" s="10" t="s">
        <v>85</v>
      </c>
      <c r="F147" s="10">
        <f>IFERROR(VLOOKUP(E147,Data!A$2:B$5,2,TRUE), "")</f>
        <v>48160</v>
      </c>
      <c r="G147" s="3" t="s">
        <v>582</v>
      </c>
      <c r="H147" s="13">
        <f>IFERROR(VLOOKUP(A147,Customer_Data!$A$1:$P$114,8,TRUE),"")</f>
        <v>10000</v>
      </c>
      <c r="I147" s="13"/>
      <c r="J147" s="3" t="str">
        <f t="shared" si="32"/>
        <v/>
      </c>
      <c r="K147" s="62" t="e">
        <f>(VLOOKUP($J147,Herbicide_Data!$A$1:$L$61,9,TRUE))</f>
        <v>#N/A</v>
      </c>
      <c r="L147" s="62" t="e">
        <f>VLOOKUP($J147,Herbicide_Data!$A$1:$L$61,12,TRUE)</f>
        <v>#N/A</v>
      </c>
      <c r="M147" s="16" t="e">
        <f t="shared" si="27"/>
        <v>#N/A</v>
      </c>
      <c r="N147" s="62" t="str">
        <f t="shared" si="33"/>
        <v>Triplet SF (3-Way) 228-312</v>
      </c>
      <c r="O147" s="63" t="str">
        <f>VLOOKUP($N147,Herbicide_Data!$A$1:$L$61,9)</f>
        <v>2,4-D, dimethylamine salt; Dicamba, dimethylamine salt;Mecoprop-p (MCPP-p), dimethylamine salt</v>
      </c>
      <c r="P147" s="62">
        <f>VLOOKUP($N147,Herbicide_Data!$A$1:$P$61,13)</f>
        <v>24</v>
      </c>
      <c r="Q147" s="16">
        <f t="shared" si="28"/>
        <v>5.5096418732782366</v>
      </c>
      <c r="R147" s="62" t="str">
        <f t="shared" si="34"/>
        <v>Certinty Turf 59639-226</v>
      </c>
      <c r="S147" s="63" t="str">
        <f>VLOOKUP($R147,Herbicide_Data!$A$1:$L$61,9)</f>
        <v>Sulfosulfuron</v>
      </c>
      <c r="T147" s="62">
        <f>VLOOKUP($R147,Herbicide_Data!$A$1:$Q$61,13)</f>
        <v>0</v>
      </c>
      <c r="U147" s="16">
        <f t="shared" si="29"/>
        <v>0</v>
      </c>
      <c r="V147" s="62" t="b">
        <f t="shared" si="35"/>
        <v>0</v>
      </c>
      <c r="W147" s="63" t="e">
        <f>VLOOKUP($V147,Herbicide_Data!$A$1:$L$17,9)</f>
        <v>#N/A</v>
      </c>
      <c r="X147" s="62" t="e">
        <f>VLOOKUP($V147,Herbicide_Data!$A$1:$L$17,12)</f>
        <v>#N/A</v>
      </c>
      <c r="Y147" s="16" t="e">
        <f t="shared" si="30"/>
        <v>#N/A</v>
      </c>
      <c r="Z147" s="15"/>
      <c r="AA147" s="13"/>
      <c r="AB147" s="17"/>
      <c r="AC147" s="3"/>
      <c r="AD147" s="10"/>
      <c r="AE147" s="3"/>
      <c r="AF147" s="10"/>
      <c r="AG147" s="15"/>
      <c r="AH147" s="62" t="str">
        <f t="shared" si="24"/>
        <v>Surfactant</v>
      </c>
      <c r="AI147" s="62">
        <f>VLOOKUP($AH147,Herbicide_Data!$A$1:$Q$61,13)</f>
        <v>12.8</v>
      </c>
      <c r="AJ147" s="16">
        <f t="shared" si="31"/>
        <v>2.9384756657483933</v>
      </c>
      <c r="AK147" s="3"/>
      <c r="AL147" s="3"/>
      <c r="AM147" s="3"/>
      <c r="AN147" s="3"/>
      <c r="AO147" s="3"/>
      <c r="AP147" s="3"/>
      <c r="AQ147" s="18"/>
      <c r="AR147" s="19"/>
      <c r="AS147" s="19"/>
      <c r="AT147" s="20"/>
      <c r="AU147" s="20"/>
      <c r="AV147" s="21"/>
      <c r="AW147" s="22"/>
      <c r="AX147" s="19"/>
      <c r="AY147" s="19"/>
      <c r="AZ147" s="19"/>
      <c r="BA147" s="23"/>
      <c r="BB147" s="19"/>
      <c r="BC147" s="19"/>
      <c r="BD147" s="19"/>
    </row>
    <row r="148" spans="1:56" ht="72">
      <c r="A148" s="13" t="s">
        <v>657</v>
      </c>
      <c r="B148" s="11">
        <v>46159</v>
      </c>
      <c r="C148" s="12">
        <v>0.5625</v>
      </c>
      <c r="D148" s="12">
        <f t="shared" si="26"/>
        <v>0.58333330000000005</v>
      </c>
      <c r="E148" s="10" t="s">
        <v>85</v>
      </c>
      <c r="F148" s="10">
        <f>IFERROR(VLOOKUP(E148,Data!A$2:B$5,2,TRUE), "")</f>
        <v>48160</v>
      </c>
      <c r="G148" s="3" t="s">
        <v>582</v>
      </c>
      <c r="H148" s="13">
        <v>6000</v>
      </c>
      <c r="I148" s="13"/>
      <c r="J148" s="3" t="str">
        <f t="shared" si="32"/>
        <v/>
      </c>
      <c r="K148" s="62" t="e">
        <f>(VLOOKUP($J148,Herbicide_Data!$A$1:$L$61,9,TRUE))</f>
        <v>#N/A</v>
      </c>
      <c r="L148" s="62" t="e">
        <f>VLOOKUP($J148,Herbicide_Data!$A$1:$L$61,12,TRUE)</f>
        <v>#N/A</v>
      </c>
      <c r="M148" s="16" t="e">
        <f t="shared" si="27"/>
        <v>#N/A</v>
      </c>
      <c r="N148" s="62" t="str">
        <f t="shared" si="33"/>
        <v>Triplet SF (3-Way) 228-312</v>
      </c>
      <c r="O148" s="63" t="str">
        <f>VLOOKUP($N148,Herbicide_Data!$A$1:$L$61,9)</f>
        <v>2,4-D, dimethylamine salt; Dicamba, dimethylamine salt;Mecoprop-p (MCPP-p), dimethylamine salt</v>
      </c>
      <c r="P148" s="62">
        <f>VLOOKUP($N148,Herbicide_Data!$A$1:$P$61,13)</f>
        <v>24</v>
      </c>
      <c r="Q148" s="16">
        <f t="shared" si="28"/>
        <v>3.3057851239669422</v>
      </c>
      <c r="R148" s="62" t="str">
        <f t="shared" si="34"/>
        <v>Certinty Turf 59639-226</v>
      </c>
      <c r="S148" s="63" t="str">
        <f>VLOOKUP($R148,Herbicide_Data!$A$1:$L$61,9)</f>
        <v>Sulfosulfuron</v>
      </c>
      <c r="T148" s="62">
        <f>VLOOKUP($R148,Herbicide_Data!$A$1:$Q$61,13)</f>
        <v>0</v>
      </c>
      <c r="U148" s="16">
        <f t="shared" si="29"/>
        <v>0</v>
      </c>
      <c r="V148" s="62" t="b">
        <f t="shared" si="35"/>
        <v>0</v>
      </c>
      <c r="W148" s="63" t="e">
        <f>VLOOKUP($V148,Herbicide_Data!$A$1:$L$17,9)</f>
        <v>#N/A</v>
      </c>
      <c r="X148" s="62" t="e">
        <f>VLOOKUP($V148,Herbicide_Data!$A$1:$L$17,12)</f>
        <v>#N/A</v>
      </c>
      <c r="Y148" s="16" t="e">
        <f t="shared" si="30"/>
        <v>#N/A</v>
      </c>
      <c r="Z148" s="15"/>
      <c r="AA148" s="13"/>
      <c r="AB148" s="17"/>
      <c r="AC148" s="3"/>
      <c r="AD148" s="10"/>
      <c r="AE148" s="3"/>
      <c r="AF148" s="10"/>
      <c r="AG148" s="15"/>
      <c r="AH148" s="62" t="str">
        <f t="shared" si="24"/>
        <v>Surfactant</v>
      </c>
      <c r="AI148" s="62">
        <f>VLOOKUP($AH148,Herbicide_Data!$A$1:$Q$61,13)</f>
        <v>12.8</v>
      </c>
      <c r="AJ148" s="16">
        <f t="shared" si="31"/>
        <v>1.7630853994490359</v>
      </c>
      <c r="AK148" s="3"/>
      <c r="AL148" s="3"/>
      <c r="AM148" s="3"/>
      <c r="AN148" s="3"/>
      <c r="AO148" s="3"/>
      <c r="AP148" s="3"/>
      <c r="AQ148" s="18"/>
      <c r="AR148" s="19"/>
      <c r="AS148" s="19"/>
      <c r="AT148" s="20"/>
      <c r="AU148" s="20"/>
      <c r="AV148" s="21"/>
      <c r="AW148" s="22"/>
      <c r="AX148" s="19"/>
      <c r="AY148" s="19"/>
      <c r="AZ148" s="19"/>
      <c r="BA148" s="23"/>
      <c r="BB148" s="19"/>
      <c r="BC148" s="19"/>
      <c r="BD148" s="19"/>
    </row>
    <row r="149" spans="1:56" ht="72">
      <c r="A149" s="13" t="s">
        <v>663</v>
      </c>
      <c r="B149" s="11">
        <v>46159</v>
      </c>
      <c r="C149" s="12">
        <v>0.54166666666666663</v>
      </c>
      <c r="D149" s="12">
        <f t="shared" si="26"/>
        <v>0.56249996666666657</v>
      </c>
      <c r="E149" s="10" t="s">
        <v>85</v>
      </c>
      <c r="F149" s="10">
        <f>IFERROR(VLOOKUP(E149,Data!A$2:B$5,2,TRUE), "")</f>
        <v>48160</v>
      </c>
      <c r="G149" s="3" t="s">
        <v>582</v>
      </c>
      <c r="H149" s="13">
        <f>IFERROR(VLOOKUP(A149,Customer_Data!$A$1:$P$114,8,TRUE),"")</f>
        <v>12000</v>
      </c>
      <c r="I149" s="13"/>
      <c r="J149" s="3" t="str">
        <f t="shared" si="32"/>
        <v/>
      </c>
      <c r="K149" s="62" t="e">
        <f>(VLOOKUP($J149,Herbicide_Data!$A$1:$L$61,9,TRUE))</f>
        <v>#N/A</v>
      </c>
      <c r="L149" s="62" t="e">
        <f>VLOOKUP($J149,Herbicide_Data!$A$1:$L$61,12,TRUE)</f>
        <v>#N/A</v>
      </c>
      <c r="M149" s="16" t="e">
        <f t="shared" si="27"/>
        <v>#N/A</v>
      </c>
      <c r="N149" s="62" t="str">
        <f t="shared" si="33"/>
        <v>Triplet SF (3-Way) 228-312</v>
      </c>
      <c r="O149" s="63" t="str">
        <f>VLOOKUP($N149,Herbicide_Data!$A$1:$L$61,9)</f>
        <v>2,4-D, dimethylamine salt; Dicamba, dimethylamine salt;Mecoprop-p (MCPP-p), dimethylamine salt</v>
      </c>
      <c r="P149" s="62">
        <f>VLOOKUP($N149,Herbicide_Data!$A$1:$P$61,13)</f>
        <v>24</v>
      </c>
      <c r="Q149" s="16">
        <f t="shared" si="28"/>
        <v>6.6115702479338845</v>
      </c>
      <c r="R149" s="62" t="str">
        <f t="shared" si="34"/>
        <v>Certinty Turf 59639-226</v>
      </c>
      <c r="S149" s="63" t="str">
        <f>VLOOKUP($R149,Herbicide_Data!$A$1:$L$61,9)</f>
        <v>Sulfosulfuron</v>
      </c>
      <c r="T149" s="62">
        <f>VLOOKUP($R149,Herbicide_Data!$A$1:$Q$61,13)</f>
        <v>0</v>
      </c>
      <c r="U149" s="16">
        <f t="shared" si="29"/>
        <v>0</v>
      </c>
      <c r="V149" s="62" t="b">
        <f t="shared" si="35"/>
        <v>0</v>
      </c>
      <c r="W149" s="63" t="e">
        <f>VLOOKUP($V149,Herbicide_Data!$A$1:$L$17,9)</f>
        <v>#N/A</v>
      </c>
      <c r="X149" s="62" t="e">
        <f>VLOOKUP($V149,Herbicide_Data!$A$1:$L$17,12)</f>
        <v>#N/A</v>
      </c>
      <c r="Y149" s="16" t="e">
        <f t="shared" si="30"/>
        <v>#N/A</v>
      </c>
      <c r="Z149" s="15"/>
      <c r="AA149" s="13"/>
      <c r="AB149" s="17"/>
      <c r="AC149" s="3"/>
      <c r="AD149" s="10"/>
      <c r="AE149" s="3"/>
      <c r="AF149" s="10"/>
      <c r="AG149" s="15"/>
      <c r="AH149" s="62" t="str">
        <f t="shared" si="24"/>
        <v>Surfactant</v>
      </c>
      <c r="AI149" s="62">
        <f>VLOOKUP($AH149,Herbicide_Data!$A$1:$Q$61,13)</f>
        <v>12.8</v>
      </c>
      <c r="AJ149" s="16">
        <f t="shared" si="31"/>
        <v>3.5261707988980717</v>
      </c>
      <c r="AK149" s="3"/>
      <c r="AL149" s="3"/>
      <c r="AM149" s="3"/>
      <c r="AN149" s="3"/>
      <c r="AO149" s="3"/>
      <c r="AP149" s="3"/>
      <c r="AQ149" s="18"/>
      <c r="AR149" s="19"/>
      <c r="AS149" s="19"/>
      <c r="AT149" s="20"/>
      <c r="AU149" s="20"/>
      <c r="AV149" s="21"/>
      <c r="AW149" s="22"/>
      <c r="AX149" s="19"/>
      <c r="AY149" s="19"/>
      <c r="AZ149" s="19"/>
      <c r="BA149" s="23"/>
      <c r="BB149" s="19"/>
      <c r="BC149" s="19"/>
      <c r="BD149" s="19"/>
    </row>
    <row r="150" spans="1:56" ht="72">
      <c r="A150" s="13" t="s">
        <v>665</v>
      </c>
      <c r="B150" s="11">
        <v>46158</v>
      </c>
      <c r="C150" s="12">
        <v>0.75</v>
      </c>
      <c r="D150" s="12">
        <f t="shared" si="26"/>
        <v>0.77083330000000005</v>
      </c>
      <c r="E150" s="10" t="s">
        <v>85</v>
      </c>
      <c r="F150" s="10">
        <f>IFERROR(VLOOKUP(E150,Data!A$2:B$5,2,TRUE), "")</f>
        <v>48160</v>
      </c>
      <c r="G150" s="3" t="s">
        <v>582</v>
      </c>
      <c r="H150" s="13">
        <f>IFERROR(VLOOKUP(A150,Customer_Data!$A$1:$P$114,8,TRUE),"")</f>
        <v>6000</v>
      </c>
      <c r="I150" s="13"/>
      <c r="J150" s="3" t="str">
        <f t="shared" si="32"/>
        <v/>
      </c>
      <c r="K150" s="62" t="e">
        <f>(VLOOKUP($J150,Herbicide_Data!$A$1:$L$61,9,TRUE))</f>
        <v>#N/A</v>
      </c>
      <c r="L150" s="62" t="e">
        <f>VLOOKUP($J150,Herbicide_Data!$A$1:$L$61,12,TRUE)</f>
        <v>#N/A</v>
      </c>
      <c r="M150" s="16" t="e">
        <f t="shared" si="27"/>
        <v>#N/A</v>
      </c>
      <c r="N150" s="62" t="str">
        <f t="shared" si="33"/>
        <v>Triplet SF (3-Way) 228-312</v>
      </c>
      <c r="O150" s="63" t="str">
        <f>VLOOKUP($N150,Herbicide_Data!$A$1:$L$61,9)</f>
        <v>2,4-D, dimethylamine salt; Dicamba, dimethylamine salt;Mecoprop-p (MCPP-p), dimethylamine salt</v>
      </c>
      <c r="P150" s="62">
        <f>VLOOKUP($N150,Herbicide_Data!$A$1:$P$61,13)</f>
        <v>24</v>
      </c>
      <c r="Q150" s="16">
        <f t="shared" si="28"/>
        <v>3.3057851239669422</v>
      </c>
      <c r="R150" s="62" t="str">
        <f t="shared" si="34"/>
        <v>Certinty Turf 59639-226</v>
      </c>
      <c r="S150" s="63" t="str">
        <f>VLOOKUP($R150,Herbicide_Data!$A$1:$L$61,9)</f>
        <v>Sulfosulfuron</v>
      </c>
      <c r="T150" s="62">
        <f>VLOOKUP($R150,Herbicide_Data!$A$1:$Q$61,13)</f>
        <v>0</v>
      </c>
      <c r="U150" s="16">
        <f t="shared" si="29"/>
        <v>0</v>
      </c>
      <c r="V150" s="62" t="b">
        <f t="shared" si="35"/>
        <v>0</v>
      </c>
      <c r="W150" s="63" t="e">
        <f>VLOOKUP($V150,Herbicide_Data!$A$1:$L$17,9)</f>
        <v>#N/A</v>
      </c>
      <c r="X150" s="62" t="e">
        <f>VLOOKUP($V150,Herbicide_Data!$A$1:$L$17,12)</f>
        <v>#N/A</v>
      </c>
      <c r="Y150" s="16" t="e">
        <f t="shared" si="30"/>
        <v>#N/A</v>
      </c>
      <c r="Z150" s="15"/>
      <c r="AA150" s="13"/>
      <c r="AB150" s="17"/>
      <c r="AC150" s="3"/>
      <c r="AD150" s="10"/>
      <c r="AE150" s="3"/>
      <c r="AF150" s="10"/>
      <c r="AG150" s="15"/>
      <c r="AH150" s="62" t="str">
        <f t="shared" si="24"/>
        <v>Surfactant</v>
      </c>
      <c r="AI150" s="62">
        <f>VLOOKUP($AH150,Herbicide_Data!$A$1:$Q$61,13)</f>
        <v>12.8</v>
      </c>
      <c r="AJ150" s="16">
        <f t="shared" si="31"/>
        <v>1.7630853994490359</v>
      </c>
      <c r="AK150" s="3"/>
      <c r="AL150" s="3"/>
      <c r="AM150" s="3"/>
      <c r="AN150" s="3"/>
      <c r="AO150" s="3"/>
      <c r="AP150" s="3"/>
      <c r="AQ150" s="18"/>
      <c r="AR150" s="19"/>
      <c r="AS150" s="19"/>
      <c r="AT150" s="20"/>
      <c r="AU150" s="20"/>
      <c r="AV150" s="21"/>
      <c r="AW150" s="22"/>
      <c r="AX150" s="19"/>
      <c r="AY150" s="19"/>
      <c r="AZ150" s="19"/>
      <c r="BA150" s="23"/>
      <c r="BB150" s="19"/>
      <c r="BC150" s="19"/>
      <c r="BD150" s="19"/>
    </row>
    <row r="151" spans="1:56" ht="72">
      <c r="A151" s="13" t="s">
        <v>676</v>
      </c>
      <c r="B151" s="11">
        <v>46159</v>
      </c>
      <c r="C151" s="12">
        <v>0.6875</v>
      </c>
      <c r="D151" s="12">
        <f t="shared" si="26"/>
        <v>0.70833330000000005</v>
      </c>
      <c r="E151" s="10" t="s">
        <v>85</v>
      </c>
      <c r="F151" s="10">
        <f>IFERROR(VLOOKUP(E151,Data!A$2:B$5,2,TRUE), "")</f>
        <v>48160</v>
      </c>
      <c r="G151" s="3" t="s">
        <v>582</v>
      </c>
      <c r="H151" s="13">
        <f>IFERROR(VLOOKUP(A151,Customer_Data!$A$1:$P$114,8,TRUE),"")</f>
        <v>13000</v>
      </c>
      <c r="I151" s="13"/>
      <c r="J151" s="3" t="str">
        <f t="shared" si="32"/>
        <v/>
      </c>
      <c r="K151" s="62" t="e">
        <f>(VLOOKUP($J151,Herbicide_Data!$A$1:$L$61,9,TRUE))</f>
        <v>#N/A</v>
      </c>
      <c r="L151" s="62" t="e">
        <f>VLOOKUP($J151,Herbicide_Data!$A$1:$L$61,12,TRUE)</f>
        <v>#N/A</v>
      </c>
      <c r="M151" s="16" t="e">
        <f t="shared" si="27"/>
        <v>#N/A</v>
      </c>
      <c r="N151" s="62" t="str">
        <f t="shared" si="33"/>
        <v>Triplet SF (3-Way) 228-312</v>
      </c>
      <c r="O151" s="63" t="str">
        <f>VLOOKUP($N151,Herbicide_Data!$A$1:$L$61,9)</f>
        <v>2,4-D, dimethylamine salt; Dicamba, dimethylamine salt;Mecoprop-p (MCPP-p), dimethylamine salt</v>
      </c>
      <c r="P151" s="62">
        <f>VLOOKUP($N151,Herbicide_Data!$A$1:$P$61,13)</f>
        <v>24</v>
      </c>
      <c r="Q151" s="16">
        <f t="shared" si="28"/>
        <v>7.1625344352617084</v>
      </c>
      <c r="R151" s="62" t="str">
        <f t="shared" si="34"/>
        <v>Certinty Turf 59639-226</v>
      </c>
      <c r="S151" s="63" t="str">
        <f>VLOOKUP($R151,Herbicide_Data!$A$1:$L$61,9)</f>
        <v>Sulfosulfuron</v>
      </c>
      <c r="T151" s="62">
        <f>VLOOKUP($R151,Herbicide_Data!$A$1:$Q$61,13)</f>
        <v>0</v>
      </c>
      <c r="U151" s="16">
        <f t="shared" si="29"/>
        <v>0</v>
      </c>
      <c r="V151" s="62" t="b">
        <f t="shared" si="35"/>
        <v>0</v>
      </c>
      <c r="W151" s="63" t="e">
        <f>VLOOKUP($V151,Herbicide_Data!$A$1:$L$17,9)</f>
        <v>#N/A</v>
      </c>
      <c r="X151" s="62" t="e">
        <f>VLOOKUP($V151,Herbicide_Data!$A$1:$L$17,12)</f>
        <v>#N/A</v>
      </c>
      <c r="Y151" s="16" t="e">
        <f t="shared" si="30"/>
        <v>#N/A</v>
      </c>
      <c r="Z151" s="15"/>
      <c r="AA151" s="13"/>
      <c r="AB151" s="17"/>
      <c r="AC151" s="3"/>
      <c r="AD151" s="10"/>
      <c r="AE151" s="3"/>
      <c r="AF151" s="10"/>
      <c r="AG151" s="15"/>
      <c r="AH151" s="62" t="str">
        <f t="shared" si="24"/>
        <v>Surfactant</v>
      </c>
      <c r="AI151" s="62">
        <f>VLOOKUP($AH151,Herbicide_Data!$A$1:$Q$61,13)</f>
        <v>12.8</v>
      </c>
      <c r="AJ151" s="16">
        <f t="shared" si="31"/>
        <v>3.8200183654729112</v>
      </c>
      <c r="AK151" s="3"/>
      <c r="AL151" s="3"/>
      <c r="AM151" s="3"/>
      <c r="AN151" s="3"/>
      <c r="AO151" s="3"/>
      <c r="AP151" s="3"/>
      <c r="AQ151" s="18"/>
      <c r="AR151" s="19"/>
      <c r="AS151" s="19"/>
      <c r="AT151" s="20"/>
      <c r="AU151" s="20"/>
      <c r="AV151" s="21"/>
      <c r="AW151" s="22"/>
      <c r="AX151" s="19"/>
      <c r="AY151" s="19"/>
      <c r="AZ151" s="19"/>
      <c r="BA151" s="23"/>
      <c r="BB151" s="19"/>
      <c r="BC151" s="19"/>
      <c r="BD151" s="19"/>
    </row>
    <row r="152" spans="1:56" ht="72">
      <c r="A152" s="13" t="s">
        <v>674</v>
      </c>
      <c r="B152" s="11">
        <v>46158</v>
      </c>
      <c r="C152" s="12">
        <v>0.33333333333333331</v>
      </c>
      <c r="D152" s="12">
        <f t="shared" si="26"/>
        <v>0.35416663333333331</v>
      </c>
      <c r="E152" s="10" t="s">
        <v>85</v>
      </c>
      <c r="F152" s="10">
        <f>IFERROR(VLOOKUP(E152,Data!A$2:B$5,2,TRUE), "")</f>
        <v>48160</v>
      </c>
      <c r="G152" s="3" t="s">
        <v>582</v>
      </c>
      <c r="H152" s="13">
        <f>IFERROR(VLOOKUP(A152,Customer_Data!$A$1:$P$114,8,TRUE),"")</f>
        <v>9500</v>
      </c>
      <c r="I152" s="13"/>
      <c r="J152" s="3" t="str">
        <f t="shared" si="32"/>
        <v/>
      </c>
      <c r="K152" s="62" t="e">
        <f>(VLOOKUP($J152,Herbicide_Data!$A$1:$L$61,9,TRUE))</f>
        <v>#N/A</v>
      </c>
      <c r="L152" s="62" t="e">
        <f>VLOOKUP($J152,Herbicide_Data!$A$1:$L$61,12,TRUE)</f>
        <v>#N/A</v>
      </c>
      <c r="M152" s="16" t="e">
        <f t="shared" si="27"/>
        <v>#N/A</v>
      </c>
      <c r="N152" s="62" t="str">
        <f t="shared" si="33"/>
        <v>Triplet SF (3-Way) 228-312</v>
      </c>
      <c r="O152" s="63" t="str">
        <f>VLOOKUP($N152,Herbicide_Data!$A$1:$L$61,9)</f>
        <v>2,4-D, dimethylamine salt; Dicamba, dimethylamine salt;Mecoprop-p (MCPP-p), dimethylamine salt</v>
      </c>
      <c r="P152" s="62">
        <f>VLOOKUP($N152,Herbicide_Data!$A$1:$P$61,13)</f>
        <v>24</v>
      </c>
      <c r="Q152" s="16">
        <f t="shared" si="28"/>
        <v>5.2341597796143251</v>
      </c>
      <c r="R152" s="62" t="str">
        <f t="shared" si="34"/>
        <v>Certinty Turf 59639-226</v>
      </c>
      <c r="S152" s="63" t="str">
        <f>VLOOKUP($R152,Herbicide_Data!$A$1:$L$61,9)</f>
        <v>Sulfosulfuron</v>
      </c>
      <c r="T152" s="62">
        <f>VLOOKUP($R152,Herbicide_Data!$A$1:$Q$61,13)</f>
        <v>0</v>
      </c>
      <c r="U152" s="16">
        <f t="shared" si="29"/>
        <v>0</v>
      </c>
      <c r="V152" s="62" t="b">
        <f t="shared" si="35"/>
        <v>0</v>
      </c>
      <c r="W152" s="63" t="e">
        <f>VLOOKUP($V152,Herbicide_Data!$A$1:$L$17,9)</f>
        <v>#N/A</v>
      </c>
      <c r="X152" s="62" t="e">
        <f>VLOOKUP($V152,Herbicide_Data!$A$1:$L$17,12)</f>
        <v>#N/A</v>
      </c>
      <c r="Y152" s="16" t="e">
        <f t="shared" si="30"/>
        <v>#N/A</v>
      </c>
      <c r="Z152" s="15"/>
      <c r="AA152" s="13"/>
      <c r="AB152" s="17"/>
      <c r="AC152" s="3"/>
      <c r="AD152" s="10"/>
      <c r="AE152" s="3"/>
      <c r="AF152" s="10"/>
      <c r="AG152" s="15"/>
      <c r="AH152" s="62" t="str">
        <f t="shared" si="24"/>
        <v>Surfactant</v>
      </c>
      <c r="AI152" s="62">
        <f>VLOOKUP($AH152,Herbicide_Data!$A$1:$Q$61,13)</f>
        <v>12.8</v>
      </c>
      <c r="AJ152" s="16">
        <f t="shared" si="31"/>
        <v>2.7915518824609737</v>
      </c>
      <c r="AK152" s="3"/>
      <c r="AL152" s="3"/>
      <c r="AM152" s="3"/>
      <c r="AN152" s="3"/>
      <c r="AO152" s="3"/>
      <c r="AP152" s="3"/>
      <c r="AQ152" s="18"/>
      <c r="AR152" s="19"/>
      <c r="AS152" s="19"/>
      <c r="AT152" s="20"/>
      <c r="AU152" s="20"/>
      <c r="AV152" s="21"/>
      <c r="AW152" s="22"/>
      <c r="AX152" s="19"/>
      <c r="AY152" s="19"/>
      <c r="AZ152" s="19"/>
      <c r="BA152" s="23"/>
      <c r="BB152" s="19"/>
      <c r="BC152" s="19"/>
      <c r="BD152" s="19"/>
    </row>
    <row r="153" spans="1:56" ht="72">
      <c r="A153" s="13" t="s">
        <v>670</v>
      </c>
      <c r="B153" s="11">
        <v>46156</v>
      </c>
      <c r="C153" s="12">
        <v>0.72916666666666663</v>
      </c>
      <c r="D153" s="12">
        <f t="shared" si="26"/>
        <v>0.74999996666666657</v>
      </c>
      <c r="E153" s="10" t="s">
        <v>85</v>
      </c>
      <c r="F153" s="10">
        <f>IFERROR(VLOOKUP(E153,Data!A$2:B$5,2,TRUE), "")</f>
        <v>48160</v>
      </c>
      <c r="G153" s="3" t="s">
        <v>582</v>
      </c>
      <c r="H153" s="13">
        <f>IFERROR(VLOOKUP(A153,Customer_Data!$A$1:$P$114,8,TRUE),"")</f>
        <v>4000</v>
      </c>
      <c r="I153" s="13"/>
      <c r="J153" s="3" t="str">
        <f t="shared" si="32"/>
        <v/>
      </c>
      <c r="K153" s="62" t="e">
        <f>(VLOOKUP($J153,Herbicide_Data!$A$1:$L$61,9,TRUE))</f>
        <v>#N/A</v>
      </c>
      <c r="L153" s="62" t="e">
        <f>VLOOKUP($J153,Herbicide_Data!$A$1:$L$61,12,TRUE)</f>
        <v>#N/A</v>
      </c>
      <c r="M153" s="16" t="e">
        <f t="shared" si="27"/>
        <v>#N/A</v>
      </c>
      <c r="N153" s="62" t="str">
        <f t="shared" si="33"/>
        <v>Triplet SF (3-Way) 228-312</v>
      </c>
      <c r="O153" s="63" t="str">
        <f>VLOOKUP($N153,Herbicide_Data!$A$1:$L$61,9)</f>
        <v>2,4-D, dimethylamine salt; Dicamba, dimethylamine salt;Mecoprop-p (MCPP-p), dimethylamine salt</v>
      </c>
      <c r="P153" s="62">
        <f>VLOOKUP($N153,Herbicide_Data!$A$1:$P$61,13)</f>
        <v>24</v>
      </c>
      <c r="Q153" s="16">
        <f t="shared" si="28"/>
        <v>2.2038567493112948</v>
      </c>
      <c r="R153" s="62" t="str">
        <f t="shared" si="34"/>
        <v>Certinty Turf 59639-226</v>
      </c>
      <c r="S153" s="63" t="str">
        <f>VLOOKUP($R153,Herbicide_Data!$A$1:$L$61,9)</f>
        <v>Sulfosulfuron</v>
      </c>
      <c r="T153" s="62">
        <f>VLOOKUP($R153,Herbicide_Data!$A$1:$Q$61,13)</f>
        <v>0</v>
      </c>
      <c r="U153" s="16">
        <f t="shared" si="29"/>
        <v>0</v>
      </c>
      <c r="V153" s="62" t="b">
        <f t="shared" si="35"/>
        <v>0</v>
      </c>
      <c r="W153" s="63" t="e">
        <f>VLOOKUP($V153,Herbicide_Data!$A$1:$L$17,9)</f>
        <v>#N/A</v>
      </c>
      <c r="X153" s="62" t="e">
        <f>VLOOKUP($V153,Herbicide_Data!$A$1:$L$17,12)</f>
        <v>#N/A</v>
      </c>
      <c r="Y153" s="16" t="e">
        <f t="shared" si="30"/>
        <v>#N/A</v>
      </c>
      <c r="Z153" s="15"/>
      <c r="AA153" s="13"/>
      <c r="AB153" s="17"/>
      <c r="AC153" s="3"/>
      <c r="AD153" s="10"/>
      <c r="AE153" s="3"/>
      <c r="AF153" s="10"/>
      <c r="AG153" s="15"/>
      <c r="AH153" s="62" t="str">
        <f t="shared" si="24"/>
        <v>Surfactant</v>
      </c>
      <c r="AI153" s="62">
        <f>VLOOKUP($AH153,Herbicide_Data!$A$1:$Q$61,13)</f>
        <v>12.8</v>
      </c>
      <c r="AJ153" s="16">
        <f t="shared" si="31"/>
        <v>1.1753902662993572</v>
      </c>
      <c r="AK153" s="3"/>
      <c r="AL153" s="3"/>
      <c r="AM153" s="3"/>
      <c r="AN153" s="3"/>
      <c r="AO153" s="3"/>
      <c r="AP153" s="3"/>
      <c r="AQ153" s="18"/>
      <c r="AR153" s="19"/>
      <c r="AS153" s="19"/>
      <c r="AT153" s="20"/>
      <c r="AU153" s="20"/>
      <c r="AV153" s="21"/>
      <c r="AW153" s="22"/>
      <c r="AX153" s="19"/>
      <c r="AY153" s="19"/>
      <c r="AZ153" s="19"/>
      <c r="BA153" s="23"/>
      <c r="BB153" s="19"/>
      <c r="BC153" s="19"/>
      <c r="BD153" s="19"/>
    </row>
    <row r="154" spans="1:56" ht="72">
      <c r="A154" s="13" t="s">
        <v>669</v>
      </c>
      <c r="B154" s="11">
        <v>46159</v>
      </c>
      <c r="C154" s="12">
        <v>0.72916666666666663</v>
      </c>
      <c r="D154" s="12">
        <f t="shared" si="26"/>
        <v>0.74999996666666657</v>
      </c>
      <c r="E154" s="10" t="s">
        <v>85</v>
      </c>
      <c r="F154" s="10">
        <f>IFERROR(VLOOKUP(E154,Data!A$2:B$5,2,TRUE), "")</f>
        <v>48160</v>
      </c>
      <c r="G154" s="3" t="s">
        <v>582</v>
      </c>
      <c r="H154" s="13">
        <f>IFERROR(VLOOKUP(A154,Customer_Data!$A$1:$P$114,8,TRUE),"")</f>
        <v>5000</v>
      </c>
      <c r="I154" s="13"/>
      <c r="J154" s="3" t="str">
        <f t="shared" si="32"/>
        <v/>
      </c>
      <c r="K154" s="62" t="e">
        <f>(VLOOKUP($J154,Herbicide_Data!$A$1:$L$61,9,TRUE))</f>
        <v>#N/A</v>
      </c>
      <c r="L154" s="62" t="e">
        <f>VLOOKUP($J154,Herbicide_Data!$A$1:$L$61,12,TRUE)</f>
        <v>#N/A</v>
      </c>
      <c r="M154" s="16" t="e">
        <f t="shared" si="27"/>
        <v>#N/A</v>
      </c>
      <c r="N154" s="62" t="str">
        <f t="shared" si="33"/>
        <v>Triplet SF (3-Way) 228-312</v>
      </c>
      <c r="O154" s="63" t="str">
        <f>VLOOKUP($N154,Herbicide_Data!$A$1:$L$61,9)</f>
        <v>2,4-D, dimethylamine salt; Dicamba, dimethylamine salt;Mecoprop-p (MCPP-p), dimethylamine salt</v>
      </c>
      <c r="P154" s="62">
        <f>VLOOKUP($N154,Herbicide_Data!$A$1:$P$61,13)</f>
        <v>24</v>
      </c>
      <c r="Q154" s="16">
        <f t="shared" si="28"/>
        <v>2.7548209366391183</v>
      </c>
      <c r="R154" s="62" t="str">
        <f t="shared" si="34"/>
        <v>Certinty Turf 59639-226</v>
      </c>
      <c r="S154" s="63" t="str">
        <f>VLOOKUP($R154,Herbicide_Data!$A$1:$L$61,9)</f>
        <v>Sulfosulfuron</v>
      </c>
      <c r="T154" s="62">
        <f>VLOOKUP($R154,Herbicide_Data!$A$1:$Q$61,13)</f>
        <v>0</v>
      </c>
      <c r="U154" s="16">
        <f t="shared" si="29"/>
        <v>0</v>
      </c>
      <c r="V154" s="62" t="b">
        <f t="shared" si="35"/>
        <v>0</v>
      </c>
      <c r="W154" s="63" t="e">
        <f>VLOOKUP($V154,Herbicide_Data!$A$1:$L$17,9)</f>
        <v>#N/A</v>
      </c>
      <c r="X154" s="62" t="e">
        <f>VLOOKUP($V154,Herbicide_Data!$A$1:$L$17,12)</f>
        <v>#N/A</v>
      </c>
      <c r="Y154" s="16" t="e">
        <f t="shared" si="30"/>
        <v>#N/A</v>
      </c>
      <c r="Z154" s="15"/>
      <c r="AA154" s="13"/>
      <c r="AB154" s="17"/>
      <c r="AC154" s="3"/>
      <c r="AD154" s="10"/>
      <c r="AE154" s="3"/>
      <c r="AF154" s="10"/>
      <c r="AG154" s="15"/>
      <c r="AH154" s="62" t="str">
        <f t="shared" si="24"/>
        <v>Surfactant</v>
      </c>
      <c r="AI154" s="62">
        <f>VLOOKUP($AH154,Herbicide_Data!$A$1:$Q$61,13)</f>
        <v>12.8</v>
      </c>
      <c r="AJ154" s="16">
        <f t="shared" si="31"/>
        <v>1.4692378328741966</v>
      </c>
      <c r="AK154" s="3"/>
      <c r="AL154" s="3"/>
      <c r="AM154" s="3"/>
      <c r="AN154" s="3"/>
      <c r="AO154" s="3"/>
      <c r="AP154" s="3"/>
      <c r="AQ154" s="18"/>
      <c r="AR154" s="19"/>
      <c r="AS154" s="19"/>
      <c r="AT154" s="20"/>
      <c r="AU154" s="20"/>
      <c r="AV154" s="21"/>
      <c r="AW154" s="22"/>
      <c r="AX154" s="19"/>
      <c r="AY154" s="19"/>
      <c r="AZ154" s="19"/>
      <c r="BA154" s="23"/>
      <c r="BB154" s="19"/>
      <c r="BC154" s="19"/>
      <c r="BD154" s="19"/>
    </row>
    <row r="155" spans="1:56">
      <c r="A155" s="13"/>
      <c r="B155" s="11"/>
      <c r="C155" s="12"/>
      <c r="D155" s="12">
        <f t="shared" si="26"/>
        <v>2.0833299999999999E-2</v>
      </c>
      <c r="E155" s="10"/>
      <c r="F155" s="10" t="str">
        <f>IFERROR(VLOOKUP(E155,Data!A$2:B$5,2,TRUE), "")</f>
        <v/>
      </c>
      <c r="G155" s="3"/>
      <c r="H155" s="13" t="str">
        <f>IFERROR(VLOOKUP(A155,Customer_Data!$A$1:$P$114,8,TRUE),"")</f>
        <v/>
      </c>
      <c r="I155" s="13"/>
      <c r="J155" s="3" t="str">
        <f t="shared" si="32"/>
        <v/>
      </c>
      <c r="K155" s="62" t="e">
        <f>(VLOOKUP($J155,Herbicide_Data!$A$1:$L$61,9,TRUE))</f>
        <v>#N/A</v>
      </c>
      <c r="L155" s="62" t="e">
        <f>VLOOKUP($J155,Herbicide_Data!$A$1:$L$61,12,TRUE)</f>
        <v>#N/A</v>
      </c>
      <c r="M155" s="16" t="e">
        <f t="shared" si="27"/>
        <v>#N/A</v>
      </c>
      <c r="N155" s="62" t="str">
        <f t="shared" si="33"/>
        <v/>
      </c>
      <c r="O155" s="63" t="e">
        <f>VLOOKUP($N155,Herbicide_Data!$A$1:$L$61,9)</f>
        <v>#N/A</v>
      </c>
      <c r="P155" s="62" t="e">
        <f>VLOOKUP($N155,Herbicide_Data!$A$1:$P$61,13)</f>
        <v>#N/A</v>
      </c>
      <c r="Q155" s="16" t="e">
        <f t="shared" si="28"/>
        <v>#N/A</v>
      </c>
      <c r="R155" s="62" t="str">
        <f t="shared" si="34"/>
        <v/>
      </c>
      <c r="S155" s="63" t="e">
        <f>VLOOKUP($R155,Herbicide_Data!$A$1:$L$61,9)</f>
        <v>#N/A</v>
      </c>
      <c r="T155" s="62" t="e">
        <f>VLOOKUP($R155,Herbicide_Data!$A$1:$Q$61,13)</f>
        <v>#N/A</v>
      </c>
      <c r="U155" s="16" t="e">
        <f t="shared" si="29"/>
        <v>#N/A</v>
      </c>
      <c r="V155" s="62" t="b">
        <f t="shared" si="35"/>
        <v>0</v>
      </c>
      <c r="W155" s="63" t="e">
        <f>VLOOKUP($V155,Herbicide_Data!$A$1:$L$17,9)</f>
        <v>#N/A</v>
      </c>
      <c r="X155" s="62" t="e">
        <f>VLOOKUP($V155,Herbicide_Data!$A$1:$L$17,12)</f>
        <v>#N/A</v>
      </c>
      <c r="Y155" s="16" t="e">
        <f t="shared" si="30"/>
        <v>#N/A</v>
      </c>
      <c r="Z155" s="15"/>
      <c r="AA155" s="13"/>
      <c r="AB155" s="17"/>
      <c r="AC155" s="3"/>
      <c r="AD155" s="10"/>
      <c r="AE155" s="3"/>
      <c r="AF155" s="10"/>
      <c r="AG155" s="15"/>
      <c r="AH155" s="62" t="str">
        <f t="shared" si="24"/>
        <v/>
      </c>
      <c r="AI155" s="62" t="e">
        <f>VLOOKUP($AH155,Herbicide_Data!$A$1:$Q$61,13)</f>
        <v>#N/A</v>
      </c>
      <c r="AJ155" s="16" t="e">
        <f t="shared" si="31"/>
        <v>#N/A</v>
      </c>
      <c r="AK155" s="3"/>
      <c r="AL155" s="3"/>
      <c r="AM155" s="3"/>
      <c r="AN155" s="3"/>
      <c r="AO155" s="3"/>
      <c r="AP155" s="3"/>
      <c r="AQ155" s="18"/>
      <c r="AR155" s="19"/>
      <c r="AS155" s="19"/>
      <c r="AT155" s="20"/>
      <c r="AU155" s="20"/>
      <c r="AV155" s="21"/>
      <c r="AW155" s="22"/>
      <c r="AX155" s="19"/>
      <c r="AY155" s="19"/>
      <c r="AZ155" s="19"/>
      <c r="BA155" s="23"/>
      <c r="BB155" s="19"/>
      <c r="BC155" s="19"/>
      <c r="BD155" s="19"/>
    </row>
    <row r="156" spans="1:56">
      <c r="A156" s="13"/>
      <c r="B156" s="11"/>
      <c r="C156" s="12"/>
      <c r="D156" s="12">
        <f t="shared" si="26"/>
        <v>2.0833299999999999E-2</v>
      </c>
      <c r="E156" s="10"/>
      <c r="F156" s="10" t="str">
        <f>IFERROR(VLOOKUP(E156,Data!A$2:B$5,2,TRUE), "")</f>
        <v/>
      </c>
      <c r="G156" s="3"/>
      <c r="H156" s="13" t="str">
        <f>IFERROR(VLOOKUP(A156,Customer_Data!$A$1:$P$114,8,TRUE),"")</f>
        <v/>
      </c>
      <c r="I156" s="13"/>
      <c r="J156" s="3" t="str">
        <f t="shared" si="32"/>
        <v/>
      </c>
      <c r="K156" s="62" t="e">
        <f>(VLOOKUP($J156,Herbicide_Data!$A$1:$L$61,9,TRUE))</f>
        <v>#N/A</v>
      </c>
      <c r="L156" s="62" t="e">
        <f>VLOOKUP($J156,Herbicide_Data!$A$1:$L$61,12,TRUE)</f>
        <v>#N/A</v>
      </c>
      <c r="M156" s="16" t="e">
        <f t="shared" si="27"/>
        <v>#N/A</v>
      </c>
      <c r="N156" s="62" t="str">
        <f t="shared" si="33"/>
        <v/>
      </c>
      <c r="O156" s="63" t="e">
        <f>VLOOKUP($N156,Herbicide_Data!$A$1:$L$61,9)</f>
        <v>#N/A</v>
      </c>
      <c r="P156" s="62" t="e">
        <f>VLOOKUP($N156,Herbicide_Data!$A$1:$P$61,13)</f>
        <v>#N/A</v>
      </c>
      <c r="Q156" s="16" t="e">
        <f t="shared" si="28"/>
        <v>#N/A</v>
      </c>
      <c r="R156" s="62" t="str">
        <f t="shared" si="34"/>
        <v/>
      </c>
      <c r="S156" s="63" t="e">
        <f>VLOOKUP($R156,Herbicide_Data!$A$1:$L$61,9)</f>
        <v>#N/A</v>
      </c>
      <c r="T156" s="62" t="e">
        <f>VLOOKUP($R156,Herbicide_Data!$A$1:$Q$61,13)</f>
        <v>#N/A</v>
      </c>
      <c r="U156" s="16" t="e">
        <f t="shared" si="29"/>
        <v>#N/A</v>
      </c>
      <c r="V156" s="62" t="b">
        <f t="shared" si="35"/>
        <v>0</v>
      </c>
      <c r="W156" s="63" t="e">
        <f>VLOOKUP($V156,Herbicide_Data!$A$1:$L$17,9)</f>
        <v>#N/A</v>
      </c>
      <c r="X156" s="62" t="e">
        <f>VLOOKUP($V156,Herbicide_Data!$A$1:$L$17,12)</f>
        <v>#N/A</v>
      </c>
      <c r="Y156" s="16" t="e">
        <f t="shared" si="30"/>
        <v>#N/A</v>
      </c>
      <c r="Z156" s="15"/>
      <c r="AA156" s="13"/>
      <c r="AB156" s="17"/>
      <c r="AC156" s="3"/>
      <c r="AD156" s="10"/>
      <c r="AE156" s="3"/>
      <c r="AF156" s="10"/>
      <c r="AG156" s="15"/>
      <c r="AH156" s="62" t="str">
        <f t="shared" si="24"/>
        <v/>
      </c>
      <c r="AI156" s="62" t="e">
        <f>VLOOKUP($AH156,Herbicide_Data!$A$1:$Q$61,13)</f>
        <v>#N/A</v>
      </c>
      <c r="AJ156" s="16" t="e">
        <f t="shared" si="31"/>
        <v>#N/A</v>
      </c>
      <c r="AK156" s="3"/>
      <c r="AL156" s="3"/>
      <c r="AM156" s="3"/>
      <c r="AN156" s="3"/>
      <c r="AO156" s="3"/>
      <c r="AP156" s="3"/>
      <c r="AQ156" s="18"/>
      <c r="AR156" s="19"/>
      <c r="AS156" s="19"/>
      <c r="AT156" s="20"/>
      <c r="AU156" s="20"/>
      <c r="AV156" s="21"/>
      <c r="AW156" s="22"/>
      <c r="AX156" s="19"/>
      <c r="AY156" s="19"/>
      <c r="AZ156" s="19"/>
      <c r="BA156" s="23"/>
      <c r="BB156" s="19"/>
      <c r="BC156" s="19"/>
      <c r="BD156" s="19"/>
    </row>
    <row r="157" spans="1:56">
      <c r="A157" s="13"/>
      <c r="B157" s="11"/>
      <c r="C157" s="12"/>
      <c r="D157" s="12">
        <f t="shared" si="26"/>
        <v>2.0833299999999999E-2</v>
      </c>
      <c r="E157" s="10"/>
      <c r="F157" s="10" t="str">
        <f>IFERROR(VLOOKUP(E157,Data!A$2:B$5,2,TRUE), "")</f>
        <v/>
      </c>
      <c r="G157" s="3"/>
      <c r="H157" s="13" t="str">
        <f>IFERROR(VLOOKUP(A157,Customer_Data!$A$1:$P$114,8,TRUE),"")</f>
        <v/>
      </c>
      <c r="I157" s="13"/>
      <c r="J157" s="3" t="str">
        <f t="shared" si="32"/>
        <v/>
      </c>
      <c r="K157" s="62" t="e">
        <f>(VLOOKUP($J157,Herbicide_Data!$A$1:$L$61,9,TRUE))</f>
        <v>#N/A</v>
      </c>
      <c r="L157" s="62" t="e">
        <f>VLOOKUP($J157,Herbicide_Data!$A$1:$L$61,12,TRUE)</f>
        <v>#N/A</v>
      </c>
      <c r="M157" s="16" t="e">
        <f t="shared" si="27"/>
        <v>#N/A</v>
      </c>
      <c r="N157" s="62" t="str">
        <f t="shared" si="33"/>
        <v/>
      </c>
      <c r="O157" s="63" t="e">
        <f>VLOOKUP($N157,Herbicide_Data!$A$1:$L$61,9)</f>
        <v>#N/A</v>
      </c>
      <c r="P157" s="62" t="e">
        <f>VLOOKUP($N157,Herbicide_Data!$A$1:$P$61,13)</f>
        <v>#N/A</v>
      </c>
      <c r="Q157" s="16" t="e">
        <f t="shared" si="28"/>
        <v>#N/A</v>
      </c>
      <c r="R157" s="62" t="str">
        <f t="shared" si="34"/>
        <v/>
      </c>
      <c r="S157" s="63" t="e">
        <f>VLOOKUP($R157,Herbicide_Data!$A$1:$L$61,9)</f>
        <v>#N/A</v>
      </c>
      <c r="T157" s="62" t="e">
        <f>VLOOKUP($R157,Herbicide_Data!$A$1:$Q$61,13)</f>
        <v>#N/A</v>
      </c>
      <c r="U157" s="16" t="e">
        <f t="shared" si="29"/>
        <v>#N/A</v>
      </c>
      <c r="V157" s="62" t="b">
        <f t="shared" si="35"/>
        <v>0</v>
      </c>
      <c r="W157" s="63" t="e">
        <f>VLOOKUP($V157,Herbicide_Data!$A$1:$L$17,9)</f>
        <v>#N/A</v>
      </c>
      <c r="X157" s="62" t="e">
        <f>VLOOKUP($V157,Herbicide_Data!$A$1:$L$17,12)</f>
        <v>#N/A</v>
      </c>
      <c r="Y157" s="16" t="e">
        <f t="shared" si="30"/>
        <v>#N/A</v>
      </c>
      <c r="Z157" s="15"/>
      <c r="AA157" s="13"/>
      <c r="AB157" s="17"/>
      <c r="AC157" s="3"/>
      <c r="AD157" s="10"/>
      <c r="AE157" s="3"/>
      <c r="AF157" s="10"/>
      <c r="AG157" s="15"/>
      <c r="AH157" s="62" t="str">
        <f t="shared" si="24"/>
        <v/>
      </c>
      <c r="AI157" s="62" t="e">
        <f>VLOOKUP($AH157,Herbicide_Data!$A$1:$Q$61,13)</f>
        <v>#N/A</v>
      </c>
      <c r="AJ157" s="16" t="e">
        <f t="shared" si="31"/>
        <v>#N/A</v>
      </c>
      <c r="AK157" s="3"/>
      <c r="AL157" s="3"/>
      <c r="AM157" s="3"/>
      <c r="AN157" s="3"/>
      <c r="AO157" s="3"/>
      <c r="AP157" s="3"/>
      <c r="AQ157" s="18"/>
      <c r="AR157" s="19"/>
      <c r="AS157" s="19"/>
      <c r="AT157" s="20"/>
      <c r="AU157" s="20"/>
      <c r="AV157" s="21"/>
      <c r="AW157" s="22"/>
      <c r="AX157" s="19"/>
      <c r="AY157" s="19"/>
      <c r="AZ157" s="19"/>
      <c r="BA157" s="23"/>
      <c r="BB157" s="19"/>
      <c r="BC157" s="19"/>
      <c r="BD157" s="19"/>
    </row>
    <row r="158" spans="1:56">
      <c r="A158" s="13"/>
      <c r="B158" s="11"/>
      <c r="C158" s="12"/>
      <c r="D158" s="12">
        <f t="shared" si="26"/>
        <v>2.0833299999999999E-2</v>
      </c>
      <c r="E158" s="10"/>
      <c r="F158" s="10" t="str">
        <f>IFERROR(VLOOKUP(E158,Data!A$2:B$5,2,TRUE), "")</f>
        <v/>
      </c>
      <c r="G158" s="3"/>
      <c r="H158" s="13" t="str">
        <f>IFERROR(VLOOKUP(A158,Customer_Data!$A$1:$P$114,8,TRUE),"")</f>
        <v/>
      </c>
      <c r="I158" s="13"/>
      <c r="J158" s="3" t="str">
        <f t="shared" si="32"/>
        <v/>
      </c>
      <c r="K158" s="62" t="e">
        <f>(VLOOKUP($J158,Herbicide_Data!$A$1:$L$61,9,TRUE))</f>
        <v>#N/A</v>
      </c>
      <c r="L158" s="62" t="e">
        <f>VLOOKUP($J158,Herbicide_Data!$A$1:$L$61,12,TRUE)</f>
        <v>#N/A</v>
      </c>
      <c r="M158" s="16" t="e">
        <f t="shared" si="27"/>
        <v>#N/A</v>
      </c>
      <c r="N158" s="62" t="str">
        <f t="shared" si="33"/>
        <v/>
      </c>
      <c r="O158" s="63" t="e">
        <f>VLOOKUP($N158,Herbicide_Data!$A$1:$L$61,9)</f>
        <v>#N/A</v>
      </c>
      <c r="P158" s="62" t="e">
        <f>VLOOKUP($N158,Herbicide_Data!$A$1:$P$61,13)</f>
        <v>#N/A</v>
      </c>
      <c r="Q158" s="16" t="e">
        <f t="shared" si="28"/>
        <v>#N/A</v>
      </c>
      <c r="R158" s="62" t="str">
        <f t="shared" si="34"/>
        <v/>
      </c>
      <c r="S158" s="63" t="e">
        <f>VLOOKUP($R158,Herbicide_Data!$A$1:$L$61,9)</f>
        <v>#N/A</v>
      </c>
      <c r="T158" s="62" t="e">
        <f>VLOOKUP($R158,Herbicide_Data!$A$1:$Q$61,13)</f>
        <v>#N/A</v>
      </c>
      <c r="U158" s="16" t="e">
        <f t="shared" si="29"/>
        <v>#N/A</v>
      </c>
      <c r="V158" s="62" t="b">
        <f t="shared" si="35"/>
        <v>0</v>
      </c>
      <c r="W158" s="63" t="e">
        <f>VLOOKUP($V158,Herbicide_Data!$A$1:$L$17,9)</f>
        <v>#N/A</v>
      </c>
      <c r="X158" s="62" t="e">
        <f>VLOOKUP($V158,Herbicide_Data!$A$1:$L$17,12)</f>
        <v>#N/A</v>
      </c>
      <c r="Y158" s="16" t="e">
        <f t="shared" si="30"/>
        <v>#N/A</v>
      </c>
      <c r="Z158" s="15"/>
      <c r="AA158" s="13"/>
      <c r="AB158" s="17"/>
      <c r="AC158" s="3"/>
      <c r="AD158" s="10"/>
      <c r="AE158" s="3"/>
      <c r="AF158" s="10"/>
      <c r="AG158" s="15"/>
      <c r="AH158" s="62" t="str">
        <f t="shared" si="24"/>
        <v/>
      </c>
      <c r="AI158" s="62" t="e">
        <f>VLOOKUP($AH158,Herbicide_Data!$A$1:$Q$61,13)</f>
        <v>#N/A</v>
      </c>
      <c r="AJ158" s="16" t="e">
        <f t="shared" si="31"/>
        <v>#N/A</v>
      </c>
      <c r="AK158" s="3"/>
      <c r="AL158" s="3"/>
      <c r="AM158" s="3"/>
      <c r="AN158" s="3"/>
      <c r="AO158" s="3"/>
      <c r="AP158" s="3"/>
      <c r="AQ158" s="18"/>
      <c r="AR158" s="19"/>
      <c r="AS158" s="19"/>
      <c r="AT158" s="20"/>
      <c r="AU158" s="20"/>
      <c r="AV158" s="21"/>
      <c r="AW158" s="22"/>
      <c r="AX158" s="19"/>
      <c r="AY158" s="19"/>
      <c r="AZ158" s="19"/>
      <c r="BA158" s="23"/>
      <c r="BB158" s="19"/>
      <c r="BC158" s="19"/>
      <c r="BD158" s="19"/>
    </row>
    <row r="159" spans="1:56">
      <c r="A159" s="13"/>
      <c r="B159" s="11"/>
      <c r="C159" s="12"/>
      <c r="D159" s="12">
        <f t="shared" si="26"/>
        <v>2.0833299999999999E-2</v>
      </c>
      <c r="E159" s="10"/>
      <c r="F159" s="10" t="str">
        <f>IFERROR(VLOOKUP(E159,Data!A$2:B$5,2,TRUE), "")</f>
        <v/>
      </c>
      <c r="G159" s="3"/>
      <c r="H159" s="13" t="str">
        <f>IFERROR(VLOOKUP(A159,Customer_Data!$A$1:$P$114,8,TRUE),"")</f>
        <v/>
      </c>
      <c r="I159" s="13"/>
      <c r="J159" s="3" t="str">
        <f t="shared" si="32"/>
        <v/>
      </c>
      <c r="K159" s="62" t="e">
        <f>(VLOOKUP($J159,Herbicide_Data!$A$1:$L$61,9,TRUE))</f>
        <v>#N/A</v>
      </c>
      <c r="L159" s="62" t="e">
        <f>VLOOKUP($J159,Herbicide_Data!$A$1:$L$61,12,TRUE)</f>
        <v>#N/A</v>
      </c>
      <c r="M159" s="16" t="e">
        <f t="shared" si="27"/>
        <v>#N/A</v>
      </c>
      <c r="N159" s="62" t="str">
        <f t="shared" si="33"/>
        <v/>
      </c>
      <c r="O159" s="63" t="e">
        <f>VLOOKUP($N159,Herbicide_Data!$A$1:$L$61,9)</f>
        <v>#N/A</v>
      </c>
      <c r="P159" s="62" t="e">
        <f>VLOOKUP($N159,Herbicide_Data!$A$1:$P$61,13)</f>
        <v>#N/A</v>
      </c>
      <c r="Q159" s="16" t="e">
        <f t="shared" si="28"/>
        <v>#N/A</v>
      </c>
      <c r="R159" s="62" t="str">
        <f t="shared" si="34"/>
        <v/>
      </c>
      <c r="S159" s="63" t="e">
        <f>VLOOKUP($R159,Herbicide_Data!$A$1:$L$61,9)</f>
        <v>#N/A</v>
      </c>
      <c r="T159" s="62" t="e">
        <f>VLOOKUP($R159,Herbicide_Data!$A$1:$Q$61,13)</f>
        <v>#N/A</v>
      </c>
      <c r="U159" s="16" t="e">
        <f t="shared" si="29"/>
        <v>#N/A</v>
      </c>
      <c r="V159" s="62" t="b">
        <f t="shared" si="35"/>
        <v>0</v>
      </c>
      <c r="W159" s="63" t="e">
        <f>VLOOKUP($V159,Herbicide_Data!$A$1:$L$17,9)</f>
        <v>#N/A</v>
      </c>
      <c r="X159" s="62" t="e">
        <f>VLOOKUP($V159,Herbicide_Data!$A$1:$L$17,12)</f>
        <v>#N/A</v>
      </c>
      <c r="Y159" s="16" t="e">
        <f t="shared" si="30"/>
        <v>#N/A</v>
      </c>
      <c r="Z159" s="15"/>
      <c r="AA159" s="13"/>
      <c r="AB159" s="17"/>
      <c r="AC159" s="3"/>
      <c r="AD159" s="10"/>
      <c r="AE159" s="3"/>
      <c r="AF159" s="10"/>
      <c r="AG159" s="15"/>
      <c r="AH159" s="62" t="str">
        <f t="shared" ref="AH159:AH222" si="36">IF($G159=("Spring Preemerge (Jan)"),"Surfactant",IF($G159=("Spring Preemerge (Apr)"),"Surfactant",""))</f>
        <v/>
      </c>
      <c r="AI159" s="62" t="e">
        <f>VLOOKUP($AH159,Herbicide_Data!$A$1:$Q$61,13)</f>
        <v>#N/A</v>
      </c>
      <c r="AJ159" s="16" t="e">
        <f t="shared" si="31"/>
        <v>#N/A</v>
      </c>
      <c r="AK159" s="3"/>
      <c r="AL159" s="3"/>
      <c r="AM159" s="3"/>
      <c r="AN159" s="3"/>
      <c r="AO159" s="3"/>
      <c r="AP159" s="3"/>
      <c r="AQ159" s="18"/>
      <c r="AR159" s="19"/>
      <c r="AS159" s="19"/>
      <c r="AT159" s="20"/>
      <c r="AU159" s="20"/>
      <c r="AV159" s="21"/>
      <c r="AW159" s="22"/>
      <c r="AX159" s="19"/>
      <c r="AY159" s="19"/>
      <c r="AZ159" s="19"/>
      <c r="BA159" s="23"/>
      <c r="BB159" s="19"/>
      <c r="BC159" s="19"/>
      <c r="BD159" s="19"/>
    </row>
    <row r="160" spans="1:56">
      <c r="A160" s="13"/>
      <c r="B160" s="11"/>
      <c r="C160" s="12"/>
      <c r="D160" s="12">
        <f t="shared" si="26"/>
        <v>2.0833299999999999E-2</v>
      </c>
      <c r="E160" s="10"/>
      <c r="F160" s="10" t="str">
        <f>IFERROR(VLOOKUP(E160,Data!A$2:B$5,2,TRUE), "")</f>
        <v/>
      </c>
      <c r="G160" s="3"/>
      <c r="H160" s="13" t="str">
        <f>IFERROR(VLOOKUP(A160,Customer_Data!$A$1:$P$114,8,TRUE),"")</f>
        <v/>
      </c>
      <c r="I160" s="13"/>
      <c r="J160" s="3" t="str">
        <f t="shared" si="32"/>
        <v/>
      </c>
      <c r="K160" s="62" t="e">
        <f>(VLOOKUP($J160,Herbicide_Data!$A$1:$L$61,9,TRUE))</f>
        <v>#N/A</v>
      </c>
      <c r="L160" s="62" t="e">
        <f>VLOOKUP($J160,Herbicide_Data!$A$1:$L$61,12,TRUE)</f>
        <v>#N/A</v>
      </c>
      <c r="M160" s="16" t="e">
        <f t="shared" si="27"/>
        <v>#N/A</v>
      </c>
      <c r="N160" s="62" t="str">
        <f t="shared" si="33"/>
        <v/>
      </c>
      <c r="O160" s="63" t="e">
        <f>VLOOKUP($N160,Herbicide_Data!$A$1:$L$61,9)</f>
        <v>#N/A</v>
      </c>
      <c r="P160" s="62" t="e">
        <f>VLOOKUP($N160,Herbicide_Data!$A$1:$P$61,13)</f>
        <v>#N/A</v>
      </c>
      <c r="Q160" s="16" t="e">
        <f t="shared" si="28"/>
        <v>#N/A</v>
      </c>
      <c r="R160" s="62" t="str">
        <f t="shared" si="34"/>
        <v/>
      </c>
      <c r="S160" s="63" t="e">
        <f>VLOOKUP($R160,Herbicide_Data!$A$1:$L$61,9)</f>
        <v>#N/A</v>
      </c>
      <c r="T160" s="62" t="e">
        <f>VLOOKUP($R160,Herbicide_Data!$A$1:$Q$61,13)</f>
        <v>#N/A</v>
      </c>
      <c r="U160" s="16" t="e">
        <f t="shared" si="29"/>
        <v>#N/A</v>
      </c>
      <c r="V160" s="62" t="b">
        <f t="shared" si="35"/>
        <v>0</v>
      </c>
      <c r="W160" s="63" t="e">
        <f>VLOOKUP($V160,Herbicide_Data!$A$1:$L$17,9)</f>
        <v>#N/A</v>
      </c>
      <c r="X160" s="62" t="e">
        <f>VLOOKUP($V160,Herbicide_Data!$A$1:$L$17,12)</f>
        <v>#N/A</v>
      </c>
      <c r="Y160" s="16" t="e">
        <f t="shared" si="30"/>
        <v>#N/A</v>
      </c>
      <c r="Z160" s="15"/>
      <c r="AA160" s="13"/>
      <c r="AB160" s="17"/>
      <c r="AC160" s="3"/>
      <c r="AD160" s="10"/>
      <c r="AE160" s="3"/>
      <c r="AF160" s="10"/>
      <c r="AG160" s="15"/>
      <c r="AH160" s="62" t="str">
        <f t="shared" si="36"/>
        <v/>
      </c>
      <c r="AI160" s="62" t="e">
        <f>VLOOKUP($AH160,Herbicide_Data!$A$1:$Q$61,13)</f>
        <v>#N/A</v>
      </c>
      <c r="AJ160" s="16" t="e">
        <f t="shared" si="31"/>
        <v>#N/A</v>
      </c>
      <c r="AK160" s="3"/>
      <c r="AL160" s="3"/>
      <c r="AM160" s="3"/>
      <c r="AN160" s="3"/>
      <c r="AO160" s="3"/>
      <c r="AP160" s="3"/>
      <c r="AQ160" s="18"/>
      <c r="AR160" s="19"/>
      <c r="AS160" s="19"/>
      <c r="AT160" s="20"/>
      <c r="AU160" s="20"/>
      <c r="AV160" s="21"/>
      <c r="AW160" s="22"/>
      <c r="AX160" s="19"/>
      <c r="AY160" s="19"/>
      <c r="AZ160" s="19"/>
      <c r="BA160" s="23"/>
      <c r="BB160" s="19"/>
      <c r="BC160" s="19"/>
      <c r="BD160" s="19"/>
    </row>
    <row r="161" spans="1:56">
      <c r="A161" s="13"/>
      <c r="B161" s="11"/>
      <c r="C161" s="12"/>
      <c r="D161" s="12">
        <f t="shared" si="26"/>
        <v>2.0833299999999999E-2</v>
      </c>
      <c r="E161" s="10"/>
      <c r="F161" s="10" t="str">
        <f>IFERROR(VLOOKUP(E161,Data!A$2:B$5,2,TRUE), "")</f>
        <v/>
      </c>
      <c r="G161" s="3"/>
      <c r="H161" s="13" t="str">
        <f>IFERROR(VLOOKUP(A161,Customer_Data!$A$1:$P$114,8,TRUE),"")</f>
        <v/>
      </c>
      <c r="I161" s="13"/>
      <c r="J161" s="3" t="str">
        <f t="shared" si="32"/>
        <v/>
      </c>
      <c r="K161" s="62" t="e">
        <f>(VLOOKUP($J161,Herbicide_Data!$A$1:$L$61,9,TRUE))</f>
        <v>#N/A</v>
      </c>
      <c r="L161" s="62" t="e">
        <f>VLOOKUP($J161,Herbicide_Data!$A$1:$L$61,12,TRUE)</f>
        <v>#N/A</v>
      </c>
      <c r="M161" s="16" t="e">
        <f t="shared" si="27"/>
        <v>#N/A</v>
      </c>
      <c r="N161" s="62" t="str">
        <f t="shared" si="33"/>
        <v/>
      </c>
      <c r="O161" s="63" t="e">
        <f>VLOOKUP($N161,Herbicide_Data!$A$1:$L$61,9)</f>
        <v>#N/A</v>
      </c>
      <c r="P161" s="62" t="e">
        <f>VLOOKUP($N161,Herbicide_Data!$A$1:$P$61,13)</f>
        <v>#N/A</v>
      </c>
      <c r="Q161" s="16" t="e">
        <f t="shared" si="28"/>
        <v>#N/A</v>
      </c>
      <c r="R161" s="62" t="str">
        <f t="shared" si="34"/>
        <v/>
      </c>
      <c r="S161" s="63" t="e">
        <f>VLOOKUP($R161,Herbicide_Data!$A$1:$L$61,9)</f>
        <v>#N/A</v>
      </c>
      <c r="T161" s="62" t="e">
        <f>VLOOKUP($R161,Herbicide_Data!$A$1:$Q$61,13)</f>
        <v>#N/A</v>
      </c>
      <c r="U161" s="16" t="e">
        <f t="shared" si="29"/>
        <v>#N/A</v>
      </c>
      <c r="V161" s="62" t="b">
        <f t="shared" si="35"/>
        <v>0</v>
      </c>
      <c r="W161" s="63" t="e">
        <f>VLOOKUP($V161,Herbicide_Data!$A$1:$L$17,9)</f>
        <v>#N/A</v>
      </c>
      <c r="X161" s="62" t="e">
        <f>VLOOKUP($V161,Herbicide_Data!$A$1:$L$17,12)</f>
        <v>#N/A</v>
      </c>
      <c r="Y161" s="16" t="e">
        <f t="shared" si="30"/>
        <v>#N/A</v>
      </c>
      <c r="Z161" s="15"/>
      <c r="AA161" s="13"/>
      <c r="AB161" s="17"/>
      <c r="AC161" s="3"/>
      <c r="AD161" s="10"/>
      <c r="AE161" s="3"/>
      <c r="AF161" s="10"/>
      <c r="AG161" s="15"/>
      <c r="AH161" s="62" t="str">
        <f t="shared" si="36"/>
        <v/>
      </c>
      <c r="AI161" s="62" t="e">
        <f>VLOOKUP($AH161,Herbicide_Data!$A$1:$Q$61,13)</f>
        <v>#N/A</v>
      </c>
      <c r="AJ161" s="16" t="e">
        <f t="shared" si="31"/>
        <v>#N/A</v>
      </c>
      <c r="AK161" s="3"/>
      <c r="AL161" s="3"/>
      <c r="AM161" s="3"/>
      <c r="AN161" s="3"/>
      <c r="AO161" s="3"/>
      <c r="AP161" s="3"/>
      <c r="AQ161" s="18"/>
      <c r="AR161" s="19"/>
      <c r="AS161" s="19"/>
      <c r="AT161" s="20"/>
      <c r="AU161" s="20"/>
      <c r="AV161" s="21"/>
      <c r="AW161" s="22"/>
      <c r="AX161" s="19"/>
      <c r="AY161" s="19"/>
      <c r="AZ161" s="19"/>
      <c r="BA161" s="23"/>
      <c r="BB161" s="19"/>
      <c r="BC161" s="19"/>
      <c r="BD161" s="19"/>
    </row>
    <row r="162" spans="1:56">
      <c r="A162" s="13"/>
      <c r="B162" s="11"/>
      <c r="C162" s="12"/>
      <c r="D162" s="12">
        <f t="shared" si="26"/>
        <v>2.0833299999999999E-2</v>
      </c>
      <c r="E162" s="10"/>
      <c r="F162" s="10" t="str">
        <f>IFERROR(VLOOKUP(E162,Data!A$2:B$5,2,TRUE), "")</f>
        <v/>
      </c>
      <c r="G162" s="3"/>
      <c r="H162" s="13" t="str">
        <f>IFERROR(VLOOKUP(A162,Customer_Data!$A$1:$P$114,8,TRUE),"")</f>
        <v/>
      </c>
      <c r="I162" s="13"/>
      <c r="J162" s="3" t="str">
        <f t="shared" si="32"/>
        <v/>
      </c>
      <c r="K162" s="62" t="e">
        <f>(VLOOKUP($J162,Herbicide_Data!$A$1:$L$61,9,TRUE))</f>
        <v>#N/A</v>
      </c>
      <c r="L162" s="62" t="e">
        <f>VLOOKUP($J162,Herbicide_Data!$A$1:$L$61,12,TRUE)</f>
        <v>#N/A</v>
      </c>
      <c r="M162" s="16" t="e">
        <f t="shared" si="27"/>
        <v>#N/A</v>
      </c>
      <c r="N162" s="62" t="str">
        <f t="shared" si="33"/>
        <v/>
      </c>
      <c r="O162" s="63" t="e">
        <f>VLOOKUP($N162,Herbicide_Data!$A$1:$L$61,9)</f>
        <v>#N/A</v>
      </c>
      <c r="P162" s="62" t="e">
        <f>VLOOKUP($N162,Herbicide_Data!$A$1:$P$61,13)</f>
        <v>#N/A</v>
      </c>
      <c r="Q162" s="16" t="e">
        <f t="shared" si="28"/>
        <v>#N/A</v>
      </c>
      <c r="R162" s="62" t="str">
        <f t="shared" si="34"/>
        <v/>
      </c>
      <c r="S162" s="63" t="e">
        <f>VLOOKUP($R162,Herbicide_Data!$A$1:$L$61,9)</f>
        <v>#N/A</v>
      </c>
      <c r="T162" s="62" t="e">
        <f>VLOOKUP($R162,Herbicide_Data!$A$1:$Q$61,13)</f>
        <v>#N/A</v>
      </c>
      <c r="U162" s="16" t="e">
        <f t="shared" si="29"/>
        <v>#N/A</v>
      </c>
      <c r="V162" s="62" t="b">
        <f t="shared" si="35"/>
        <v>0</v>
      </c>
      <c r="W162" s="63" t="e">
        <f>VLOOKUP($V162,Herbicide_Data!$A$1:$L$17,9)</f>
        <v>#N/A</v>
      </c>
      <c r="X162" s="62" t="e">
        <f>VLOOKUP($V162,Herbicide_Data!$A$1:$L$17,12)</f>
        <v>#N/A</v>
      </c>
      <c r="Y162" s="16" t="e">
        <f t="shared" si="30"/>
        <v>#N/A</v>
      </c>
      <c r="Z162" s="15"/>
      <c r="AA162" s="13"/>
      <c r="AB162" s="17"/>
      <c r="AC162" s="3"/>
      <c r="AD162" s="10"/>
      <c r="AE162" s="3"/>
      <c r="AF162" s="10"/>
      <c r="AG162" s="15"/>
      <c r="AH162" s="62" t="str">
        <f t="shared" si="36"/>
        <v/>
      </c>
      <c r="AI162" s="62" t="e">
        <f>VLOOKUP($AH162,Herbicide_Data!$A$1:$Q$61,13)</f>
        <v>#N/A</v>
      </c>
      <c r="AJ162" s="16" t="e">
        <f t="shared" si="31"/>
        <v>#N/A</v>
      </c>
      <c r="AK162" s="3"/>
      <c r="AL162" s="3"/>
      <c r="AM162" s="3"/>
      <c r="AN162" s="3"/>
      <c r="AO162" s="3"/>
      <c r="AP162" s="3"/>
      <c r="AQ162" s="18"/>
      <c r="AR162" s="19"/>
      <c r="AS162" s="19"/>
      <c r="AT162" s="20"/>
      <c r="AU162" s="20"/>
      <c r="AV162" s="21"/>
      <c r="AW162" s="22"/>
      <c r="AX162" s="19"/>
      <c r="AY162" s="19"/>
      <c r="AZ162" s="19"/>
      <c r="BA162" s="23"/>
      <c r="BB162" s="19"/>
      <c r="BC162" s="19"/>
      <c r="BD162" s="19"/>
    </row>
    <row r="163" spans="1:56">
      <c r="A163" s="13"/>
      <c r="B163" s="11"/>
      <c r="C163" s="12"/>
      <c r="D163" s="12">
        <f t="shared" si="26"/>
        <v>2.0833299999999999E-2</v>
      </c>
      <c r="E163" s="10"/>
      <c r="F163" s="10" t="str">
        <f>IFERROR(VLOOKUP(E163,Data!A$2:B$5,2,TRUE), "")</f>
        <v/>
      </c>
      <c r="G163" s="3"/>
      <c r="H163" s="13" t="str">
        <f>IFERROR(VLOOKUP(A163,Customer_Data!$A$1:$P$114,8,TRUE),"")</f>
        <v/>
      </c>
      <c r="I163" s="13"/>
      <c r="J163" s="3" t="str">
        <f t="shared" si="32"/>
        <v/>
      </c>
      <c r="K163" s="62" t="e">
        <f>(VLOOKUP($J163,Herbicide_Data!$A$1:$L$61,9,TRUE))</f>
        <v>#N/A</v>
      </c>
      <c r="L163" s="62" t="e">
        <f>VLOOKUP($J163,Herbicide_Data!$A$1:$L$61,12,TRUE)</f>
        <v>#N/A</v>
      </c>
      <c r="M163" s="16" t="e">
        <f t="shared" si="27"/>
        <v>#N/A</v>
      </c>
      <c r="N163" s="62" t="str">
        <f t="shared" si="33"/>
        <v/>
      </c>
      <c r="O163" s="63" t="e">
        <f>VLOOKUP($N163,Herbicide_Data!$A$1:$L$61,9)</f>
        <v>#N/A</v>
      </c>
      <c r="P163" s="62" t="e">
        <f>VLOOKUP($N163,Herbicide_Data!$A$1:$P$61,13)</f>
        <v>#N/A</v>
      </c>
      <c r="Q163" s="16" t="e">
        <f t="shared" si="28"/>
        <v>#N/A</v>
      </c>
      <c r="R163" s="62" t="str">
        <f t="shared" si="34"/>
        <v/>
      </c>
      <c r="S163" s="63" t="e">
        <f>VLOOKUP($R163,Herbicide_Data!$A$1:$L$61,9)</f>
        <v>#N/A</v>
      </c>
      <c r="T163" s="62" t="e">
        <f>VLOOKUP($R163,Herbicide_Data!$A$1:$Q$61,13)</f>
        <v>#N/A</v>
      </c>
      <c r="U163" s="16" t="e">
        <f t="shared" si="29"/>
        <v>#N/A</v>
      </c>
      <c r="V163" s="62" t="b">
        <f t="shared" si="35"/>
        <v>0</v>
      </c>
      <c r="W163" s="63" t="e">
        <f>VLOOKUP($V163,Herbicide_Data!$A$1:$L$17,9)</f>
        <v>#N/A</v>
      </c>
      <c r="X163" s="62" t="e">
        <f>VLOOKUP($V163,Herbicide_Data!$A$1:$L$17,12)</f>
        <v>#N/A</v>
      </c>
      <c r="Y163" s="16" t="e">
        <f t="shared" si="30"/>
        <v>#N/A</v>
      </c>
      <c r="Z163" s="15"/>
      <c r="AA163" s="13"/>
      <c r="AB163" s="17"/>
      <c r="AC163" s="3"/>
      <c r="AD163" s="10"/>
      <c r="AE163" s="3"/>
      <c r="AF163" s="10"/>
      <c r="AG163" s="15"/>
      <c r="AH163" s="62" t="str">
        <f t="shared" si="36"/>
        <v/>
      </c>
      <c r="AI163" s="62" t="e">
        <f>VLOOKUP($AH163,Herbicide_Data!$A$1:$Q$61,13)</f>
        <v>#N/A</v>
      </c>
      <c r="AJ163" s="16" t="e">
        <f t="shared" si="31"/>
        <v>#N/A</v>
      </c>
      <c r="AK163" s="3"/>
      <c r="AL163" s="3"/>
      <c r="AM163" s="3"/>
      <c r="AN163" s="3"/>
      <c r="AO163" s="3"/>
      <c r="AP163" s="3"/>
      <c r="AQ163" s="18"/>
      <c r="AR163" s="19"/>
      <c r="AS163" s="19"/>
      <c r="AT163" s="20"/>
      <c r="AU163" s="20"/>
      <c r="AV163" s="21"/>
      <c r="AW163" s="22"/>
      <c r="AX163" s="19"/>
      <c r="AY163" s="19"/>
      <c r="AZ163" s="19"/>
      <c r="BA163" s="23"/>
      <c r="BB163" s="19"/>
      <c r="BC163" s="19"/>
      <c r="BD163" s="19"/>
    </row>
    <row r="164" spans="1:56">
      <c r="A164" s="13"/>
      <c r="B164" s="11"/>
      <c r="C164" s="12"/>
      <c r="D164" s="12">
        <f t="shared" si="26"/>
        <v>2.0833299999999999E-2</v>
      </c>
      <c r="E164" s="10"/>
      <c r="F164" s="10" t="str">
        <f>IFERROR(VLOOKUP(E164,Data!A$2:B$5,2,TRUE), "")</f>
        <v/>
      </c>
      <c r="G164" s="3"/>
      <c r="H164" s="13" t="str">
        <f>IFERROR(VLOOKUP(A164,Customer_Data!$A$1:$P$114,8,TRUE),"")</f>
        <v/>
      </c>
      <c r="I164" s="13"/>
      <c r="J164" s="3" t="str">
        <f t="shared" si="32"/>
        <v/>
      </c>
      <c r="K164" s="62" t="e">
        <f>(VLOOKUP($J164,Herbicide_Data!$A$1:$L$61,9,TRUE))</f>
        <v>#N/A</v>
      </c>
      <c r="L164" s="62" t="e">
        <f>VLOOKUP($J164,Herbicide_Data!$A$1:$L$61,12,TRUE)</f>
        <v>#N/A</v>
      </c>
      <c r="M164" s="16" t="e">
        <f t="shared" si="27"/>
        <v>#N/A</v>
      </c>
      <c r="N164" s="62" t="str">
        <f t="shared" si="33"/>
        <v/>
      </c>
      <c r="O164" s="63" t="e">
        <f>VLOOKUP($N164,Herbicide_Data!$A$1:$L$61,9)</f>
        <v>#N/A</v>
      </c>
      <c r="P164" s="62" t="e">
        <f>VLOOKUP($N164,Herbicide_Data!$A$1:$P$61,13)</f>
        <v>#N/A</v>
      </c>
      <c r="Q164" s="16" t="e">
        <f t="shared" si="28"/>
        <v>#N/A</v>
      </c>
      <c r="R164" s="62" t="str">
        <f t="shared" si="34"/>
        <v/>
      </c>
      <c r="S164" s="63" t="e">
        <f>VLOOKUP($R164,Herbicide_Data!$A$1:$L$61,9)</f>
        <v>#N/A</v>
      </c>
      <c r="T164" s="62" t="e">
        <f>VLOOKUP($R164,Herbicide_Data!$A$1:$Q$61,13)</f>
        <v>#N/A</v>
      </c>
      <c r="U164" s="16" t="e">
        <f t="shared" si="29"/>
        <v>#N/A</v>
      </c>
      <c r="V164" s="62" t="b">
        <f t="shared" si="35"/>
        <v>0</v>
      </c>
      <c r="W164" s="63" t="e">
        <f>VLOOKUP($V164,Herbicide_Data!$A$1:$L$17,9)</f>
        <v>#N/A</v>
      </c>
      <c r="X164" s="62" t="e">
        <f>VLOOKUP($V164,Herbicide_Data!$A$1:$L$17,12)</f>
        <v>#N/A</v>
      </c>
      <c r="Y164" s="16" t="e">
        <f t="shared" si="30"/>
        <v>#N/A</v>
      </c>
      <c r="Z164" s="15"/>
      <c r="AA164" s="13"/>
      <c r="AB164" s="17"/>
      <c r="AC164" s="3"/>
      <c r="AD164" s="10"/>
      <c r="AE164" s="3"/>
      <c r="AF164" s="10"/>
      <c r="AG164" s="15"/>
      <c r="AH164" s="62" t="str">
        <f t="shared" si="36"/>
        <v/>
      </c>
      <c r="AI164" s="62" t="e">
        <f>VLOOKUP($AH164,Herbicide_Data!$A$1:$Q$61,13)</f>
        <v>#N/A</v>
      </c>
      <c r="AJ164" s="16" t="e">
        <f t="shared" si="31"/>
        <v>#N/A</v>
      </c>
      <c r="AK164" s="3"/>
      <c r="AL164" s="3"/>
      <c r="AM164" s="3"/>
      <c r="AN164" s="3"/>
      <c r="AO164" s="3"/>
      <c r="AP164" s="3"/>
      <c r="AQ164" s="18"/>
      <c r="AR164" s="19"/>
      <c r="AS164" s="19"/>
      <c r="AT164" s="20"/>
      <c r="AU164" s="20"/>
      <c r="AV164" s="21"/>
      <c r="AW164" s="22"/>
      <c r="AX164" s="19"/>
      <c r="AY164" s="19"/>
      <c r="AZ164" s="19"/>
      <c r="BA164" s="23"/>
      <c r="BB164" s="19"/>
      <c r="BC164" s="19"/>
      <c r="BD164" s="19"/>
    </row>
    <row r="165" spans="1:56">
      <c r="A165" s="13"/>
      <c r="B165" s="11"/>
      <c r="C165" s="12"/>
      <c r="D165" s="12">
        <f t="shared" si="26"/>
        <v>2.0833299999999999E-2</v>
      </c>
      <c r="E165" s="10"/>
      <c r="F165" s="10" t="str">
        <f>IFERROR(VLOOKUP(E165,Data!A$2:B$5,2,TRUE), "")</f>
        <v/>
      </c>
      <c r="G165" s="3"/>
      <c r="H165" s="13" t="str">
        <f>IFERROR(VLOOKUP(A165,Customer_Data!$A$1:$P$114,8,TRUE),"")</f>
        <v/>
      </c>
      <c r="I165" s="13"/>
      <c r="J165" s="3" t="str">
        <f t="shared" si="32"/>
        <v/>
      </c>
      <c r="K165" s="62" t="e">
        <f>(VLOOKUP($J165,Herbicide_Data!$A$1:$L$61,9,TRUE))</f>
        <v>#N/A</v>
      </c>
      <c r="L165" s="62" t="e">
        <f>VLOOKUP($J165,Herbicide_Data!$A$1:$L$61,12,TRUE)</f>
        <v>#N/A</v>
      </c>
      <c r="M165" s="16" t="e">
        <f t="shared" si="27"/>
        <v>#N/A</v>
      </c>
      <c r="N165" s="62" t="str">
        <f t="shared" si="33"/>
        <v/>
      </c>
      <c r="O165" s="63" t="e">
        <f>VLOOKUP($N165,Herbicide_Data!$A$1:$L$61,9)</f>
        <v>#N/A</v>
      </c>
      <c r="P165" s="62" t="e">
        <f>VLOOKUP($N165,Herbicide_Data!$A$1:$P$61,13)</f>
        <v>#N/A</v>
      </c>
      <c r="Q165" s="16" t="e">
        <f t="shared" si="28"/>
        <v>#N/A</v>
      </c>
      <c r="R165" s="62" t="str">
        <f t="shared" si="34"/>
        <v/>
      </c>
      <c r="S165" s="63" t="e">
        <f>VLOOKUP($R165,Herbicide_Data!$A$1:$L$61,9)</f>
        <v>#N/A</v>
      </c>
      <c r="T165" s="62" t="e">
        <f>VLOOKUP($R165,Herbicide_Data!$A$1:$Q$61,13)</f>
        <v>#N/A</v>
      </c>
      <c r="U165" s="16" t="e">
        <f t="shared" si="29"/>
        <v>#N/A</v>
      </c>
      <c r="V165" s="62" t="b">
        <f t="shared" si="35"/>
        <v>0</v>
      </c>
      <c r="W165" s="63" t="e">
        <f>VLOOKUP($V165,Herbicide_Data!$A$1:$L$17,9)</f>
        <v>#N/A</v>
      </c>
      <c r="X165" s="62" t="e">
        <f>VLOOKUP($V165,Herbicide_Data!$A$1:$L$17,12)</f>
        <v>#N/A</v>
      </c>
      <c r="Y165" s="16" t="e">
        <f t="shared" si="30"/>
        <v>#N/A</v>
      </c>
      <c r="Z165" s="15"/>
      <c r="AA165" s="13"/>
      <c r="AB165" s="17"/>
      <c r="AC165" s="3"/>
      <c r="AD165" s="10"/>
      <c r="AE165" s="3"/>
      <c r="AF165" s="10"/>
      <c r="AG165" s="15"/>
      <c r="AH165" s="62" t="str">
        <f t="shared" si="36"/>
        <v/>
      </c>
      <c r="AI165" s="62" t="e">
        <f>VLOOKUP($AH165,Herbicide_Data!$A$1:$Q$61,13)</f>
        <v>#N/A</v>
      </c>
      <c r="AJ165" s="16" t="e">
        <f t="shared" si="31"/>
        <v>#N/A</v>
      </c>
      <c r="AK165" s="3"/>
      <c r="AL165" s="3"/>
      <c r="AM165" s="3"/>
      <c r="AN165" s="3"/>
      <c r="AO165" s="3"/>
      <c r="AP165" s="3"/>
      <c r="AQ165" s="18"/>
      <c r="AR165" s="19"/>
      <c r="AS165" s="19"/>
      <c r="AT165" s="20"/>
      <c r="AU165" s="20"/>
      <c r="AV165" s="21"/>
      <c r="AW165" s="22"/>
      <c r="AX165" s="19"/>
      <c r="AY165" s="19"/>
      <c r="AZ165" s="19"/>
      <c r="BA165" s="23"/>
      <c r="BB165" s="19"/>
      <c r="BC165" s="19"/>
      <c r="BD165" s="19"/>
    </row>
    <row r="166" spans="1:56">
      <c r="A166" s="13"/>
      <c r="B166" s="11"/>
      <c r="C166" s="12"/>
      <c r="D166" s="12">
        <f t="shared" si="26"/>
        <v>2.0833299999999999E-2</v>
      </c>
      <c r="E166" s="10"/>
      <c r="F166" s="10" t="str">
        <f>IFERROR(VLOOKUP(E166,Data!A$2:B$5,2,TRUE), "")</f>
        <v/>
      </c>
      <c r="G166" s="3"/>
      <c r="H166" s="13" t="str">
        <f>IFERROR(VLOOKUP(A166,Customer_Data!$A$1:$P$114,8,TRUE),"")</f>
        <v/>
      </c>
      <c r="I166" s="13"/>
      <c r="J166" s="3" t="str">
        <f t="shared" si="32"/>
        <v/>
      </c>
      <c r="K166" s="62" t="e">
        <f>(VLOOKUP($J166,Herbicide_Data!$A$1:$L$61,9,TRUE))</f>
        <v>#N/A</v>
      </c>
      <c r="L166" s="62" t="e">
        <f>VLOOKUP($J166,Herbicide_Data!$A$1:$L$61,12,TRUE)</f>
        <v>#N/A</v>
      </c>
      <c r="M166" s="16" t="e">
        <f t="shared" si="27"/>
        <v>#N/A</v>
      </c>
      <c r="N166" s="62" t="str">
        <f t="shared" si="33"/>
        <v/>
      </c>
      <c r="O166" s="63" t="e">
        <f>VLOOKUP($N166,Herbicide_Data!$A$1:$L$61,9)</f>
        <v>#N/A</v>
      </c>
      <c r="P166" s="62" t="e">
        <f>VLOOKUP($N166,Herbicide_Data!$A$1:$P$61,13)</f>
        <v>#N/A</v>
      </c>
      <c r="Q166" s="16" t="e">
        <f t="shared" si="28"/>
        <v>#N/A</v>
      </c>
      <c r="R166" s="62" t="str">
        <f t="shared" si="34"/>
        <v/>
      </c>
      <c r="S166" s="63" t="e">
        <f>VLOOKUP($R166,Herbicide_Data!$A$1:$L$61,9)</f>
        <v>#N/A</v>
      </c>
      <c r="T166" s="62" t="e">
        <f>VLOOKUP($R166,Herbicide_Data!$A$1:$Q$61,13)</f>
        <v>#N/A</v>
      </c>
      <c r="U166" s="16" t="e">
        <f t="shared" si="29"/>
        <v>#N/A</v>
      </c>
      <c r="V166" s="62" t="b">
        <f t="shared" si="35"/>
        <v>0</v>
      </c>
      <c r="W166" s="63" t="e">
        <f>VLOOKUP($V166,Herbicide_Data!$A$1:$L$17,9)</f>
        <v>#N/A</v>
      </c>
      <c r="X166" s="62" t="e">
        <f>VLOOKUP($V166,Herbicide_Data!$A$1:$L$17,12)</f>
        <v>#N/A</v>
      </c>
      <c r="Y166" s="16" t="e">
        <f t="shared" si="30"/>
        <v>#N/A</v>
      </c>
      <c r="Z166" s="15"/>
      <c r="AA166" s="13"/>
      <c r="AB166" s="17"/>
      <c r="AC166" s="3"/>
      <c r="AD166" s="10"/>
      <c r="AE166" s="3"/>
      <c r="AF166" s="10"/>
      <c r="AG166" s="15"/>
      <c r="AH166" s="62" t="str">
        <f t="shared" si="36"/>
        <v/>
      </c>
      <c r="AI166" s="62" t="e">
        <f>VLOOKUP($AH166,Herbicide_Data!$A$1:$Q$61,13)</f>
        <v>#N/A</v>
      </c>
      <c r="AJ166" s="16" t="e">
        <f t="shared" si="31"/>
        <v>#N/A</v>
      </c>
      <c r="AK166" s="3"/>
      <c r="AL166" s="3"/>
      <c r="AM166" s="3"/>
      <c r="AN166" s="3"/>
      <c r="AO166" s="3"/>
      <c r="AP166" s="3"/>
      <c r="AQ166" s="18"/>
      <c r="AR166" s="19"/>
      <c r="AS166" s="19"/>
      <c r="AT166" s="20"/>
      <c r="AU166" s="20"/>
      <c r="AV166" s="21"/>
      <c r="AW166" s="22"/>
      <c r="AX166" s="19"/>
      <c r="AY166" s="19"/>
      <c r="AZ166" s="19"/>
      <c r="BA166" s="23"/>
      <c r="BB166" s="19"/>
      <c r="BC166" s="19"/>
      <c r="BD166" s="19"/>
    </row>
    <row r="167" spans="1:56">
      <c r="A167" s="13"/>
      <c r="B167" s="11"/>
      <c r="C167" s="12"/>
      <c r="D167" s="12">
        <f t="shared" si="26"/>
        <v>2.0833299999999999E-2</v>
      </c>
      <c r="E167" s="10"/>
      <c r="F167" s="10" t="str">
        <f>IFERROR(VLOOKUP(E167,Data!A$2:B$5,2,TRUE), "")</f>
        <v/>
      </c>
      <c r="G167" s="3"/>
      <c r="H167" s="13" t="str">
        <f>IFERROR(VLOOKUP(A167,Customer_Data!$A$1:$P$114,8,TRUE),"")</f>
        <v/>
      </c>
      <c r="I167" s="13"/>
      <c r="J167" s="3" t="str">
        <f t="shared" si="32"/>
        <v/>
      </c>
      <c r="K167" s="62" t="e">
        <f>(VLOOKUP($J167,Herbicide_Data!$A$1:$L$61,9,TRUE))</f>
        <v>#N/A</v>
      </c>
      <c r="L167" s="62" t="e">
        <f>VLOOKUP($J167,Herbicide_Data!$A$1:$L$61,12,TRUE)</f>
        <v>#N/A</v>
      </c>
      <c r="M167" s="16" t="e">
        <f t="shared" si="27"/>
        <v>#N/A</v>
      </c>
      <c r="N167" s="62" t="str">
        <f t="shared" si="33"/>
        <v/>
      </c>
      <c r="O167" s="63" t="e">
        <f>VLOOKUP($N167,Herbicide_Data!$A$1:$L$61,9)</f>
        <v>#N/A</v>
      </c>
      <c r="P167" s="62" t="e">
        <f>VLOOKUP($N167,Herbicide_Data!$A$1:$P$61,13)</f>
        <v>#N/A</v>
      </c>
      <c r="Q167" s="16" t="e">
        <f t="shared" si="28"/>
        <v>#N/A</v>
      </c>
      <c r="R167" s="62" t="str">
        <f t="shared" si="34"/>
        <v/>
      </c>
      <c r="S167" s="63" t="e">
        <f>VLOOKUP($R167,Herbicide_Data!$A$1:$L$61,9)</f>
        <v>#N/A</v>
      </c>
      <c r="T167" s="62" t="e">
        <f>VLOOKUP($R167,Herbicide_Data!$A$1:$Q$61,13)</f>
        <v>#N/A</v>
      </c>
      <c r="U167" s="16" t="e">
        <f t="shared" si="29"/>
        <v>#N/A</v>
      </c>
      <c r="V167" s="62" t="b">
        <f t="shared" si="35"/>
        <v>0</v>
      </c>
      <c r="W167" s="63" t="e">
        <f>VLOOKUP($V167,Herbicide_Data!$A$1:$L$17,9)</f>
        <v>#N/A</v>
      </c>
      <c r="X167" s="62" t="e">
        <f>VLOOKUP($V167,Herbicide_Data!$A$1:$L$17,12)</f>
        <v>#N/A</v>
      </c>
      <c r="Y167" s="16" t="e">
        <f t="shared" si="30"/>
        <v>#N/A</v>
      </c>
      <c r="Z167" s="15"/>
      <c r="AA167" s="13"/>
      <c r="AB167" s="17"/>
      <c r="AC167" s="3"/>
      <c r="AD167" s="10"/>
      <c r="AE167" s="3"/>
      <c r="AF167" s="10"/>
      <c r="AG167" s="15"/>
      <c r="AH167" s="62" t="str">
        <f t="shared" si="36"/>
        <v/>
      </c>
      <c r="AI167" s="62" t="e">
        <f>VLOOKUP($AH167,Herbicide_Data!$A$1:$Q$61,13)</f>
        <v>#N/A</v>
      </c>
      <c r="AJ167" s="16" t="e">
        <f t="shared" si="31"/>
        <v>#N/A</v>
      </c>
      <c r="AK167" s="3"/>
      <c r="AL167" s="3"/>
      <c r="AM167" s="3"/>
      <c r="AN167" s="3"/>
      <c r="AO167" s="3"/>
      <c r="AP167" s="3"/>
      <c r="AQ167" s="18"/>
      <c r="AR167" s="19"/>
      <c r="AS167" s="19"/>
      <c r="AT167" s="20"/>
      <c r="AU167" s="20"/>
      <c r="AV167" s="21"/>
      <c r="AW167" s="22"/>
      <c r="AX167" s="19"/>
      <c r="AY167" s="19"/>
      <c r="AZ167" s="19"/>
      <c r="BA167" s="23"/>
      <c r="BB167" s="19"/>
      <c r="BC167" s="19"/>
      <c r="BD167" s="19"/>
    </row>
    <row r="168" spans="1:56">
      <c r="A168" s="13"/>
      <c r="B168" s="11"/>
      <c r="C168" s="12"/>
      <c r="D168" s="12">
        <f t="shared" si="26"/>
        <v>2.0833299999999999E-2</v>
      </c>
      <c r="E168" s="10"/>
      <c r="F168" s="10" t="str">
        <f>IFERROR(VLOOKUP(E168,Data!A$2:B$5,2,TRUE), "")</f>
        <v/>
      </c>
      <c r="G168" s="3"/>
      <c r="H168" s="13" t="str">
        <f>IFERROR(VLOOKUP(A168,Customer_Data!$A$1:$P$114,8,TRUE),"")</f>
        <v/>
      </c>
      <c r="I168" s="13"/>
      <c r="J168" s="3" t="str">
        <f t="shared" si="32"/>
        <v/>
      </c>
      <c r="K168" s="62" t="e">
        <f>(VLOOKUP($J168,Herbicide_Data!$A$1:$L$61,9,TRUE))</f>
        <v>#N/A</v>
      </c>
      <c r="L168" s="62" t="e">
        <f>VLOOKUP($J168,Herbicide_Data!$A$1:$L$61,12,TRUE)</f>
        <v>#N/A</v>
      </c>
      <c r="M168" s="16" t="e">
        <f t="shared" si="27"/>
        <v>#N/A</v>
      </c>
      <c r="N168" s="62" t="str">
        <f t="shared" si="33"/>
        <v/>
      </c>
      <c r="O168" s="63" t="e">
        <f>VLOOKUP($N168,Herbicide_Data!$A$1:$L$61,9)</f>
        <v>#N/A</v>
      </c>
      <c r="P168" s="62" t="e">
        <f>VLOOKUP($N168,Herbicide_Data!$A$1:$P$61,13)</f>
        <v>#N/A</v>
      </c>
      <c r="Q168" s="16" t="e">
        <f t="shared" si="28"/>
        <v>#N/A</v>
      </c>
      <c r="R168" s="62" t="str">
        <f t="shared" si="34"/>
        <v/>
      </c>
      <c r="S168" s="63" t="e">
        <f>VLOOKUP($R168,Herbicide_Data!$A$1:$L$61,9)</f>
        <v>#N/A</v>
      </c>
      <c r="T168" s="62" t="e">
        <f>VLOOKUP($R168,Herbicide_Data!$A$1:$Q$61,13)</f>
        <v>#N/A</v>
      </c>
      <c r="U168" s="16" t="e">
        <f t="shared" si="29"/>
        <v>#N/A</v>
      </c>
      <c r="V168" s="62" t="b">
        <f t="shared" si="35"/>
        <v>0</v>
      </c>
      <c r="W168" s="63" t="e">
        <f>VLOOKUP($V168,Herbicide_Data!$A$1:$L$17,9)</f>
        <v>#N/A</v>
      </c>
      <c r="X168" s="62" t="e">
        <f>VLOOKUP($V168,Herbicide_Data!$A$1:$L$17,12)</f>
        <v>#N/A</v>
      </c>
      <c r="Y168" s="16" t="e">
        <f t="shared" si="30"/>
        <v>#N/A</v>
      </c>
      <c r="Z168" s="15"/>
      <c r="AA168" s="13"/>
      <c r="AB168" s="17"/>
      <c r="AC168" s="3"/>
      <c r="AD168" s="10"/>
      <c r="AE168" s="3"/>
      <c r="AF168" s="10"/>
      <c r="AG168" s="15"/>
      <c r="AH168" s="62" t="str">
        <f t="shared" si="36"/>
        <v/>
      </c>
      <c r="AI168" s="62" t="e">
        <f>VLOOKUP($AH168,Herbicide_Data!$A$1:$Q$61,13)</f>
        <v>#N/A</v>
      </c>
      <c r="AJ168" s="16" t="e">
        <f t="shared" si="31"/>
        <v>#N/A</v>
      </c>
      <c r="AK168" s="3"/>
      <c r="AL168" s="3"/>
      <c r="AM168" s="3"/>
      <c r="AN168" s="3"/>
      <c r="AO168" s="3"/>
      <c r="AP168" s="3"/>
      <c r="AQ168" s="18"/>
      <c r="AR168" s="19"/>
      <c r="AS168" s="19"/>
      <c r="AT168" s="20"/>
      <c r="AU168" s="20"/>
      <c r="AV168" s="21"/>
      <c r="AW168" s="22"/>
      <c r="AX168" s="19"/>
      <c r="AY168" s="19"/>
      <c r="AZ168" s="19"/>
      <c r="BA168" s="23"/>
      <c r="BB168" s="19"/>
      <c r="BC168" s="19"/>
      <c r="BD168" s="19"/>
    </row>
    <row r="169" spans="1:56">
      <c r="A169" s="13"/>
      <c r="B169" s="11"/>
      <c r="C169" s="12"/>
      <c r="D169" s="12">
        <f t="shared" si="26"/>
        <v>2.0833299999999999E-2</v>
      </c>
      <c r="E169" s="10"/>
      <c r="F169" s="10" t="str">
        <f>IFERROR(VLOOKUP(E169,Data!A$2:B$5,2,TRUE), "")</f>
        <v/>
      </c>
      <c r="G169" s="3"/>
      <c r="H169" s="13" t="str">
        <f>IFERROR(VLOOKUP(A169,Customer_Data!$A$1:$P$114,8,TRUE),"")</f>
        <v/>
      </c>
      <c r="I169" s="13"/>
      <c r="J169" s="3" t="str">
        <f t="shared" si="32"/>
        <v/>
      </c>
      <c r="K169" s="62" t="e">
        <f>(VLOOKUP($J169,Herbicide_Data!$A$1:$L$61,9,TRUE))</f>
        <v>#N/A</v>
      </c>
      <c r="L169" s="62" t="e">
        <f>VLOOKUP($J169,Herbicide_Data!$A$1:$L$61,12,TRUE)</f>
        <v>#N/A</v>
      </c>
      <c r="M169" s="16" t="e">
        <f t="shared" si="27"/>
        <v>#N/A</v>
      </c>
      <c r="N169" s="62" t="str">
        <f t="shared" si="33"/>
        <v/>
      </c>
      <c r="O169" s="63" t="e">
        <f>VLOOKUP($N169,Herbicide_Data!$A$1:$L$61,9)</f>
        <v>#N/A</v>
      </c>
      <c r="P169" s="62" t="e">
        <f>VLOOKUP($N169,Herbicide_Data!$A$1:$P$61,13)</f>
        <v>#N/A</v>
      </c>
      <c r="Q169" s="16" t="e">
        <f t="shared" si="28"/>
        <v>#N/A</v>
      </c>
      <c r="R169" s="62" t="str">
        <f t="shared" si="34"/>
        <v/>
      </c>
      <c r="S169" s="63" t="e">
        <f>VLOOKUP($R169,Herbicide_Data!$A$1:$L$61,9)</f>
        <v>#N/A</v>
      </c>
      <c r="T169" s="62" t="e">
        <f>VLOOKUP($R169,Herbicide_Data!$A$1:$Q$61,13)</f>
        <v>#N/A</v>
      </c>
      <c r="U169" s="16" t="e">
        <f t="shared" si="29"/>
        <v>#N/A</v>
      </c>
      <c r="V169" s="62" t="b">
        <f t="shared" si="35"/>
        <v>0</v>
      </c>
      <c r="W169" s="63" t="e">
        <f>VLOOKUP($V169,Herbicide_Data!$A$1:$L$17,9)</f>
        <v>#N/A</v>
      </c>
      <c r="X169" s="62" t="e">
        <f>VLOOKUP($V169,Herbicide_Data!$A$1:$L$17,12)</f>
        <v>#N/A</v>
      </c>
      <c r="Y169" s="16" t="e">
        <f t="shared" si="30"/>
        <v>#N/A</v>
      </c>
      <c r="Z169" s="15"/>
      <c r="AA169" s="13"/>
      <c r="AB169" s="17"/>
      <c r="AC169" s="3"/>
      <c r="AD169" s="10"/>
      <c r="AE169" s="3"/>
      <c r="AF169" s="10"/>
      <c r="AG169" s="15"/>
      <c r="AH169" s="62" t="str">
        <f t="shared" si="36"/>
        <v/>
      </c>
      <c r="AI169" s="62" t="e">
        <f>VLOOKUP($AH169,Herbicide_Data!$A$1:$Q$61,13)</f>
        <v>#N/A</v>
      </c>
      <c r="AJ169" s="16" t="e">
        <f t="shared" si="31"/>
        <v>#N/A</v>
      </c>
      <c r="AK169" s="3"/>
      <c r="AL169" s="3"/>
      <c r="AM169" s="3"/>
      <c r="AN169" s="3"/>
      <c r="AO169" s="3"/>
      <c r="AP169" s="3"/>
      <c r="AQ169" s="18"/>
      <c r="AR169" s="19"/>
      <c r="AS169" s="19"/>
      <c r="AT169" s="20"/>
      <c r="AU169" s="20"/>
      <c r="AV169" s="21"/>
      <c r="AW169" s="22"/>
      <c r="AX169" s="19"/>
      <c r="AY169" s="19"/>
      <c r="AZ169" s="19"/>
      <c r="BA169" s="23"/>
      <c r="BB169" s="19"/>
      <c r="BC169" s="19"/>
      <c r="BD169" s="19"/>
    </row>
    <row r="170" spans="1:56">
      <c r="A170" s="13"/>
      <c r="B170" s="11"/>
      <c r="C170" s="12"/>
      <c r="D170" s="12">
        <f t="shared" si="26"/>
        <v>2.0833299999999999E-2</v>
      </c>
      <c r="E170" s="10"/>
      <c r="F170" s="10" t="str">
        <f>IFERROR(VLOOKUP(E170,Data!A$2:B$5,2,TRUE), "")</f>
        <v/>
      </c>
      <c r="G170" s="3"/>
      <c r="H170" s="13" t="str">
        <f>IFERROR(VLOOKUP(A170,Customer_Data!$A$1:$P$114,8,TRUE),"")</f>
        <v/>
      </c>
      <c r="I170" s="13"/>
      <c r="J170" s="3" t="str">
        <f t="shared" si="32"/>
        <v/>
      </c>
      <c r="K170" s="62" t="e">
        <f>(VLOOKUP($J170,Herbicide_Data!$A$1:$L$61,9,TRUE))</f>
        <v>#N/A</v>
      </c>
      <c r="L170" s="62" t="e">
        <f>VLOOKUP($J170,Herbicide_Data!$A$1:$L$61,12,TRUE)</f>
        <v>#N/A</v>
      </c>
      <c r="M170" s="16" t="e">
        <f t="shared" si="27"/>
        <v>#N/A</v>
      </c>
      <c r="N170" s="62" t="str">
        <f t="shared" si="33"/>
        <v/>
      </c>
      <c r="O170" s="63" t="e">
        <f>VLOOKUP($N170,Herbicide_Data!$A$1:$L$61,9)</f>
        <v>#N/A</v>
      </c>
      <c r="P170" s="62" t="e">
        <f>VLOOKUP($N170,Herbicide_Data!$A$1:$P$61,13)</f>
        <v>#N/A</v>
      </c>
      <c r="Q170" s="16" t="e">
        <f t="shared" si="28"/>
        <v>#N/A</v>
      </c>
      <c r="R170" s="62" t="str">
        <f t="shared" si="34"/>
        <v/>
      </c>
      <c r="S170" s="63" t="e">
        <f>VLOOKUP($R170,Herbicide_Data!$A$1:$L$61,9)</f>
        <v>#N/A</v>
      </c>
      <c r="T170" s="62" t="e">
        <f>VLOOKUP($R170,Herbicide_Data!$A$1:$Q$61,13)</f>
        <v>#N/A</v>
      </c>
      <c r="U170" s="16" t="e">
        <f t="shared" si="29"/>
        <v>#N/A</v>
      </c>
      <c r="V170" s="62" t="b">
        <f t="shared" si="35"/>
        <v>0</v>
      </c>
      <c r="W170" s="63" t="e">
        <f>VLOOKUP($V170,Herbicide_Data!$A$1:$L$17,9)</f>
        <v>#N/A</v>
      </c>
      <c r="X170" s="62" t="e">
        <f>VLOOKUP($V170,Herbicide_Data!$A$1:$L$17,12)</f>
        <v>#N/A</v>
      </c>
      <c r="Y170" s="16" t="e">
        <f t="shared" si="30"/>
        <v>#N/A</v>
      </c>
      <c r="Z170" s="15"/>
      <c r="AA170" s="13"/>
      <c r="AB170" s="17"/>
      <c r="AC170" s="3"/>
      <c r="AD170" s="10"/>
      <c r="AE170" s="3"/>
      <c r="AF170" s="10"/>
      <c r="AG170" s="15"/>
      <c r="AH170" s="62" t="str">
        <f t="shared" si="36"/>
        <v/>
      </c>
      <c r="AI170" s="62" t="e">
        <f>VLOOKUP($AH170,Herbicide_Data!$A$1:$Q$61,13)</f>
        <v>#N/A</v>
      </c>
      <c r="AJ170" s="16" t="e">
        <f t="shared" si="31"/>
        <v>#N/A</v>
      </c>
      <c r="AK170" s="3"/>
      <c r="AL170" s="3"/>
      <c r="AM170" s="3"/>
      <c r="AN170" s="3"/>
      <c r="AO170" s="3"/>
      <c r="AP170" s="3"/>
      <c r="AQ170" s="18"/>
      <c r="AR170" s="19"/>
      <c r="AS170" s="19"/>
      <c r="AT170" s="20"/>
      <c r="AU170" s="20"/>
      <c r="AV170" s="21"/>
      <c r="AW170" s="22"/>
      <c r="AX170" s="19"/>
      <c r="AY170" s="19"/>
      <c r="AZ170" s="19"/>
      <c r="BA170" s="23"/>
      <c r="BB170" s="19"/>
      <c r="BC170" s="19"/>
      <c r="BD170" s="19"/>
    </row>
    <row r="171" spans="1:56">
      <c r="A171" s="13"/>
      <c r="B171" s="11"/>
      <c r="C171" s="12"/>
      <c r="D171" s="12">
        <f t="shared" si="26"/>
        <v>2.0833299999999999E-2</v>
      </c>
      <c r="E171" s="10"/>
      <c r="F171" s="10" t="str">
        <f>IFERROR(VLOOKUP(E171,Data!A$2:B$5,2,TRUE), "")</f>
        <v/>
      </c>
      <c r="G171" s="3"/>
      <c r="H171" s="13" t="str">
        <f>IFERROR(VLOOKUP(A171,Customer_Data!$A$1:$P$114,8,TRUE),"")</f>
        <v/>
      </c>
      <c r="I171" s="13"/>
      <c r="J171" s="3" t="str">
        <f t="shared" si="32"/>
        <v/>
      </c>
      <c r="K171" s="62" t="e">
        <f>(VLOOKUP($J171,Herbicide_Data!$A$1:$L$61,9,TRUE))</f>
        <v>#N/A</v>
      </c>
      <c r="L171" s="62" t="e">
        <f>VLOOKUP($J171,Herbicide_Data!$A$1:$L$61,12,TRUE)</f>
        <v>#N/A</v>
      </c>
      <c r="M171" s="16" t="e">
        <f t="shared" si="27"/>
        <v>#N/A</v>
      </c>
      <c r="N171" s="62" t="str">
        <f t="shared" si="33"/>
        <v/>
      </c>
      <c r="O171" s="63" t="e">
        <f>VLOOKUP($N171,Herbicide_Data!$A$1:$L$61,9)</f>
        <v>#N/A</v>
      </c>
      <c r="P171" s="62" t="e">
        <f>VLOOKUP($N171,Herbicide_Data!$A$1:$P$61,13)</f>
        <v>#N/A</v>
      </c>
      <c r="Q171" s="16" t="e">
        <f t="shared" si="28"/>
        <v>#N/A</v>
      </c>
      <c r="R171" s="62" t="str">
        <f t="shared" si="34"/>
        <v/>
      </c>
      <c r="S171" s="63" t="e">
        <f>VLOOKUP($R171,Herbicide_Data!$A$1:$L$61,9)</f>
        <v>#N/A</v>
      </c>
      <c r="T171" s="62" t="e">
        <f>VLOOKUP($R171,Herbicide_Data!$A$1:$Q$61,13)</f>
        <v>#N/A</v>
      </c>
      <c r="U171" s="16" t="e">
        <f t="shared" si="29"/>
        <v>#N/A</v>
      </c>
      <c r="V171" s="62" t="b">
        <f t="shared" si="35"/>
        <v>0</v>
      </c>
      <c r="W171" s="63" t="e">
        <f>VLOOKUP($V171,Herbicide_Data!$A$1:$L$17,9)</f>
        <v>#N/A</v>
      </c>
      <c r="X171" s="62" t="e">
        <f>VLOOKUP($V171,Herbicide_Data!$A$1:$L$17,12)</f>
        <v>#N/A</v>
      </c>
      <c r="Y171" s="16" t="e">
        <f t="shared" si="30"/>
        <v>#N/A</v>
      </c>
      <c r="Z171" s="15"/>
      <c r="AA171" s="13"/>
      <c r="AB171" s="17"/>
      <c r="AC171" s="3"/>
      <c r="AD171" s="10"/>
      <c r="AE171" s="3"/>
      <c r="AF171" s="10"/>
      <c r="AG171" s="15"/>
      <c r="AH171" s="62" t="str">
        <f t="shared" si="36"/>
        <v/>
      </c>
      <c r="AI171" s="62" t="e">
        <f>VLOOKUP($AH171,Herbicide_Data!$A$1:$Q$61,13)</f>
        <v>#N/A</v>
      </c>
      <c r="AJ171" s="16" t="e">
        <f t="shared" si="31"/>
        <v>#N/A</v>
      </c>
      <c r="AK171" s="3"/>
      <c r="AL171" s="3"/>
      <c r="AM171" s="3"/>
      <c r="AN171" s="3"/>
      <c r="AO171" s="3"/>
      <c r="AP171" s="3"/>
      <c r="AQ171" s="18"/>
      <c r="AR171" s="19"/>
      <c r="AS171" s="19"/>
      <c r="AT171" s="20"/>
      <c r="AU171" s="20"/>
      <c r="AV171" s="21"/>
      <c r="AW171" s="22"/>
      <c r="AX171" s="19"/>
      <c r="AY171" s="19"/>
      <c r="AZ171" s="19"/>
      <c r="BA171" s="23"/>
      <c r="BB171" s="19"/>
      <c r="BC171" s="19"/>
      <c r="BD171" s="19"/>
    </row>
    <row r="172" spans="1:56">
      <c r="A172" s="13"/>
      <c r="B172" s="11"/>
      <c r="C172" s="12"/>
      <c r="D172" s="12">
        <f t="shared" si="26"/>
        <v>2.0833299999999999E-2</v>
      </c>
      <c r="E172" s="10"/>
      <c r="F172" s="10" t="str">
        <f>IFERROR(VLOOKUP(E172,Data!A$2:B$5,2,TRUE), "")</f>
        <v/>
      </c>
      <c r="G172" s="3"/>
      <c r="H172" s="13" t="str">
        <f>IFERROR(VLOOKUP(A172,Customer_Data!$A$1:$P$114,8,TRUE),"")</f>
        <v/>
      </c>
      <c r="I172" s="13"/>
      <c r="J172" s="3" t="str">
        <f t="shared" si="32"/>
        <v/>
      </c>
      <c r="K172" s="62" t="e">
        <f>(VLOOKUP($J172,Herbicide_Data!$A$1:$L$61,9,TRUE))</f>
        <v>#N/A</v>
      </c>
      <c r="L172" s="62" t="e">
        <f>VLOOKUP($J172,Herbicide_Data!$A$1:$L$61,12,TRUE)</f>
        <v>#N/A</v>
      </c>
      <c r="M172" s="16" t="e">
        <f t="shared" si="27"/>
        <v>#N/A</v>
      </c>
      <c r="N172" s="62" t="str">
        <f t="shared" si="33"/>
        <v/>
      </c>
      <c r="O172" s="63" t="e">
        <f>VLOOKUP($N172,Herbicide_Data!$A$1:$L$61,9)</f>
        <v>#N/A</v>
      </c>
      <c r="P172" s="62" t="e">
        <f>VLOOKUP($N172,Herbicide_Data!$A$1:$P$61,13)</f>
        <v>#N/A</v>
      </c>
      <c r="Q172" s="16" t="e">
        <f t="shared" si="28"/>
        <v>#N/A</v>
      </c>
      <c r="R172" s="62" t="str">
        <f t="shared" si="34"/>
        <v/>
      </c>
      <c r="S172" s="63" t="e">
        <f>VLOOKUP($R172,Herbicide_Data!$A$1:$L$61,9)</f>
        <v>#N/A</v>
      </c>
      <c r="T172" s="62" t="e">
        <f>VLOOKUP($R172,Herbicide_Data!$A$1:$Q$61,13)</f>
        <v>#N/A</v>
      </c>
      <c r="U172" s="16" t="e">
        <f t="shared" si="29"/>
        <v>#N/A</v>
      </c>
      <c r="V172" s="62" t="b">
        <f t="shared" si="35"/>
        <v>0</v>
      </c>
      <c r="W172" s="63" t="e">
        <f>VLOOKUP($V172,Herbicide_Data!$A$1:$L$17,9)</f>
        <v>#N/A</v>
      </c>
      <c r="X172" s="62" t="e">
        <f>VLOOKUP($V172,Herbicide_Data!$A$1:$L$17,12)</f>
        <v>#N/A</v>
      </c>
      <c r="Y172" s="16" t="e">
        <f t="shared" si="30"/>
        <v>#N/A</v>
      </c>
      <c r="Z172" s="15"/>
      <c r="AA172" s="13"/>
      <c r="AB172" s="17"/>
      <c r="AC172" s="3"/>
      <c r="AD172" s="10"/>
      <c r="AE172" s="3"/>
      <c r="AF172" s="10"/>
      <c r="AG172" s="15"/>
      <c r="AH172" s="62" t="str">
        <f t="shared" si="36"/>
        <v/>
      </c>
      <c r="AI172" s="62" t="e">
        <f>VLOOKUP($AH172,Herbicide_Data!$A$1:$Q$61,13)</f>
        <v>#N/A</v>
      </c>
      <c r="AJ172" s="16" t="e">
        <f t="shared" si="31"/>
        <v>#N/A</v>
      </c>
      <c r="AK172" s="3"/>
      <c r="AL172" s="3"/>
      <c r="AM172" s="3"/>
      <c r="AN172" s="3"/>
      <c r="AO172" s="3"/>
      <c r="AP172" s="3"/>
      <c r="AQ172" s="18"/>
      <c r="AR172" s="19"/>
      <c r="AS172" s="19"/>
      <c r="AT172" s="20"/>
      <c r="AU172" s="20"/>
      <c r="AV172" s="21"/>
      <c r="AW172" s="22"/>
      <c r="AX172" s="19"/>
      <c r="AY172" s="19"/>
      <c r="AZ172" s="19"/>
      <c r="BA172" s="23"/>
      <c r="BB172" s="19"/>
      <c r="BC172" s="19"/>
      <c r="BD172" s="19"/>
    </row>
    <row r="173" spans="1:56">
      <c r="A173" s="13"/>
      <c r="B173" s="11"/>
      <c r="C173" s="12"/>
      <c r="D173" s="12">
        <f t="shared" si="26"/>
        <v>2.0833299999999999E-2</v>
      </c>
      <c r="E173" s="10"/>
      <c r="F173" s="10" t="str">
        <f>IFERROR(VLOOKUP(E173,Data!A$2:B$5,2,TRUE), "")</f>
        <v/>
      </c>
      <c r="G173" s="3"/>
      <c r="H173" s="13" t="str">
        <f>IFERROR(VLOOKUP(A173,Customer_Data!$A$1:$P$114,8,TRUE),"")</f>
        <v/>
      </c>
      <c r="I173" s="13"/>
      <c r="J173" s="3" t="str">
        <f t="shared" si="32"/>
        <v/>
      </c>
      <c r="K173" s="62" t="e">
        <f>(VLOOKUP($J173,Herbicide_Data!$A$1:$L$61,9,TRUE))</f>
        <v>#N/A</v>
      </c>
      <c r="L173" s="62" t="e">
        <f>VLOOKUP($J173,Herbicide_Data!$A$1:$L$61,12,TRUE)</f>
        <v>#N/A</v>
      </c>
      <c r="M173" s="16" t="e">
        <f t="shared" si="27"/>
        <v>#N/A</v>
      </c>
      <c r="N173" s="62" t="str">
        <f t="shared" si="33"/>
        <v/>
      </c>
      <c r="O173" s="63" t="e">
        <f>VLOOKUP($N173,Herbicide_Data!$A$1:$L$61,9)</f>
        <v>#N/A</v>
      </c>
      <c r="P173" s="62" t="e">
        <f>VLOOKUP($N173,Herbicide_Data!$A$1:$P$61,13)</f>
        <v>#N/A</v>
      </c>
      <c r="Q173" s="16" t="e">
        <f t="shared" si="28"/>
        <v>#N/A</v>
      </c>
      <c r="R173" s="62" t="str">
        <f t="shared" si="34"/>
        <v/>
      </c>
      <c r="S173" s="63" t="e">
        <f>VLOOKUP($R173,Herbicide_Data!$A$1:$L$61,9)</f>
        <v>#N/A</v>
      </c>
      <c r="T173" s="62" t="e">
        <f>VLOOKUP($R173,Herbicide_Data!$A$1:$Q$61,13)</f>
        <v>#N/A</v>
      </c>
      <c r="U173" s="16" t="e">
        <f t="shared" si="29"/>
        <v>#N/A</v>
      </c>
      <c r="V173" s="62" t="b">
        <f t="shared" si="35"/>
        <v>0</v>
      </c>
      <c r="W173" s="63" t="e">
        <f>VLOOKUP($V173,Herbicide_Data!$A$1:$L$17,9)</f>
        <v>#N/A</v>
      </c>
      <c r="X173" s="62" t="e">
        <f>VLOOKUP($V173,Herbicide_Data!$A$1:$L$17,12)</f>
        <v>#N/A</v>
      </c>
      <c r="Y173" s="16" t="e">
        <f t="shared" si="30"/>
        <v>#N/A</v>
      </c>
      <c r="Z173" s="15"/>
      <c r="AA173" s="13"/>
      <c r="AB173" s="17"/>
      <c r="AC173" s="3"/>
      <c r="AD173" s="10"/>
      <c r="AE173" s="3"/>
      <c r="AF173" s="10"/>
      <c r="AG173" s="15"/>
      <c r="AH173" s="62" t="str">
        <f t="shared" si="36"/>
        <v/>
      </c>
      <c r="AI173" s="62" t="e">
        <f>VLOOKUP($AH173,Herbicide_Data!$A$1:$Q$61,13)</f>
        <v>#N/A</v>
      </c>
      <c r="AJ173" s="16" t="e">
        <f t="shared" si="31"/>
        <v>#N/A</v>
      </c>
      <c r="AK173" s="3"/>
      <c r="AL173" s="3"/>
      <c r="AM173" s="3"/>
      <c r="AN173" s="3"/>
      <c r="AO173" s="3"/>
      <c r="AP173" s="3"/>
      <c r="AQ173" s="18"/>
      <c r="AR173" s="19"/>
      <c r="AS173" s="19"/>
      <c r="AT173" s="20"/>
      <c r="AU173" s="20"/>
      <c r="AV173" s="21"/>
      <c r="AW173" s="22"/>
      <c r="AX173" s="19"/>
      <c r="AY173" s="19"/>
      <c r="AZ173" s="19"/>
      <c r="BA173" s="23"/>
      <c r="BB173" s="19"/>
      <c r="BC173" s="19"/>
      <c r="BD173" s="19"/>
    </row>
    <row r="174" spans="1:56">
      <c r="A174" s="13"/>
      <c r="B174" s="11"/>
      <c r="C174" s="12"/>
      <c r="D174" s="12">
        <f t="shared" si="26"/>
        <v>2.0833299999999999E-2</v>
      </c>
      <c r="E174" s="10"/>
      <c r="F174" s="10" t="str">
        <f>IFERROR(VLOOKUP(E174,Data!A$2:B$5,2,TRUE), "")</f>
        <v/>
      </c>
      <c r="G174" s="3"/>
      <c r="H174" s="13" t="str">
        <f>IFERROR(VLOOKUP(A174,Customer_Data!$A$1:$P$114,8,TRUE),"")</f>
        <v/>
      </c>
      <c r="I174" s="13"/>
      <c r="J174" s="3" t="str">
        <f t="shared" si="32"/>
        <v/>
      </c>
      <c r="K174" s="62" t="e">
        <f>(VLOOKUP($J174,Herbicide_Data!$A$1:$L$61,9,TRUE))</f>
        <v>#N/A</v>
      </c>
      <c r="L174" s="62" t="e">
        <f>VLOOKUP($J174,Herbicide_Data!$A$1:$L$61,12,TRUE)</f>
        <v>#N/A</v>
      </c>
      <c r="M174" s="16" t="e">
        <f t="shared" si="27"/>
        <v>#N/A</v>
      </c>
      <c r="N174" s="62" t="str">
        <f t="shared" si="33"/>
        <v/>
      </c>
      <c r="O174" s="63" t="e">
        <f>VLOOKUP($N174,Herbicide_Data!$A$1:$L$61,9)</f>
        <v>#N/A</v>
      </c>
      <c r="P174" s="62" t="e">
        <f>VLOOKUP($N174,Herbicide_Data!$A$1:$P$61,13)</f>
        <v>#N/A</v>
      </c>
      <c r="Q174" s="16" t="e">
        <f t="shared" si="28"/>
        <v>#N/A</v>
      </c>
      <c r="R174" s="62" t="str">
        <f t="shared" si="34"/>
        <v/>
      </c>
      <c r="S174" s="63" t="e">
        <f>VLOOKUP($R174,Herbicide_Data!$A$1:$L$61,9)</f>
        <v>#N/A</v>
      </c>
      <c r="T174" s="62" t="e">
        <f>VLOOKUP($R174,Herbicide_Data!$A$1:$Q$61,13)</f>
        <v>#N/A</v>
      </c>
      <c r="U174" s="16" t="e">
        <f t="shared" si="29"/>
        <v>#N/A</v>
      </c>
      <c r="V174" s="62" t="b">
        <f t="shared" si="35"/>
        <v>0</v>
      </c>
      <c r="W174" s="63" t="e">
        <f>VLOOKUP($V174,Herbicide_Data!$A$1:$L$17,9)</f>
        <v>#N/A</v>
      </c>
      <c r="X174" s="62" t="e">
        <f>VLOOKUP($V174,Herbicide_Data!$A$1:$L$17,12)</f>
        <v>#N/A</v>
      </c>
      <c r="Y174" s="16" t="e">
        <f t="shared" si="30"/>
        <v>#N/A</v>
      </c>
      <c r="Z174" s="15"/>
      <c r="AA174" s="13"/>
      <c r="AB174" s="17"/>
      <c r="AC174" s="3"/>
      <c r="AD174" s="10"/>
      <c r="AE174" s="3"/>
      <c r="AF174" s="10"/>
      <c r="AG174" s="15"/>
      <c r="AH174" s="62" t="str">
        <f t="shared" si="36"/>
        <v/>
      </c>
      <c r="AI174" s="62" t="e">
        <f>VLOOKUP($AH174,Herbicide_Data!$A$1:$Q$61,13)</f>
        <v>#N/A</v>
      </c>
      <c r="AJ174" s="16" t="e">
        <f t="shared" si="31"/>
        <v>#N/A</v>
      </c>
      <c r="AK174" s="3"/>
      <c r="AL174" s="3"/>
      <c r="AM174" s="3"/>
      <c r="AN174" s="3"/>
      <c r="AO174" s="3"/>
      <c r="AP174" s="3"/>
      <c r="AQ174" s="18"/>
      <c r="AR174" s="19"/>
      <c r="AS174" s="19"/>
      <c r="AT174" s="20"/>
      <c r="AU174" s="20"/>
      <c r="AV174" s="21"/>
      <c r="AW174" s="22"/>
      <c r="AX174" s="19"/>
      <c r="AY174" s="19"/>
      <c r="AZ174" s="19"/>
      <c r="BA174" s="23"/>
      <c r="BB174" s="19"/>
      <c r="BC174" s="19"/>
      <c r="BD174" s="19"/>
    </row>
    <row r="175" spans="1:56">
      <c r="A175" s="13"/>
      <c r="B175" s="11"/>
      <c r="C175" s="12"/>
      <c r="D175" s="12">
        <f t="shared" si="26"/>
        <v>2.0833299999999999E-2</v>
      </c>
      <c r="E175" s="10"/>
      <c r="F175" s="10" t="str">
        <f>IFERROR(VLOOKUP(E175,Data!A$2:B$5,2,TRUE), "")</f>
        <v/>
      </c>
      <c r="G175" s="3"/>
      <c r="H175" s="13" t="str">
        <f>IFERROR(VLOOKUP(A175,Customer_Data!$A$1:$P$114,8,TRUE),"")</f>
        <v/>
      </c>
      <c r="I175" s="13"/>
      <c r="J175" s="3" t="str">
        <f t="shared" si="32"/>
        <v/>
      </c>
      <c r="K175" s="62" t="e">
        <f>(VLOOKUP($J175,Herbicide_Data!$A$1:$L$61,9,TRUE))</f>
        <v>#N/A</v>
      </c>
      <c r="L175" s="62" t="e">
        <f>VLOOKUP($J175,Herbicide_Data!$A$1:$L$61,12,TRUE)</f>
        <v>#N/A</v>
      </c>
      <c r="M175" s="16" t="e">
        <f t="shared" si="27"/>
        <v>#N/A</v>
      </c>
      <c r="N175" s="62" t="str">
        <f t="shared" si="33"/>
        <v/>
      </c>
      <c r="O175" s="63" t="e">
        <f>VLOOKUP($N175,Herbicide_Data!$A$1:$L$61,9)</f>
        <v>#N/A</v>
      </c>
      <c r="P175" s="62" t="e">
        <f>VLOOKUP($N175,Herbicide_Data!$A$1:$P$61,13)</f>
        <v>#N/A</v>
      </c>
      <c r="Q175" s="16" t="e">
        <f t="shared" si="28"/>
        <v>#N/A</v>
      </c>
      <c r="R175" s="62" t="str">
        <f t="shared" si="34"/>
        <v/>
      </c>
      <c r="S175" s="63" t="e">
        <f>VLOOKUP($R175,Herbicide_Data!$A$1:$L$61,9)</f>
        <v>#N/A</v>
      </c>
      <c r="T175" s="62" t="e">
        <f>VLOOKUP($R175,Herbicide_Data!$A$1:$Q$61,13)</f>
        <v>#N/A</v>
      </c>
      <c r="U175" s="16" t="e">
        <f t="shared" si="29"/>
        <v>#N/A</v>
      </c>
      <c r="V175" s="62" t="b">
        <f t="shared" si="35"/>
        <v>0</v>
      </c>
      <c r="W175" s="63" t="e">
        <f>VLOOKUP($V175,Herbicide_Data!$A$1:$L$17,9)</f>
        <v>#N/A</v>
      </c>
      <c r="X175" s="62" t="e">
        <f>VLOOKUP($V175,Herbicide_Data!$A$1:$L$17,12)</f>
        <v>#N/A</v>
      </c>
      <c r="Y175" s="16" t="e">
        <f t="shared" si="30"/>
        <v>#N/A</v>
      </c>
      <c r="Z175" s="15"/>
      <c r="AA175" s="13"/>
      <c r="AB175" s="17"/>
      <c r="AC175" s="3"/>
      <c r="AD175" s="10"/>
      <c r="AE175" s="3"/>
      <c r="AF175" s="10"/>
      <c r="AG175" s="15"/>
      <c r="AH175" s="62" t="str">
        <f t="shared" si="36"/>
        <v/>
      </c>
      <c r="AI175" s="62" t="e">
        <f>VLOOKUP($AH175,Herbicide_Data!$A$1:$Q$61,13)</f>
        <v>#N/A</v>
      </c>
      <c r="AJ175" s="16" t="e">
        <f t="shared" si="31"/>
        <v>#N/A</v>
      </c>
      <c r="AK175" s="3"/>
      <c r="AL175" s="3"/>
      <c r="AM175" s="3"/>
      <c r="AN175" s="3"/>
      <c r="AO175" s="3"/>
      <c r="AP175" s="3"/>
      <c r="AQ175" s="18"/>
      <c r="AR175" s="19"/>
      <c r="AS175" s="19"/>
      <c r="AT175" s="20"/>
      <c r="AU175" s="20"/>
      <c r="AV175" s="21"/>
      <c r="AW175" s="22"/>
      <c r="AX175" s="19"/>
      <c r="AY175" s="19"/>
      <c r="AZ175" s="19"/>
      <c r="BA175" s="23"/>
      <c r="BB175" s="19"/>
      <c r="BC175" s="19"/>
      <c r="BD175" s="19"/>
    </row>
    <row r="176" spans="1:56">
      <c r="A176" s="13"/>
      <c r="B176" s="11"/>
      <c r="C176" s="12"/>
      <c r="D176" s="12">
        <f t="shared" si="26"/>
        <v>2.0833299999999999E-2</v>
      </c>
      <c r="E176" s="10"/>
      <c r="F176" s="10" t="str">
        <f>IFERROR(VLOOKUP(E176,Data!A$2:B$5,2,TRUE), "")</f>
        <v/>
      </c>
      <c r="G176" s="3"/>
      <c r="H176" s="13" t="str">
        <f>IFERROR(VLOOKUP(A176,Customer_Data!$A$1:$P$114,8,TRUE),"")</f>
        <v/>
      </c>
      <c r="I176" s="13"/>
      <c r="J176" s="3" t="str">
        <f t="shared" si="32"/>
        <v/>
      </c>
      <c r="K176" s="62" t="e">
        <f>(VLOOKUP($J176,Herbicide_Data!$A$1:$L$61,9,TRUE))</f>
        <v>#N/A</v>
      </c>
      <c r="L176" s="62" t="e">
        <f>VLOOKUP($J176,Herbicide_Data!$A$1:$L$61,12,TRUE)</f>
        <v>#N/A</v>
      </c>
      <c r="M176" s="16" t="e">
        <f t="shared" si="27"/>
        <v>#N/A</v>
      </c>
      <c r="N176" s="62" t="str">
        <f t="shared" si="33"/>
        <v/>
      </c>
      <c r="O176" s="63" t="e">
        <f>VLOOKUP($N176,Herbicide_Data!$A$1:$L$61,9)</f>
        <v>#N/A</v>
      </c>
      <c r="P176" s="62" t="e">
        <f>VLOOKUP($N176,Herbicide_Data!$A$1:$P$61,13)</f>
        <v>#N/A</v>
      </c>
      <c r="Q176" s="16" t="e">
        <f t="shared" si="28"/>
        <v>#N/A</v>
      </c>
      <c r="R176" s="62" t="str">
        <f t="shared" si="34"/>
        <v/>
      </c>
      <c r="S176" s="63" t="e">
        <f>VLOOKUP($R176,Herbicide_Data!$A$1:$L$61,9)</f>
        <v>#N/A</v>
      </c>
      <c r="T176" s="62" t="e">
        <f>VLOOKUP($R176,Herbicide_Data!$A$1:$Q$61,13)</f>
        <v>#N/A</v>
      </c>
      <c r="U176" s="16" t="e">
        <f t="shared" si="29"/>
        <v>#N/A</v>
      </c>
      <c r="V176" s="62" t="b">
        <f t="shared" si="35"/>
        <v>0</v>
      </c>
      <c r="W176" s="63" t="e">
        <f>VLOOKUP($V176,Herbicide_Data!$A$1:$L$17,9)</f>
        <v>#N/A</v>
      </c>
      <c r="X176" s="62" t="e">
        <f>VLOOKUP($V176,Herbicide_Data!$A$1:$L$17,12)</f>
        <v>#N/A</v>
      </c>
      <c r="Y176" s="16" t="e">
        <f t="shared" si="30"/>
        <v>#N/A</v>
      </c>
      <c r="Z176" s="15"/>
      <c r="AA176" s="13"/>
      <c r="AB176" s="17"/>
      <c r="AC176" s="3"/>
      <c r="AD176" s="10"/>
      <c r="AE176" s="3"/>
      <c r="AF176" s="10"/>
      <c r="AG176" s="15"/>
      <c r="AH176" s="62" t="str">
        <f t="shared" si="36"/>
        <v/>
      </c>
      <c r="AI176" s="62" t="e">
        <f>VLOOKUP($AH176,Herbicide_Data!$A$1:$Q$61,13)</f>
        <v>#N/A</v>
      </c>
      <c r="AJ176" s="16" t="e">
        <f t="shared" si="31"/>
        <v>#N/A</v>
      </c>
      <c r="AK176" s="3"/>
      <c r="AL176" s="3"/>
      <c r="AM176" s="3"/>
      <c r="AN176" s="3"/>
      <c r="AO176" s="3"/>
      <c r="AP176" s="3"/>
      <c r="AQ176" s="18"/>
      <c r="AR176" s="19"/>
      <c r="AS176" s="19"/>
      <c r="AT176" s="20"/>
      <c r="AU176" s="20"/>
      <c r="AV176" s="21"/>
      <c r="AW176" s="22"/>
      <c r="AX176" s="19"/>
      <c r="AY176" s="19"/>
      <c r="AZ176" s="19"/>
      <c r="BA176" s="23"/>
      <c r="BB176" s="19"/>
      <c r="BC176" s="19"/>
      <c r="BD176" s="19"/>
    </row>
    <row r="177" spans="1:56">
      <c r="A177" s="13"/>
      <c r="B177" s="11"/>
      <c r="C177" s="12"/>
      <c r="D177" s="12">
        <f t="shared" si="26"/>
        <v>2.0833299999999999E-2</v>
      </c>
      <c r="E177" s="10"/>
      <c r="F177" s="10" t="str">
        <f>IFERROR(VLOOKUP(E177,Data!A$2:B$5,2,TRUE), "")</f>
        <v/>
      </c>
      <c r="G177" s="3"/>
      <c r="H177" s="13" t="str">
        <f>IFERROR(VLOOKUP(A177,Customer_Data!$A$1:$P$114,8,TRUE),"")</f>
        <v/>
      </c>
      <c r="I177" s="13"/>
      <c r="J177" s="3" t="str">
        <f t="shared" si="32"/>
        <v/>
      </c>
      <c r="K177" s="62" t="e">
        <f>(VLOOKUP($J177,Herbicide_Data!$A$1:$L$61,9,TRUE))</f>
        <v>#N/A</v>
      </c>
      <c r="L177" s="62" t="e">
        <f>VLOOKUP($J177,Herbicide_Data!$A$1:$L$61,12,TRUE)</f>
        <v>#N/A</v>
      </c>
      <c r="M177" s="16" t="e">
        <f t="shared" si="27"/>
        <v>#N/A</v>
      </c>
      <c r="N177" s="62" t="str">
        <f t="shared" si="33"/>
        <v/>
      </c>
      <c r="O177" s="63" t="e">
        <f>VLOOKUP($N177,Herbicide_Data!$A$1:$L$61,9)</f>
        <v>#N/A</v>
      </c>
      <c r="P177" s="62" t="e">
        <f>VLOOKUP($N177,Herbicide_Data!$A$1:$P$61,13)</f>
        <v>#N/A</v>
      </c>
      <c r="Q177" s="16" t="e">
        <f t="shared" si="28"/>
        <v>#N/A</v>
      </c>
      <c r="R177" s="62" t="str">
        <f t="shared" si="34"/>
        <v/>
      </c>
      <c r="S177" s="63" t="e">
        <f>VLOOKUP($R177,Herbicide_Data!$A$1:$L$61,9)</f>
        <v>#N/A</v>
      </c>
      <c r="T177" s="62" t="e">
        <f>VLOOKUP($R177,Herbicide_Data!$A$1:$Q$61,13)</f>
        <v>#N/A</v>
      </c>
      <c r="U177" s="16" t="e">
        <f t="shared" si="29"/>
        <v>#N/A</v>
      </c>
      <c r="V177" s="62" t="b">
        <f t="shared" si="35"/>
        <v>0</v>
      </c>
      <c r="W177" s="63" t="e">
        <f>VLOOKUP($V177,Herbicide_Data!$A$1:$L$17,9)</f>
        <v>#N/A</v>
      </c>
      <c r="X177" s="62" t="e">
        <f>VLOOKUP($V177,Herbicide_Data!$A$1:$L$17,12)</f>
        <v>#N/A</v>
      </c>
      <c r="Y177" s="16" t="e">
        <f t="shared" si="30"/>
        <v>#N/A</v>
      </c>
      <c r="Z177" s="15"/>
      <c r="AA177" s="13"/>
      <c r="AB177" s="17"/>
      <c r="AC177" s="3"/>
      <c r="AD177" s="10"/>
      <c r="AE177" s="3"/>
      <c r="AF177" s="10"/>
      <c r="AG177" s="15"/>
      <c r="AH177" s="62" t="str">
        <f t="shared" si="36"/>
        <v/>
      </c>
      <c r="AI177" s="62" t="e">
        <f>VLOOKUP($AH177,Herbicide_Data!$A$1:$Q$61,13)</f>
        <v>#N/A</v>
      </c>
      <c r="AJ177" s="16" t="e">
        <f t="shared" si="31"/>
        <v>#N/A</v>
      </c>
      <c r="AK177" s="3"/>
      <c r="AL177" s="3"/>
      <c r="AM177" s="3"/>
      <c r="AN177" s="3"/>
      <c r="AO177" s="3"/>
      <c r="AP177" s="3"/>
      <c r="AQ177" s="18"/>
      <c r="AR177" s="19"/>
      <c r="AS177" s="19"/>
      <c r="AT177" s="20"/>
      <c r="AU177" s="20"/>
      <c r="AV177" s="21"/>
      <c r="AW177" s="22"/>
      <c r="AX177" s="19"/>
      <c r="AY177" s="19"/>
      <c r="AZ177" s="19"/>
      <c r="BA177" s="23"/>
      <c r="BB177" s="19"/>
      <c r="BC177" s="19"/>
      <c r="BD177" s="19"/>
    </row>
    <row r="178" spans="1:56">
      <c r="A178" s="13"/>
      <c r="B178" s="11"/>
      <c r="C178" s="12"/>
      <c r="D178" s="12">
        <f t="shared" si="26"/>
        <v>2.0833299999999999E-2</v>
      </c>
      <c r="E178" s="10"/>
      <c r="F178" s="10" t="str">
        <f>IFERROR(VLOOKUP(E178,Data!A$2:B$5,2,TRUE), "")</f>
        <v/>
      </c>
      <c r="G178" s="3"/>
      <c r="H178" s="13" t="str">
        <f>IFERROR(VLOOKUP(A178,Customer_Data!$A$1:$P$114,8,TRUE),"")</f>
        <v/>
      </c>
      <c r="I178" s="13"/>
      <c r="J178" s="3" t="str">
        <f t="shared" si="32"/>
        <v/>
      </c>
      <c r="K178" s="62" t="e">
        <f>(VLOOKUP($J178,Herbicide_Data!$A$1:$L$61,9,TRUE))</f>
        <v>#N/A</v>
      </c>
      <c r="L178" s="62" t="e">
        <f>VLOOKUP($J178,Herbicide_Data!$A$1:$L$61,12,TRUE)</f>
        <v>#N/A</v>
      </c>
      <c r="M178" s="16" t="e">
        <f t="shared" si="27"/>
        <v>#N/A</v>
      </c>
      <c r="N178" s="62" t="str">
        <f t="shared" si="33"/>
        <v/>
      </c>
      <c r="O178" s="63" t="e">
        <f>VLOOKUP($N178,Herbicide_Data!$A$1:$L$61,9)</f>
        <v>#N/A</v>
      </c>
      <c r="P178" s="62" t="e">
        <f>VLOOKUP($N178,Herbicide_Data!$A$1:$P$61,13)</f>
        <v>#N/A</v>
      </c>
      <c r="Q178" s="16" t="e">
        <f t="shared" si="28"/>
        <v>#N/A</v>
      </c>
      <c r="R178" s="62" t="str">
        <f t="shared" si="34"/>
        <v/>
      </c>
      <c r="S178" s="63" t="e">
        <f>VLOOKUP($R178,Herbicide_Data!$A$1:$L$61,9)</f>
        <v>#N/A</v>
      </c>
      <c r="T178" s="62" t="e">
        <f>VLOOKUP($R178,Herbicide_Data!$A$1:$Q$61,13)</f>
        <v>#N/A</v>
      </c>
      <c r="U178" s="16" t="e">
        <f t="shared" si="29"/>
        <v>#N/A</v>
      </c>
      <c r="V178" s="62" t="b">
        <f t="shared" si="35"/>
        <v>0</v>
      </c>
      <c r="W178" s="63" t="e">
        <f>VLOOKUP($V178,Herbicide_Data!$A$1:$L$17,9)</f>
        <v>#N/A</v>
      </c>
      <c r="X178" s="62" t="e">
        <f>VLOOKUP($V178,Herbicide_Data!$A$1:$L$17,12)</f>
        <v>#N/A</v>
      </c>
      <c r="Y178" s="16" t="e">
        <f t="shared" si="30"/>
        <v>#N/A</v>
      </c>
      <c r="Z178" s="15"/>
      <c r="AA178" s="13"/>
      <c r="AB178" s="17"/>
      <c r="AC178" s="3"/>
      <c r="AD178" s="10"/>
      <c r="AE178" s="3"/>
      <c r="AF178" s="10"/>
      <c r="AG178" s="15"/>
      <c r="AH178" s="62" t="str">
        <f t="shared" si="36"/>
        <v/>
      </c>
      <c r="AI178" s="62" t="e">
        <f>VLOOKUP($AH178,Herbicide_Data!$A$1:$Q$61,13)</f>
        <v>#N/A</v>
      </c>
      <c r="AJ178" s="16" t="e">
        <f t="shared" si="31"/>
        <v>#N/A</v>
      </c>
      <c r="AK178" s="3"/>
      <c r="AL178" s="3"/>
      <c r="AM178" s="3"/>
      <c r="AN178" s="3"/>
      <c r="AO178" s="3"/>
      <c r="AP178" s="3"/>
      <c r="AQ178" s="18"/>
      <c r="AR178" s="19"/>
      <c r="AS178" s="19"/>
      <c r="AT178" s="20"/>
      <c r="AU178" s="20"/>
      <c r="AV178" s="21"/>
      <c r="AW178" s="22"/>
      <c r="AX178" s="19"/>
      <c r="AY178" s="19"/>
      <c r="AZ178" s="19"/>
      <c r="BA178" s="23"/>
      <c r="BB178" s="19"/>
      <c r="BC178" s="19"/>
      <c r="BD178" s="19"/>
    </row>
    <row r="179" spans="1:56">
      <c r="A179" s="13"/>
      <c r="B179" s="11"/>
      <c r="C179" s="12"/>
      <c r="D179" s="12">
        <f t="shared" si="26"/>
        <v>2.0833299999999999E-2</v>
      </c>
      <c r="E179" s="10"/>
      <c r="F179" s="10" t="str">
        <f>IFERROR(VLOOKUP(E179,Data!A$2:B$5,2,TRUE), "")</f>
        <v/>
      </c>
      <c r="G179" s="3"/>
      <c r="H179" s="13" t="str">
        <f>IFERROR(VLOOKUP(A179,Customer_Data!$A$1:$P$114,8,TRUE),"")</f>
        <v/>
      </c>
      <c r="I179" s="13"/>
      <c r="J179" s="3" t="str">
        <f t="shared" si="32"/>
        <v/>
      </c>
      <c r="K179" s="62" t="e">
        <f>(VLOOKUP($J179,Herbicide_Data!$A$1:$L$61,9,TRUE))</f>
        <v>#N/A</v>
      </c>
      <c r="L179" s="62" t="e">
        <f>VLOOKUP($J179,Herbicide_Data!$A$1:$L$61,12,TRUE)</f>
        <v>#N/A</v>
      </c>
      <c r="M179" s="16" t="e">
        <f t="shared" si="27"/>
        <v>#N/A</v>
      </c>
      <c r="N179" s="62" t="str">
        <f t="shared" si="33"/>
        <v/>
      </c>
      <c r="O179" s="63" t="e">
        <f>VLOOKUP($N179,Herbicide_Data!$A$1:$L$61,9)</f>
        <v>#N/A</v>
      </c>
      <c r="P179" s="62" t="e">
        <f>VLOOKUP($N179,Herbicide_Data!$A$1:$P$61,13)</f>
        <v>#N/A</v>
      </c>
      <c r="Q179" s="16" t="e">
        <f t="shared" si="28"/>
        <v>#N/A</v>
      </c>
      <c r="R179" s="62" t="str">
        <f t="shared" si="34"/>
        <v/>
      </c>
      <c r="S179" s="63" t="e">
        <f>VLOOKUP($R179,Herbicide_Data!$A$1:$L$61,9)</f>
        <v>#N/A</v>
      </c>
      <c r="T179" s="62" t="e">
        <f>VLOOKUP($R179,Herbicide_Data!$A$1:$Q$61,13)</f>
        <v>#N/A</v>
      </c>
      <c r="U179" s="16" t="e">
        <f t="shared" si="29"/>
        <v>#N/A</v>
      </c>
      <c r="V179" s="62" t="b">
        <f t="shared" si="35"/>
        <v>0</v>
      </c>
      <c r="W179" s="63" t="e">
        <f>VLOOKUP($V179,Herbicide_Data!$A$1:$L$17,9)</f>
        <v>#N/A</v>
      </c>
      <c r="X179" s="62" t="e">
        <f>VLOOKUP($V179,Herbicide_Data!$A$1:$L$17,12)</f>
        <v>#N/A</v>
      </c>
      <c r="Y179" s="16" t="e">
        <f t="shared" si="30"/>
        <v>#N/A</v>
      </c>
      <c r="Z179" s="15"/>
      <c r="AA179" s="13"/>
      <c r="AB179" s="17"/>
      <c r="AC179" s="3"/>
      <c r="AD179" s="10"/>
      <c r="AE179" s="3"/>
      <c r="AF179" s="10"/>
      <c r="AG179" s="15"/>
      <c r="AH179" s="62" t="str">
        <f t="shared" si="36"/>
        <v/>
      </c>
      <c r="AI179" s="62" t="e">
        <f>VLOOKUP($AH179,Herbicide_Data!$A$1:$Q$61,13)</f>
        <v>#N/A</v>
      </c>
      <c r="AJ179" s="16" t="e">
        <f t="shared" si="31"/>
        <v>#N/A</v>
      </c>
      <c r="AK179" s="3"/>
      <c r="AL179" s="3"/>
      <c r="AM179" s="3"/>
      <c r="AN179" s="3"/>
      <c r="AO179" s="3"/>
      <c r="AP179" s="3"/>
      <c r="AQ179" s="18"/>
      <c r="AR179" s="19"/>
      <c r="AS179" s="19"/>
      <c r="AT179" s="20"/>
      <c r="AU179" s="20"/>
      <c r="AV179" s="21"/>
      <c r="AW179" s="22"/>
      <c r="AX179" s="19"/>
      <c r="AY179" s="19"/>
      <c r="AZ179" s="19"/>
      <c r="BA179" s="23"/>
      <c r="BB179" s="19"/>
      <c r="BC179" s="19"/>
      <c r="BD179" s="19"/>
    </row>
    <row r="180" spans="1:56">
      <c r="A180" s="13"/>
      <c r="B180" s="11"/>
      <c r="C180" s="12"/>
      <c r="D180" s="12">
        <f t="shared" si="26"/>
        <v>2.0833299999999999E-2</v>
      </c>
      <c r="E180" s="10"/>
      <c r="F180" s="10" t="str">
        <f>IFERROR(VLOOKUP(E180,Data!A$2:B$5,2,TRUE), "")</f>
        <v/>
      </c>
      <c r="G180" s="3"/>
      <c r="H180" s="13" t="str">
        <f>IFERROR(VLOOKUP(A180,Customer_Data!$A$1:$P$114,8,TRUE),"")</f>
        <v/>
      </c>
      <c r="I180" s="13"/>
      <c r="J180" s="3" t="str">
        <f t="shared" si="32"/>
        <v/>
      </c>
      <c r="K180" s="62" t="e">
        <f>(VLOOKUP($J180,Herbicide_Data!$A$1:$L$61,9,TRUE))</f>
        <v>#N/A</v>
      </c>
      <c r="L180" s="62" t="e">
        <f>VLOOKUP($J180,Herbicide_Data!$A$1:$L$61,12,TRUE)</f>
        <v>#N/A</v>
      </c>
      <c r="M180" s="16" t="e">
        <f t="shared" si="27"/>
        <v>#N/A</v>
      </c>
      <c r="N180" s="62" t="str">
        <f t="shared" si="33"/>
        <v/>
      </c>
      <c r="O180" s="63" t="e">
        <f>VLOOKUP($N180,Herbicide_Data!$A$1:$L$61,9)</f>
        <v>#N/A</v>
      </c>
      <c r="P180" s="62" t="e">
        <f>VLOOKUP($N180,Herbicide_Data!$A$1:$P$61,13)</f>
        <v>#N/A</v>
      </c>
      <c r="Q180" s="16" t="e">
        <f t="shared" si="28"/>
        <v>#N/A</v>
      </c>
      <c r="R180" s="62" t="str">
        <f t="shared" si="34"/>
        <v/>
      </c>
      <c r="S180" s="63" t="e">
        <f>VLOOKUP($R180,Herbicide_Data!$A$1:$L$61,9)</f>
        <v>#N/A</v>
      </c>
      <c r="T180" s="62" t="e">
        <f>VLOOKUP($R180,Herbicide_Data!$A$1:$Q$61,13)</f>
        <v>#N/A</v>
      </c>
      <c r="U180" s="16" t="e">
        <f t="shared" si="29"/>
        <v>#N/A</v>
      </c>
      <c r="V180" s="62" t="b">
        <f t="shared" si="35"/>
        <v>0</v>
      </c>
      <c r="W180" s="63" t="e">
        <f>VLOOKUP($V180,Herbicide_Data!$A$1:$L$17,9)</f>
        <v>#N/A</v>
      </c>
      <c r="X180" s="62" t="e">
        <f>VLOOKUP($V180,Herbicide_Data!$A$1:$L$17,12)</f>
        <v>#N/A</v>
      </c>
      <c r="Y180" s="16" t="e">
        <f t="shared" si="30"/>
        <v>#N/A</v>
      </c>
      <c r="Z180" s="15"/>
      <c r="AA180" s="13"/>
      <c r="AB180" s="17"/>
      <c r="AC180" s="3"/>
      <c r="AD180" s="10"/>
      <c r="AE180" s="3"/>
      <c r="AF180" s="10"/>
      <c r="AG180" s="15"/>
      <c r="AH180" s="62" t="str">
        <f t="shared" si="36"/>
        <v/>
      </c>
      <c r="AI180" s="62" t="e">
        <f>VLOOKUP($AH180,Herbicide_Data!$A$1:$Q$61,13)</f>
        <v>#N/A</v>
      </c>
      <c r="AJ180" s="16" t="e">
        <f t="shared" si="31"/>
        <v>#N/A</v>
      </c>
      <c r="AK180" s="3"/>
      <c r="AL180" s="3"/>
      <c r="AM180" s="3"/>
      <c r="AN180" s="3"/>
      <c r="AO180" s="3"/>
      <c r="AP180" s="3"/>
      <c r="AQ180" s="18"/>
      <c r="AR180" s="19"/>
      <c r="AS180" s="19"/>
      <c r="AT180" s="20"/>
      <c r="AU180" s="20"/>
      <c r="AV180" s="21"/>
      <c r="AW180" s="22"/>
      <c r="AX180" s="19"/>
      <c r="AY180" s="19"/>
      <c r="AZ180" s="19"/>
      <c r="BA180" s="23"/>
      <c r="BB180" s="19"/>
      <c r="BC180" s="19"/>
      <c r="BD180" s="19"/>
    </row>
    <row r="181" spans="1:56">
      <c r="A181" s="13"/>
      <c r="B181" s="11"/>
      <c r="C181" s="12"/>
      <c r="D181" s="12">
        <f t="shared" si="26"/>
        <v>2.0833299999999999E-2</v>
      </c>
      <c r="E181" s="10"/>
      <c r="F181" s="10" t="str">
        <f>IFERROR(VLOOKUP(E181,Data!A$2:B$5,2,TRUE), "")</f>
        <v/>
      </c>
      <c r="G181" s="3"/>
      <c r="H181" s="13" t="str">
        <f>IFERROR(VLOOKUP(A181,Customer_Data!$A$1:$P$114,8,TRUE),"")</f>
        <v/>
      </c>
      <c r="I181" s="13"/>
      <c r="J181" s="3" t="str">
        <f t="shared" si="32"/>
        <v/>
      </c>
      <c r="K181" s="62" t="e">
        <f>(VLOOKUP($J181,Herbicide_Data!$A$1:$L$61,9,TRUE))</f>
        <v>#N/A</v>
      </c>
      <c r="L181" s="62" t="e">
        <f>VLOOKUP($J181,Herbicide_Data!$A$1:$L$61,12,TRUE)</f>
        <v>#N/A</v>
      </c>
      <c r="M181" s="16" t="e">
        <f t="shared" si="27"/>
        <v>#N/A</v>
      </c>
      <c r="N181" s="62" t="str">
        <f t="shared" si="33"/>
        <v/>
      </c>
      <c r="O181" s="63" t="e">
        <f>VLOOKUP($N181,Herbicide_Data!$A$1:$L$61,9)</f>
        <v>#N/A</v>
      </c>
      <c r="P181" s="62" t="e">
        <f>VLOOKUP($N181,Herbicide_Data!$A$1:$P$61,13)</f>
        <v>#N/A</v>
      </c>
      <c r="Q181" s="16" t="e">
        <f t="shared" si="28"/>
        <v>#N/A</v>
      </c>
      <c r="R181" s="62" t="str">
        <f t="shared" si="34"/>
        <v/>
      </c>
      <c r="S181" s="63" t="e">
        <f>VLOOKUP($R181,Herbicide_Data!$A$1:$L$61,9)</f>
        <v>#N/A</v>
      </c>
      <c r="T181" s="62" t="e">
        <f>VLOOKUP($R181,Herbicide_Data!$A$1:$Q$61,13)</f>
        <v>#N/A</v>
      </c>
      <c r="U181" s="16" t="e">
        <f t="shared" si="29"/>
        <v>#N/A</v>
      </c>
      <c r="V181" s="62" t="b">
        <f t="shared" si="35"/>
        <v>0</v>
      </c>
      <c r="W181" s="63" t="e">
        <f>VLOOKUP($V181,Herbicide_Data!$A$1:$L$17,9)</f>
        <v>#N/A</v>
      </c>
      <c r="X181" s="62" t="e">
        <f>VLOOKUP($V181,Herbicide_Data!$A$1:$L$17,12)</f>
        <v>#N/A</v>
      </c>
      <c r="Y181" s="16" t="e">
        <f t="shared" si="30"/>
        <v>#N/A</v>
      </c>
      <c r="Z181" s="15"/>
      <c r="AA181" s="13"/>
      <c r="AB181" s="17"/>
      <c r="AC181" s="3"/>
      <c r="AD181" s="10"/>
      <c r="AE181" s="3"/>
      <c r="AF181" s="10"/>
      <c r="AG181" s="15"/>
      <c r="AH181" s="62" t="str">
        <f t="shared" si="36"/>
        <v/>
      </c>
      <c r="AI181" s="62" t="e">
        <f>VLOOKUP($AH181,Herbicide_Data!$A$1:$Q$61,13)</f>
        <v>#N/A</v>
      </c>
      <c r="AJ181" s="16" t="e">
        <f t="shared" si="31"/>
        <v>#N/A</v>
      </c>
      <c r="AK181" s="3"/>
      <c r="AL181" s="3"/>
      <c r="AM181" s="3"/>
      <c r="AN181" s="3"/>
      <c r="AO181" s="3"/>
      <c r="AP181" s="3"/>
      <c r="AQ181" s="18"/>
      <c r="AR181" s="19"/>
      <c r="AS181" s="19"/>
      <c r="AT181" s="20"/>
      <c r="AU181" s="20"/>
      <c r="AV181" s="21"/>
      <c r="AW181" s="22"/>
      <c r="AX181" s="19"/>
      <c r="AY181" s="19"/>
      <c r="AZ181" s="19"/>
      <c r="BA181" s="23"/>
      <c r="BB181" s="19"/>
      <c r="BC181" s="19"/>
      <c r="BD181" s="19"/>
    </row>
    <row r="182" spans="1:56">
      <c r="A182" s="13"/>
      <c r="B182" s="11"/>
      <c r="C182" s="12"/>
      <c r="D182" s="12">
        <f t="shared" si="26"/>
        <v>2.0833299999999999E-2</v>
      </c>
      <c r="E182" s="10"/>
      <c r="F182" s="10" t="str">
        <f>IFERROR(VLOOKUP(E182,Data!A$2:B$5,2,TRUE), "")</f>
        <v/>
      </c>
      <c r="G182" s="3"/>
      <c r="H182" s="13" t="str">
        <f>IFERROR(VLOOKUP(A182,Customer_Data!$A$1:$P$114,8,TRUE),"")</f>
        <v/>
      </c>
      <c r="I182" s="13"/>
      <c r="J182" s="3" t="str">
        <f t="shared" si="32"/>
        <v/>
      </c>
      <c r="K182" s="62" t="e">
        <f>(VLOOKUP($J182,Herbicide_Data!$A$1:$L$61,9,TRUE))</f>
        <v>#N/A</v>
      </c>
      <c r="L182" s="62" t="e">
        <f>VLOOKUP($J182,Herbicide_Data!$A$1:$L$61,12,TRUE)</f>
        <v>#N/A</v>
      </c>
      <c r="M182" s="16" t="e">
        <f t="shared" si="27"/>
        <v>#N/A</v>
      </c>
      <c r="N182" s="62" t="str">
        <f t="shared" si="33"/>
        <v/>
      </c>
      <c r="O182" s="63" t="e">
        <f>VLOOKUP($N182,Herbicide_Data!$A$1:$L$61,9)</f>
        <v>#N/A</v>
      </c>
      <c r="P182" s="62" t="e">
        <f>VLOOKUP($N182,Herbicide_Data!$A$1:$P$61,13)</f>
        <v>#N/A</v>
      </c>
      <c r="Q182" s="16" t="e">
        <f t="shared" si="28"/>
        <v>#N/A</v>
      </c>
      <c r="R182" s="62" t="str">
        <f t="shared" si="34"/>
        <v/>
      </c>
      <c r="S182" s="63" t="e">
        <f>VLOOKUP($R182,Herbicide_Data!$A$1:$L$61,9)</f>
        <v>#N/A</v>
      </c>
      <c r="T182" s="62" t="e">
        <f>VLOOKUP($R182,Herbicide_Data!$A$1:$Q$61,13)</f>
        <v>#N/A</v>
      </c>
      <c r="U182" s="16" t="e">
        <f t="shared" si="29"/>
        <v>#N/A</v>
      </c>
      <c r="V182" s="62" t="b">
        <f t="shared" si="35"/>
        <v>0</v>
      </c>
      <c r="W182" s="63" t="e">
        <f>VLOOKUP($V182,Herbicide_Data!$A$1:$L$17,9)</f>
        <v>#N/A</v>
      </c>
      <c r="X182" s="62" t="e">
        <f>VLOOKUP($V182,Herbicide_Data!$A$1:$L$17,12)</f>
        <v>#N/A</v>
      </c>
      <c r="Y182" s="16" t="e">
        <f t="shared" si="30"/>
        <v>#N/A</v>
      </c>
      <c r="Z182" s="15"/>
      <c r="AA182" s="13"/>
      <c r="AB182" s="17"/>
      <c r="AC182" s="3"/>
      <c r="AD182" s="10"/>
      <c r="AE182" s="3"/>
      <c r="AF182" s="10"/>
      <c r="AG182" s="15"/>
      <c r="AH182" s="62" t="str">
        <f t="shared" si="36"/>
        <v/>
      </c>
      <c r="AI182" s="62" t="e">
        <f>VLOOKUP($AH182,Herbicide_Data!$A$1:$Q$61,13)</f>
        <v>#N/A</v>
      </c>
      <c r="AJ182" s="16" t="e">
        <f t="shared" si="31"/>
        <v>#N/A</v>
      </c>
      <c r="AK182" s="3"/>
      <c r="AL182" s="3"/>
      <c r="AM182" s="3"/>
      <c r="AN182" s="3"/>
      <c r="AO182" s="3"/>
      <c r="AP182" s="3"/>
      <c r="AQ182" s="18"/>
      <c r="AR182" s="19"/>
      <c r="AS182" s="19"/>
      <c r="AT182" s="20"/>
      <c r="AU182" s="20"/>
      <c r="AV182" s="21"/>
      <c r="AW182" s="22"/>
      <c r="AX182" s="19"/>
      <c r="AY182" s="19"/>
      <c r="AZ182" s="19"/>
      <c r="BA182" s="23"/>
      <c r="BB182" s="19"/>
      <c r="BC182" s="19"/>
      <c r="BD182" s="19"/>
    </row>
    <row r="183" spans="1:56">
      <c r="A183" s="13"/>
      <c r="B183" s="11"/>
      <c r="C183" s="12"/>
      <c r="D183" s="12">
        <f t="shared" si="26"/>
        <v>2.0833299999999999E-2</v>
      </c>
      <c r="E183" s="10"/>
      <c r="F183" s="10" t="str">
        <f>IFERROR(VLOOKUP(E183,Data!A$2:B$5,2,TRUE), "")</f>
        <v/>
      </c>
      <c r="G183" s="3"/>
      <c r="H183" s="13" t="str">
        <f>IFERROR(VLOOKUP(A183,Customer_Data!$A$1:$P$114,8,TRUE),"")</f>
        <v/>
      </c>
      <c r="I183" s="13"/>
      <c r="J183" s="3" t="str">
        <f t="shared" si="32"/>
        <v/>
      </c>
      <c r="K183" s="62" t="e">
        <f>(VLOOKUP($J183,Herbicide_Data!$A$1:$L$61,9,TRUE))</f>
        <v>#N/A</v>
      </c>
      <c r="L183" s="62" t="e">
        <f>VLOOKUP($J183,Herbicide_Data!$A$1:$L$61,12,TRUE)</f>
        <v>#N/A</v>
      </c>
      <c r="M183" s="16" t="e">
        <f t="shared" si="27"/>
        <v>#N/A</v>
      </c>
      <c r="N183" s="62" t="str">
        <f t="shared" si="33"/>
        <v/>
      </c>
      <c r="O183" s="63" t="e">
        <f>VLOOKUP($N183,Herbicide_Data!$A$1:$L$61,9)</f>
        <v>#N/A</v>
      </c>
      <c r="P183" s="62" t="e">
        <f>VLOOKUP($N183,Herbicide_Data!$A$1:$P$61,13)</f>
        <v>#N/A</v>
      </c>
      <c r="Q183" s="16" t="e">
        <f t="shared" si="28"/>
        <v>#N/A</v>
      </c>
      <c r="R183" s="62" t="str">
        <f t="shared" si="34"/>
        <v/>
      </c>
      <c r="S183" s="63" t="e">
        <f>VLOOKUP($R183,Herbicide_Data!$A$1:$L$61,9)</f>
        <v>#N/A</v>
      </c>
      <c r="T183" s="62" t="e">
        <f>VLOOKUP($R183,Herbicide_Data!$A$1:$Q$61,13)</f>
        <v>#N/A</v>
      </c>
      <c r="U183" s="16" t="e">
        <f t="shared" si="29"/>
        <v>#N/A</v>
      </c>
      <c r="V183" s="62" t="b">
        <f t="shared" si="35"/>
        <v>0</v>
      </c>
      <c r="W183" s="63" t="e">
        <f>VLOOKUP($V183,Herbicide_Data!$A$1:$L$17,9)</f>
        <v>#N/A</v>
      </c>
      <c r="X183" s="62" t="e">
        <f>VLOOKUP($V183,Herbicide_Data!$A$1:$L$17,12)</f>
        <v>#N/A</v>
      </c>
      <c r="Y183" s="16" t="e">
        <f t="shared" si="30"/>
        <v>#N/A</v>
      </c>
      <c r="Z183" s="15"/>
      <c r="AA183" s="13"/>
      <c r="AB183" s="17"/>
      <c r="AC183" s="3"/>
      <c r="AD183" s="10"/>
      <c r="AE183" s="3"/>
      <c r="AF183" s="10"/>
      <c r="AG183" s="15"/>
      <c r="AH183" s="62" t="str">
        <f t="shared" si="36"/>
        <v/>
      </c>
      <c r="AI183" s="62" t="e">
        <f>VLOOKUP($AH183,Herbicide_Data!$A$1:$Q$61,13)</f>
        <v>#N/A</v>
      </c>
      <c r="AJ183" s="16" t="e">
        <f t="shared" si="31"/>
        <v>#N/A</v>
      </c>
      <c r="AK183" s="3"/>
      <c r="AL183" s="3"/>
      <c r="AM183" s="3"/>
      <c r="AN183" s="3"/>
      <c r="AO183" s="3"/>
      <c r="AP183" s="3"/>
      <c r="AQ183" s="18"/>
      <c r="AR183" s="19"/>
      <c r="AS183" s="19"/>
      <c r="AT183" s="20"/>
      <c r="AU183" s="20"/>
      <c r="AV183" s="21"/>
      <c r="AW183" s="22"/>
      <c r="AX183" s="19"/>
      <c r="AY183" s="19"/>
      <c r="AZ183" s="19"/>
      <c r="BA183" s="23"/>
      <c r="BB183" s="19"/>
      <c r="BC183" s="19"/>
      <c r="BD183" s="19"/>
    </row>
    <row r="184" spans="1:56">
      <c r="A184" s="13"/>
      <c r="B184" s="11"/>
      <c r="C184" s="12"/>
      <c r="D184" s="12">
        <f t="shared" si="26"/>
        <v>2.0833299999999999E-2</v>
      </c>
      <c r="E184" s="10"/>
      <c r="F184" s="10" t="str">
        <f>IFERROR(VLOOKUP(E184,Data!A$2:B$5,2,TRUE), "")</f>
        <v/>
      </c>
      <c r="G184" s="3"/>
      <c r="H184" s="13" t="str">
        <f>IFERROR(VLOOKUP(A184,Customer_Data!$A$1:$P$114,8,TRUE),"")</f>
        <v/>
      </c>
      <c r="I184" s="13"/>
      <c r="J184" s="3" t="str">
        <f t="shared" si="32"/>
        <v/>
      </c>
      <c r="K184" s="62" t="e">
        <f>(VLOOKUP($J184,Herbicide_Data!$A$1:$L$61,9,TRUE))</f>
        <v>#N/A</v>
      </c>
      <c r="L184" s="62" t="e">
        <f>VLOOKUP($J184,Herbicide_Data!$A$1:$L$61,12,TRUE)</f>
        <v>#N/A</v>
      </c>
      <c r="M184" s="16" t="e">
        <f t="shared" si="27"/>
        <v>#N/A</v>
      </c>
      <c r="N184" s="62" t="str">
        <f t="shared" si="33"/>
        <v/>
      </c>
      <c r="O184" s="63" t="e">
        <f>VLOOKUP($N184,Herbicide_Data!$A$1:$L$61,9)</f>
        <v>#N/A</v>
      </c>
      <c r="P184" s="62" t="e">
        <f>VLOOKUP($N184,Herbicide_Data!$A$1:$P$61,13)</f>
        <v>#N/A</v>
      </c>
      <c r="Q184" s="16" t="e">
        <f t="shared" si="28"/>
        <v>#N/A</v>
      </c>
      <c r="R184" s="62" t="str">
        <f t="shared" si="34"/>
        <v/>
      </c>
      <c r="S184" s="63" t="e">
        <f>VLOOKUP($R184,Herbicide_Data!$A$1:$L$61,9)</f>
        <v>#N/A</v>
      </c>
      <c r="T184" s="62" t="e">
        <f>VLOOKUP($R184,Herbicide_Data!$A$1:$Q$61,13)</f>
        <v>#N/A</v>
      </c>
      <c r="U184" s="16" t="e">
        <f t="shared" si="29"/>
        <v>#N/A</v>
      </c>
      <c r="V184" s="62" t="b">
        <f t="shared" si="35"/>
        <v>0</v>
      </c>
      <c r="W184" s="63" t="e">
        <f>VLOOKUP($V184,Herbicide_Data!$A$1:$L$17,9)</f>
        <v>#N/A</v>
      </c>
      <c r="X184" s="62" t="e">
        <f>VLOOKUP($V184,Herbicide_Data!$A$1:$L$17,12)</f>
        <v>#N/A</v>
      </c>
      <c r="Y184" s="16" t="e">
        <f t="shared" si="30"/>
        <v>#N/A</v>
      </c>
      <c r="Z184" s="15"/>
      <c r="AA184" s="13"/>
      <c r="AB184" s="17"/>
      <c r="AC184" s="3"/>
      <c r="AD184" s="10"/>
      <c r="AE184" s="3"/>
      <c r="AF184" s="10"/>
      <c r="AG184" s="15"/>
      <c r="AH184" s="62" t="str">
        <f t="shared" si="36"/>
        <v/>
      </c>
      <c r="AI184" s="62" t="e">
        <f>VLOOKUP($AH184,Herbicide_Data!$A$1:$Q$61,13)</f>
        <v>#N/A</v>
      </c>
      <c r="AJ184" s="16" t="e">
        <f t="shared" si="31"/>
        <v>#N/A</v>
      </c>
      <c r="AK184" s="3"/>
      <c r="AL184" s="3"/>
      <c r="AM184" s="3"/>
      <c r="AN184" s="3"/>
      <c r="AO184" s="3"/>
      <c r="AP184" s="3"/>
      <c r="AQ184" s="18"/>
      <c r="AR184" s="19"/>
      <c r="AS184" s="19"/>
      <c r="AT184" s="20"/>
      <c r="AU184" s="20"/>
      <c r="AV184" s="21"/>
      <c r="AW184" s="22"/>
      <c r="AX184" s="19"/>
      <c r="AY184" s="19"/>
      <c r="AZ184" s="19"/>
      <c r="BA184" s="23"/>
      <c r="BB184" s="19"/>
      <c r="BC184" s="19"/>
      <c r="BD184" s="19"/>
    </row>
    <row r="185" spans="1:56">
      <c r="A185" s="13"/>
      <c r="B185" s="11"/>
      <c r="C185" s="12"/>
      <c r="D185" s="12">
        <f t="shared" si="26"/>
        <v>2.0833299999999999E-2</v>
      </c>
      <c r="E185" s="10"/>
      <c r="F185" s="10" t="str">
        <f>IFERROR(VLOOKUP(E185,Data!A$2:B$5,2,TRUE), "")</f>
        <v/>
      </c>
      <c r="G185" s="3"/>
      <c r="H185" s="13" t="str">
        <f>IFERROR(VLOOKUP(A185,Customer_Data!$A$1:$P$114,8,TRUE),"")</f>
        <v/>
      </c>
      <c r="I185" s="13"/>
      <c r="J185" s="3" t="str">
        <f t="shared" si="32"/>
        <v/>
      </c>
      <c r="K185" s="62" t="e">
        <f>(VLOOKUP($J185,Herbicide_Data!$A$1:$L$61,9,TRUE))</f>
        <v>#N/A</v>
      </c>
      <c r="L185" s="62" t="e">
        <f>VLOOKUP($J185,Herbicide_Data!$A$1:$L$61,12,TRUE)</f>
        <v>#N/A</v>
      </c>
      <c r="M185" s="16" t="e">
        <f t="shared" si="27"/>
        <v>#N/A</v>
      </c>
      <c r="N185" s="62" t="str">
        <f t="shared" si="33"/>
        <v/>
      </c>
      <c r="O185" s="63" t="e">
        <f>VLOOKUP($N185,Herbicide_Data!$A$1:$L$61,9)</f>
        <v>#N/A</v>
      </c>
      <c r="P185" s="62" t="e">
        <f>VLOOKUP($N185,Herbicide_Data!$A$1:$P$61,13)</f>
        <v>#N/A</v>
      </c>
      <c r="Q185" s="16" t="e">
        <f t="shared" si="28"/>
        <v>#N/A</v>
      </c>
      <c r="R185" s="62" t="str">
        <f t="shared" si="34"/>
        <v/>
      </c>
      <c r="S185" s="63" t="e">
        <f>VLOOKUP($R185,Herbicide_Data!$A$1:$L$61,9)</f>
        <v>#N/A</v>
      </c>
      <c r="T185" s="62" t="e">
        <f>VLOOKUP($R185,Herbicide_Data!$A$1:$Q$61,13)</f>
        <v>#N/A</v>
      </c>
      <c r="U185" s="16" t="e">
        <f t="shared" si="29"/>
        <v>#N/A</v>
      </c>
      <c r="V185" s="62" t="b">
        <f t="shared" si="35"/>
        <v>0</v>
      </c>
      <c r="W185" s="63" t="e">
        <f>VLOOKUP($V185,Herbicide_Data!$A$1:$L$17,9)</f>
        <v>#N/A</v>
      </c>
      <c r="X185" s="62" t="e">
        <f>VLOOKUP($V185,Herbicide_Data!$A$1:$L$17,12)</f>
        <v>#N/A</v>
      </c>
      <c r="Y185" s="16" t="e">
        <f t="shared" si="30"/>
        <v>#N/A</v>
      </c>
      <c r="Z185" s="15"/>
      <c r="AA185" s="13"/>
      <c r="AB185" s="17"/>
      <c r="AC185" s="3"/>
      <c r="AD185" s="10"/>
      <c r="AE185" s="3"/>
      <c r="AF185" s="10"/>
      <c r="AG185" s="15"/>
      <c r="AH185" s="62" t="str">
        <f t="shared" si="36"/>
        <v/>
      </c>
      <c r="AI185" s="62" t="e">
        <f>VLOOKUP($AH185,Herbicide_Data!$A$1:$Q$61,13)</f>
        <v>#N/A</v>
      </c>
      <c r="AJ185" s="16" t="e">
        <f t="shared" si="31"/>
        <v>#N/A</v>
      </c>
      <c r="AK185" s="3"/>
      <c r="AL185" s="3"/>
      <c r="AM185" s="3"/>
      <c r="AN185" s="3"/>
      <c r="AO185" s="3"/>
      <c r="AP185" s="3"/>
      <c r="AQ185" s="18"/>
      <c r="AR185" s="19"/>
      <c r="AS185" s="19"/>
      <c r="AT185" s="20"/>
      <c r="AU185" s="20"/>
      <c r="AV185" s="21"/>
      <c r="AW185" s="22"/>
      <c r="AX185" s="19"/>
      <c r="AY185" s="19"/>
      <c r="AZ185" s="19"/>
      <c r="BA185" s="23"/>
      <c r="BB185" s="19"/>
      <c r="BC185" s="19"/>
      <c r="BD185" s="19"/>
    </row>
    <row r="186" spans="1:56">
      <c r="A186" s="13"/>
      <c r="B186" s="11"/>
      <c r="C186" s="12"/>
      <c r="D186" s="12">
        <f t="shared" si="26"/>
        <v>2.0833299999999999E-2</v>
      </c>
      <c r="E186" s="10"/>
      <c r="F186" s="10" t="str">
        <f>IFERROR(VLOOKUP(E186,Data!A$2:B$5,2,TRUE), "")</f>
        <v/>
      </c>
      <c r="G186" s="3"/>
      <c r="H186" s="13" t="str">
        <f>IFERROR(VLOOKUP(A186,Customer_Data!$A$1:$P$114,8,TRUE),"")</f>
        <v/>
      </c>
      <c r="I186" s="13"/>
      <c r="J186" s="3" t="str">
        <f t="shared" si="32"/>
        <v/>
      </c>
      <c r="K186" s="62" t="e">
        <f>(VLOOKUP($J186,Herbicide_Data!$A$1:$L$61,9,TRUE))</f>
        <v>#N/A</v>
      </c>
      <c r="L186" s="62" t="e">
        <f>VLOOKUP($J186,Herbicide_Data!$A$1:$L$61,12,TRUE)</f>
        <v>#N/A</v>
      </c>
      <c r="M186" s="16" t="e">
        <f t="shared" si="27"/>
        <v>#N/A</v>
      </c>
      <c r="N186" s="62" t="str">
        <f t="shared" si="33"/>
        <v/>
      </c>
      <c r="O186" s="63" t="e">
        <f>VLOOKUP($N186,Herbicide_Data!$A$1:$L$61,9)</f>
        <v>#N/A</v>
      </c>
      <c r="P186" s="62" t="e">
        <f>VLOOKUP($N186,Herbicide_Data!$A$1:$P$61,13)</f>
        <v>#N/A</v>
      </c>
      <c r="Q186" s="16" t="e">
        <f t="shared" si="28"/>
        <v>#N/A</v>
      </c>
      <c r="R186" s="62" t="str">
        <f t="shared" si="34"/>
        <v/>
      </c>
      <c r="S186" s="63" t="e">
        <f>VLOOKUP($R186,Herbicide_Data!$A$1:$L$61,9)</f>
        <v>#N/A</v>
      </c>
      <c r="T186" s="62" t="e">
        <f>VLOOKUP($R186,Herbicide_Data!$A$1:$Q$61,13)</f>
        <v>#N/A</v>
      </c>
      <c r="U186" s="16" t="e">
        <f t="shared" si="29"/>
        <v>#N/A</v>
      </c>
      <c r="V186" s="62" t="b">
        <f t="shared" si="35"/>
        <v>0</v>
      </c>
      <c r="W186" s="63" t="e">
        <f>VLOOKUP($V186,Herbicide_Data!$A$1:$L$17,9)</f>
        <v>#N/A</v>
      </c>
      <c r="X186" s="62" t="e">
        <f>VLOOKUP($V186,Herbicide_Data!$A$1:$L$17,12)</f>
        <v>#N/A</v>
      </c>
      <c r="Y186" s="16" t="e">
        <f t="shared" si="30"/>
        <v>#N/A</v>
      </c>
      <c r="Z186" s="15"/>
      <c r="AA186" s="13"/>
      <c r="AB186" s="17"/>
      <c r="AC186" s="3"/>
      <c r="AD186" s="10"/>
      <c r="AE186" s="3"/>
      <c r="AF186" s="10"/>
      <c r="AG186" s="15"/>
      <c r="AH186" s="62" t="str">
        <f t="shared" si="36"/>
        <v/>
      </c>
      <c r="AI186" s="62" t="e">
        <f>VLOOKUP($AH186,Herbicide_Data!$A$1:$Q$61,13)</f>
        <v>#N/A</v>
      </c>
      <c r="AJ186" s="16" t="e">
        <f t="shared" si="31"/>
        <v>#N/A</v>
      </c>
      <c r="AK186" s="3"/>
      <c r="AL186" s="3"/>
      <c r="AM186" s="3"/>
      <c r="AN186" s="3"/>
      <c r="AO186" s="3"/>
      <c r="AP186" s="3"/>
      <c r="AQ186" s="18"/>
      <c r="AR186" s="19"/>
      <c r="AS186" s="19"/>
      <c r="AT186" s="20"/>
      <c r="AU186" s="20"/>
      <c r="AV186" s="21"/>
      <c r="AW186" s="22"/>
      <c r="AX186" s="19"/>
      <c r="AY186" s="19"/>
      <c r="AZ186" s="19"/>
      <c r="BA186" s="23"/>
      <c r="BB186" s="19"/>
      <c r="BC186" s="19"/>
      <c r="BD186" s="19"/>
    </row>
    <row r="187" spans="1:56">
      <c r="A187" s="13"/>
      <c r="B187" s="11"/>
      <c r="C187" s="12"/>
      <c r="D187" s="12">
        <f t="shared" si="26"/>
        <v>2.0833299999999999E-2</v>
      </c>
      <c r="E187" s="10"/>
      <c r="F187" s="10" t="str">
        <f>IFERROR(VLOOKUP(E187,Data!A$2:B$5,2,TRUE), "")</f>
        <v/>
      </c>
      <c r="G187" s="3"/>
      <c r="H187" s="13" t="str">
        <f>IFERROR(VLOOKUP(A187,Customer_Data!$A$1:$P$114,8,TRUE),"")</f>
        <v/>
      </c>
      <c r="I187" s="13"/>
      <c r="J187" s="3" t="str">
        <f t="shared" si="32"/>
        <v/>
      </c>
      <c r="K187" s="62" t="e">
        <f>(VLOOKUP($J187,Herbicide_Data!$A$1:$L$61,9,TRUE))</f>
        <v>#N/A</v>
      </c>
      <c r="L187" s="62" t="e">
        <f>VLOOKUP($J187,Herbicide_Data!$A$1:$L$61,12,TRUE)</f>
        <v>#N/A</v>
      </c>
      <c r="M187" s="16" t="e">
        <f t="shared" si="27"/>
        <v>#N/A</v>
      </c>
      <c r="N187" s="62" t="str">
        <f t="shared" si="33"/>
        <v/>
      </c>
      <c r="O187" s="63" t="e">
        <f>VLOOKUP($N187,Herbicide_Data!$A$1:$L$61,9)</f>
        <v>#N/A</v>
      </c>
      <c r="P187" s="62" t="e">
        <f>VLOOKUP($N187,Herbicide_Data!$A$1:$P$61,13)</f>
        <v>#N/A</v>
      </c>
      <c r="Q187" s="16" t="e">
        <f t="shared" si="28"/>
        <v>#N/A</v>
      </c>
      <c r="R187" s="62" t="str">
        <f t="shared" si="34"/>
        <v/>
      </c>
      <c r="S187" s="63" t="e">
        <f>VLOOKUP($R187,Herbicide_Data!$A$1:$L$61,9)</f>
        <v>#N/A</v>
      </c>
      <c r="T187" s="62" t="e">
        <f>VLOOKUP($R187,Herbicide_Data!$A$1:$Q$61,13)</f>
        <v>#N/A</v>
      </c>
      <c r="U187" s="16" t="e">
        <f t="shared" si="29"/>
        <v>#N/A</v>
      </c>
      <c r="V187" s="62" t="b">
        <f t="shared" si="35"/>
        <v>0</v>
      </c>
      <c r="W187" s="63" t="e">
        <f>VLOOKUP($V187,Herbicide_Data!$A$1:$L$17,9)</f>
        <v>#N/A</v>
      </c>
      <c r="X187" s="62" t="e">
        <f>VLOOKUP($V187,Herbicide_Data!$A$1:$L$17,12)</f>
        <v>#N/A</v>
      </c>
      <c r="Y187" s="16" t="e">
        <f t="shared" si="30"/>
        <v>#N/A</v>
      </c>
      <c r="Z187" s="15"/>
      <c r="AA187" s="13"/>
      <c r="AB187" s="17"/>
      <c r="AC187" s="3"/>
      <c r="AD187" s="10"/>
      <c r="AE187" s="3"/>
      <c r="AF187" s="10"/>
      <c r="AG187" s="15"/>
      <c r="AH187" s="62" t="str">
        <f t="shared" si="36"/>
        <v/>
      </c>
      <c r="AI187" s="62" t="e">
        <f>VLOOKUP($AH187,Herbicide_Data!$A$1:$Q$61,13)</f>
        <v>#N/A</v>
      </c>
      <c r="AJ187" s="16" t="e">
        <f t="shared" si="31"/>
        <v>#N/A</v>
      </c>
      <c r="AK187" s="3"/>
      <c r="AL187" s="3"/>
      <c r="AM187" s="3"/>
      <c r="AN187" s="3"/>
      <c r="AO187" s="3"/>
      <c r="AP187" s="3"/>
      <c r="AQ187" s="18"/>
      <c r="AR187" s="19"/>
      <c r="AS187" s="19"/>
      <c r="AT187" s="20"/>
      <c r="AU187" s="20"/>
      <c r="AV187" s="21"/>
      <c r="AW187" s="22"/>
      <c r="AX187" s="19"/>
      <c r="AY187" s="19"/>
      <c r="AZ187" s="19"/>
      <c r="BA187" s="23"/>
      <c r="BB187" s="19"/>
      <c r="BC187" s="19"/>
      <c r="BD187" s="19"/>
    </row>
    <row r="188" spans="1:56">
      <c r="A188" s="13"/>
      <c r="B188" s="11"/>
      <c r="C188" s="12"/>
      <c r="D188" s="12">
        <f t="shared" si="26"/>
        <v>2.0833299999999999E-2</v>
      </c>
      <c r="E188" s="10"/>
      <c r="F188" s="10" t="str">
        <f>IFERROR(VLOOKUP(E188,Data!A$2:B$5,2,TRUE), "")</f>
        <v/>
      </c>
      <c r="G188" s="3"/>
      <c r="H188" s="13" t="str">
        <f>IFERROR(VLOOKUP(A188,Customer_Data!$A$1:$P$114,8,TRUE),"")</f>
        <v/>
      </c>
      <c r="I188" s="13"/>
      <c r="J188" s="3" t="str">
        <f t="shared" si="32"/>
        <v/>
      </c>
      <c r="K188" s="62" t="e">
        <f>(VLOOKUP($J188,Herbicide_Data!$A$1:$L$61,9,TRUE))</f>
        <v>#N/A</v>
      </c>
      <c r="L188" s="62" t="e">
        <f>VLOOKUP($J188,Herbicide_Data!$A$1:$L$61,12,TRUE)</f>
        <v>#N/A</v>
      </c>
      <c r="M188" s="16" t="e">
        <f t="shared" si="27"/>
        <v>#N/A</v>
      </c>
      <c r="N188" s="62" t="str">
        <f t="shared" si="33"/>
        <v/>
      </c>
      <c r="O188" s="63" t="e">
        <f>VLOOKUP($N188,Herbicide_Data!$A$1:$L$61,9)</f>
        <v>#N/A</v>
      </c>
      <c r="P188" s="62" t="e">
        <f>VLOOKUP($N188,Herbicide_Data!$A$1:$P$61,13)</f>
        <v>#N/A</v>
      </c>
      <c r="Q188" s="16" t="e">
        <f t="shared" si="28"/>
        <v>#N/A</v>
      </c>
      <c r="R188" s="62" t="str">
        <f t="shared" si="34"/>
        <v/>
      </c>
      <c r="S188" s="63" t="e">
        <f>VLOOKUP($R188,Herbicide_Data!$A$1:$L$61,9)</f>
        <v>#N/A</v>
      </c>
      <c r="T188" s="62" t="e">
        <f>VLOOKUP($R188,Herbicide_Data!$A$1:$Q$61,13)</f>
        <v>#N/A</v>
      </c>
      <c r="U188" s="16" t="e">
        <f t="shared" si="29"/>
        <v>#N/A</v>
      </c>
      <c r="V188" s="62" t="b">
        <f t="shared" si="35"/>
        <v>0</v>
      </c>
      <c r="W188" s="63" t="e">
        <f>VLOOKUP($V188,Herbicide_Data!$A$1:$L$17,9)</f>
        <v>#N/A</v>
      </c>
      <c r="X188" s="62" t="e">
        <f>VLOOKUP($V188,Herbicide_Data!$A$1:$L$17,12)</f>
        <v>#N/A</v>
      </c>
      <c r="Y188" s="16" t="e">
        <f t="shared" si="30"/>
        <v>#N/A</v>
      </c>
      <c r="Z188" s="15"/>
      <c r="AA188" s="13"/>
      <c r="AB188" s="17"/>
      <c r="AC188" s="3"/>
      <c r="AD188" s="10"/>
      <c r="AE188" s="3"/>
      <c r="AF188" s="10"/>
      <c r="AG188" s="15"/>
      <c r="AH188" s="62" t="str">
        <f t="shared" si="36"/>
        <v/>
      </c>
      <c r="AI188" s="62" t="e">
        <f>VLOOKUP($AH188,Herbicide_Data!$A$1:$Q$61,13)</f>
        <v>#N/A</v>
      </c>
      <c r="AJ188" s="16" t="e">
        <f t="shared" si="31"/>
        <v>#N/A</v>
      </c>
      <c r="AK188" s="3"/>
      <c r="AL188" s="3"/>
      <c r="AM188" s="3"/>
      <c r="AN188" s="3"/>
      <c r="AO188" s="3"/>
      <c r="AP188" s="3"/>
      <c r="AQ188" s="18"/>
      <c r="AR188" s="19"/>
      <c r="AS188" s="19"/>
      <c r="AT188" s="20"/>
      <c r="AU188" s="20"/>
      <c r="AV188" s="21"/>
      <c r="AW188" s="22"/>
      <c r="AX188" s="19"/>
      <c r="AY188" s="19"/>
      <c r="AZ188" s="19"/>
      <c r="BA188" s="23"/>
      <c r="BB188" s="19"/>
      <c r="BC188" s="19"/>
      <c r="BD188" s="19"/>
    </row>
    <row r="189" spans="1:56">
      <c r="A189" s="13"/>
      <c r="B189" s="11"/>
      <c r="C189" s="12"/>
      <c r="D189" s="12">
        <f t="shared" si="26"/>
        <v>2.0833299999999999E-2</v>
      </c>
      <c r="E189" s="10"/>
      <c r="F189" s="10" t="str">
        <f>IFERROR(VLOOKUP(E189,Data!A$2:B$5,2,TRUE), "")</f>
        <v/>
      </c>
      <c r="G189" s="3"/>
      <c r="H189" s="13" t="str">
        <f>IFERROR(VLOOKUP(A189,Customer_Data!$A$1:$P$114,8,TRUE),"")</f>
        <v/>
      </c>
      <c r="I189" s="13"/>
      <c r="J189" s="3" t="str">
        <f t="shared" si="32"/>
        <v/>
      </c>
      <c r="K189" s="62" t="e">
        <f>(VLOOKUP($J189,Herbicide_Data!$A$1:$L$61,9,TRUE))</f>
        <v>#N/A</v>
      </c>
      <c r="L189" s="62" t="e">
        <f>VLOOKUP($J189,Herbicide_Data!$A$1:$L$61,12,TRUE)</f>
        <v>#N/A</v>
      </c>
      <c r="M189" s="16" t="e">
        <f t="shared" si="27"/>
        <v>#N/A</v>
      </c>
      <c r="N189" s="62" t="str">
        <f t="shared" si="33"/>
        <v/>
      </c>
      <c r="O189" s="63" t="e">
        <f>VLOOKUP($N189,Herbicide_Data!$A$1:$L$61,9)</f>
        <v>#N/A</v>
      </c>
      <c r="P189" s="62" t="e">
        <f>VLOOKUP($N189,Herbicide_Data!$A$1:$P$61,13)</f>
        <v>#N/A</v>
      </c>
      <c r="Q189" s="16" t="e">
        <f t="shared" si="28"/>
        <v>#N/A</v>
      </c>
      <c r="R189" s="62" t="str">
        <f t="shared" si="34"/>
        <v/>
      </c>
      <c r="S189" s="63" t="e">
        <f>VLOOKUP($R189,Herbicide_Data!$A$1:$L$61,9)</f>
        <v>#N/A</v>
      </c>
      <c r="T189" s="62" t="e">
        <f>VLOOKUP($R189,Herbicide_Data!$A$1:$Q$61,13)</f>
        <v>#N/A</v>
      </c>
      <c r="U189" s="16" t="e">
        <f t="shared" si="29"/>
        <v>#N/A</v>
      </c>
      <c r="V189" s="62" t="b">
        <f t="shared" si="35"/>
        <v>0</v>
      </c>
      <c r="W189" s="63" t="e">
        <f>VLOOKUP($V189,Herbicide_Data!$A$1:$L$17,9)</f>
        <v>#N/A</v>
      </c>
      <c r="X189" s="62" t="e">
        <f>VLOOKUP($V189,Herbicide_Data!$A$1:$L$17,12)</f>
        <v>#N/A</v>
      </c>
      <c r="Y189" s="16" t="e">
        <f t="shared" si="30"/>
        <v>#N/A</v>
      </c>
      <c r="Z189" s="15"/>
      <c r="AA189" s="13"/>
      <c r="AB189" s="17"/>
      <c r="AC189" s="3"/>
      <c r="AD189" s="10"/>
      <c r="AE189" s="3"/>
      <c r="AF189" s="10"/>
      <c r="AG189" s="15"/>
      <c r="AH189" s="62" t="str">
        <f t="shared" si="36"/>
        <v/>
      </c>
      <c r="AI189" s="62" t="e">
        <f>VLOOKUP($AH189,Herbicide_Data!$A$1:$Q$61,13)</f>
        <v>#N/A</v>
      </c>
      <c r="AJ189" s="16" t="e">
        <f t="shared" si="31"/>
        <v>#N/A</v>
      </c>
      <c r="AK189" s="3"/>
      <c r="AL189" s="3"/>
      <c r="AM189" s="3"/>
      <c r="AN189" s="3"/>
      <c r="AO189" s="3"/>
      <c r="AP189" s="3"/>
      <c r="AQ189" s="18"/>
      <c r="AR189" s="19"/>
      <c r="AS189" s="19"/>
      <c r="AT189" s="20"/>
      <c r="AU189" s="20"/>
      <c r="AV189" s="21"/>
      <c r="AW189" s="22"/>
      <c r="AX189" s="19"/>
      <c r="AY189" s="19"/>
      <c r="AZ189" s="19"/>
      <c r="BA189" s="23"/>
      <c r="BB189" s="19"/>
      <c r="BC189" s="19"/>
      <c r="BD189" s="19"/>
    </row>
    <row r="190" spans="1:56">
      <c r="A190" s="13"/>
      <c r="B190" s="11"/>
      <c r="C190" s="12"/>
      <c r="D190" s="12">
        <f t="shared" si="26"/>
        <v>2.0833299999999999E-2</v>
      </c>
      <c r="E190" s="10"/>
      <c r="F190" s="10" t="str">
        <f>IFERROR(VLOOKUP(E190,Data!A$2:B$5,2,TRUE), "")</f>
        <v/>
      </c>
      <c r="G190" s="3"/>
      <c r="H190" s="13" t="str">
        <f>IFERROR(VLOOKUP(A190,Customer_Data!$A$1:$P$114,8,TRUE),"")</f>
        <v/>
      </c>
      <c r="I190" s="13"/>
      <c r="J190" s="3" t="str">
        <f t="shared" si="32"/>
        <v/>
      </c>
      <c r="K190" s="62" t="e">
        <f>(VLOOKUP($J190,Herbicide_Data!$A$1:$L$61,9,TRUE))</f>
        <v>#N/A</v>
      </c>
      <c r="L190" s="62" t="e">
        <f>VLOOKUP($J190,Herbicide_Data!$A$1:$L$61,12,TRUE)</f>
        <v>#N/A</v>
      </c>
      <c r="M190" s="16" t="e">
        <f t="shared" si="27"/>
        <v>#N/A</v>
      </c>
      <c r="N190" s="62" t="str">
        <f t="shared" si="33"/>
        <v/>
      </c>
      <c r="O190" s="63" t="e">
        <f>VLOOKUP($N190,Herbicide_Data!$A$1:$L$61,9)</f>
        <v>#N/A</v>
      </c>
      <c r="P190" s="62" t="e">
        <f>VLOOKUP($N190,Herbicide_Data!$A$1:$P$61,13)</f>
        <v>#N/A</v>
      </c>
      <c r="Q190" s="16" t="e">
        <f t="shared" si="28"/>
        <v>#N/A</v>
      </c>
      <c r="R190" s="62" t="str">
        <f t="shared" si="34"/>
        <v/>
      </c>
      <c r="S190" s="63" t="e">
        <f>VLOOKUP($R190,Herbicide_Data!$A$1:$L$61,9)</f>
        <v>#N/A</v>
      </c>
      <c r="T190" s="62" t="e">
        <f>VLOOKUP($R190,Herbicide_Data!$A$1:$Q$61,13)</f>
        <v>#N/A</v>
      </c>
      <c r="U190" s="16" t="e">
        <f t="shared" si="29"/>
        <v>#N/A</v>
      </c>
      <c r="V190" s="62" t="b">
        <f t="shared" si="35"/>
        <v>0</v>
      </c>
      <c r="W190" s="63" t="e">
        <f>VLOOKUP($V190,Herbicide_Data!$A$1:$L$17,9)</f>
        <v>#N/A</v>
      </c>
      <c r="X190" s="62" t="e">
        <f>VLOOKUP($V190,Herbicide_Data!$A$1:$L$17,12)</f>
        <v>#N/A</v>
      </c>
      <c r="Y190" s="16" t="e">
        <f t="shared" si="30"/>
        <v>#N/A</v>
      </c>
      <c r="Z190" s="15"/>
      <c r="AA190" s="13"/>
      <c r="AB190" s="17"/>
      <c r="AC190" s="3"/>
      <c r="AD190" s="10"/>
      <c r="AE190" s="3"/>
      <c r="AF190" s="10"/>
      <c r="AG190" s="15"/>
      <c r="AH190" s="62" t="str">
        <f t="shared" si="36"/>
        <v/>
      </c>
      <c r="AI190" s="62" t="e">
        <f>VLOOKUP($AH190,Herbicide_Data!$A$1:$Q$61,13)</f>
        <v>#N/A</v>
      </c>
      <c r="AJ190" s="16" t="e">
        <f t="shared" si="31"/>
        <v>#N/A</v>
      </c>
      <c r="AK190" s="3"/>
      <c r="AL190" s="3"/>
      <c r="AM190" s="3"/>
      <c r="AN190" s="3"/>
      <c r="AO190" s="3"/>
      <c r="AP190" s="3"/>
      <c r="AQ190" s="18"/>
      <c r="AR190" s="19"/>
      <c r="AS190" s="19"/>
      <c r="AT190" s="20"/>
      <c r="AU190" s="20"/>
      <c r="AV190" s="21"/>
      <c r="AW190" s="22"/>
      <c r="AX190" s="19"/>
      <c r="AY190" s="19"/>
      <c r="AZ190" s="19"/>
      <c r="BA190" s="23"/>
      <c r="BB190" s="19"/>
      <c r="BC190" s="19"/>
      <c r="BD190" s="19"/>
    </row>
    <row r="191" spans="1:56">
      <c r="A191" s="13"/>
      <c r="B191" s="11"/>
      <c r="C191" s="12"/>
      <c r="D191" s="12">
        <f t="shared" si="26"/>
        <v>2.0833299999999999E-2</v>
      </c>
      <c r="E191" s="10"/>
      <c r="F191" s="10" t="str">
        <f>IFERROR(VLOOKUP(E191,Data!A$2:B$5,2,TRUE), "")</f>
        <v/>
      </c>
      <c r="G191" s="3"/>
      <c r="H191" s="13" t="str">
        <f>IFERROR(VLOOKUP(A191,Customer_Data!$A$1:$P$114,8,TRUE),"")</f>
        <v/>
      </c>
      <c r="I191" s="13"/>
      <c r="J191" s="3" t="str">
        <f t="shared" si="32"/>
        <v/>
      </c>
      <c r="K191" s="62" t="e">
        <f>(VLOOKUP($J191,Herbicide_Data!$A$1:$L$61,9,TRUE))</f>
        <v>#N/A</v>
      </c>
      <c r="L191" s="62" t="e">
        <f>VLOOKUP($J191,Herbicide_Data!$A$1:$L$61,12,TRUE)</f>
        <v>#N/A</v>
      </c>
      <c r="M191" s="16" t="e">
        <f t="shared" si="27"/>
        <v>#N/A</v>
      </c>
      <c r="N191" s="62" t="str">
        <f t="shared" si="33"/>
        <v/>
      </c>
      <c r="O191" s="63" t="e">
        <f>VLOOKUP($N191,Herbicide_Data!$A$1:$L$61,9)</f>
        <v>#N/A</v>
      </c>
      <c r="P191" s="62" t="e">
        <f>VLOOKUP($N191,Herbicide_Data!$A$1:$P$61,13)</f>
        <v>#N/A</v>
      </c>
      <c r="Q191" s="16" t="e">
        <f t="shared" si="28"/>
        <v>#N/A</v>
      </c>
      <c r="R191" s="62" t="str">
        <f t="shared" si="34"/>
        <v/>
      </c>
      <c r="S191" s="63" t="e">
        <f>VLOOKUP($R191,Herbicide_Data!$A$1:$L$61,9)</f>
        <v>#N/A</v>
      </c>
      <c r="T191" s="62" t="e">
        <f>VLOOKUP($R191,Herbicide_Data!$A$1:$Q$61,13)</f>
        <v>#N/A</v>
      </c>
      <c r="U191" s="16" t="e">
        <f t="shared" si="29"/>
        <v>#N/A</v>
      </c>
      <c r="V191" s="62" t="b">
        <f t="shared" si="35"/>
        <v>0</v>
      </c>
      <c r="W191" s="63" t="e">
        <f>VLOOKUP($V191,Herbicide_Data!$A$1:$L$17,9)</f>
        <v>#N/A</v>
      </c>
      <c r="X191" s="62" t="e">
        <f>VLOOKUP($V191,Herbicide_Data!$A$1:$L$17,12)</f>
        <v>#N/A</v>
      </c>
      <c r="Y191" s="16" t="e">
        <f t="shared" si="30"/>
        <v>#N/A</v>
      </c>
      <c r="Z191" s="15"/>
      <c r="AA191" s="13"/>
      <c r="AB191" s="17"/>
      <c r="AC191" s="3"/>
      <c r="AD191" s="10"/>
      <c r="AE191" s="3"/>
      <c r="AF191" s="10"/>
      <c r="AG191" s="15"/>
      <c r="AH191" s="62" t="str">
        <f t="shared" si="36"/>
        <v/>
      </c>
      <c r="AI191" s="62" t="e">
        <f>VLOOKUP($AH191,Herbicide_Data!$A$1:$Q$61,13)</f>
        <v>#N/A</v>
      </c>
      <c r="AJ191" s="16" t="e">
        <f t="shared" si="31"/>
        <v>#N/A</v>
      </c>
      <c r="AK191" s="3"/>
      <c r="AL191" s="3"/>
      <c r="AM191" s="3"/>
      <c r="AN191" s="3"/>
      <c r="AO191" s="3"/>
      <c r="AP191" s="3"/>
      <c r="AQ191" s="18"/>
      <c r="AR191" s="19"/>
      <c r="AS191" s="19"/>
      <c r="AT191" s="20"/>
      <c r="AU191" s="20"/>
      <c r="AV191" s="21"/>
      <c r="AW191" s="22"/>
      <c r="AX191" s="19"/>
      <c r="AY191" s="19"/>
      <c r="AZ191" s="19"/>
      <c r="BA191" s="23"/>
      <c r="BB191" s="19"/>
      <c r="BC191" s="19"/>
      <c r="BD191" s="19"/>
    </row>
    <row r="192" spans="1:56">
      <c r="A192" s="13"/>
      <c r="B192" s="11"/>
      <c r="C192" s="12"/>
      <c r="D192" s="12">
        <f t="shared" si="26"/>
        <v>2.0833299999999999E-2</v>
      </c>
      <c r="E192" s="10"/>
      <c r="F192" s="10" t="str">
        <f>IFERROR(VLOOKUP(E192,Data!A$2:B$5,2,TRUE), "")</f>
        <v/>
      </c>
      <c r="G192" s="3"/>
      <c r="H192" s="13" t="str">
        <f>IFERROR(VLOOKUP(A192,Customer_Data!$A$1:$P$114,8,TRUE),"")</f>
        <v/>
      </c>
      <c r="I192" s="13"/>
      <c r="J192" s="3" t="str">
        <f t="shared" si="32"/>
        <v/>
      </c>
      <c r="K192" s="62" t="e">
        <f>(VLOOKUP($J192,Herbicide_Data!$A$1:$L$61,9,TRUE))</f>
        <v>#N/A</v>
      </c>
      <c r="L192" s="62" t="e">
        <f>VLOOKUP($J192,Herbicide_Data!$A$1:$L$61,12,TRUE)</f>
        <v>#N/A</v>
      </c>
      <c r="M192" s="16" t="e">
        <f t="shared" si="27"/>
        <v>#N/A</v>
      </c>
      <c r="N192" s="62" t="str">
        <f t="shared" si="33"/>
        <v/>
      </c>
      <c r="O192" s="63" t="e">
        <f>VLOOKUP($N192,Herbicide_Data!$A$1:$L$61,9)</f>
        <v>#N/A</v>
      </c>
      <c r="P192" s="62" t="e">
        <f>VLOOKUP($N192,Herbicide_Data!$A$1:$P$61,13)</f>
        <v>#N/A</v>
      </c>
      <c r="Q192" s="16" t="e">
        <f t="shared" si="28"/>
        <v>#N/A</v>
      </c>
      <c r="R192" s="62" t="str">
        <f t="shared" si="34"/>
        <v/>
      </c>
      <c r="S192" s="63" t="e">
        <f>VLOOKUP($R192,Herbicide_Data!$A$1:$L$61,9)</f>
        <v>#N/A</v>
      </c>
      <c r="T192" s="62" t="e">
        <f>VLOOKUP($R192,Herbicide_Data!$A$1:$Q$61,13)</f>
        <v>#N/A</v>
      </c>
      <c r="U192" s="16" t="e">
        <f t="shared" si="29"/>
        <v>#N/A</v>
      </c>
      <c r="V192" s="62" t="b">
        <f t="shared" si="35"/>
        <v>0</v>
      </c>
      <c r="W192" s="63" t="e">
        <f>VLOOKUP($V192,Herbicide_Data!$A$1:$L$17,9)</f>
        <v>#N/A</v>
      </c>
      <c r="X192" s="62" t="e">
        <f>VLOOKUP($V192,Herbicide_Data!$A$1:$L$17,12)</f>
        <v>#N/A</v>
      </c>
      <c r="Y192" s="16" t="e">
        <f t="shared" si="30"/>
        <v>#N/A</v>
      </c>
      <c r="Z192" s="15"/>
      <c r="AA192" s="13"/>
      <c r="AB192" s="17"/>
      <c r="AC192" s="3"/>
      <c r="AD192" s="10"/>
      <c r="AE192" s="3"/>
      <c r="AF192" s="10"/>
      <c r="AG192" s="15"/>
      <c r="AH192" s="62" t="str">
        <f t="shared" si="36"/>
        <v/>
      </c>
      <c r="AI192" s="62" t="e">
        <f>VLOOKUP($AH192,Herbicide_Data!$A$1:$Q$61,13)</f>
        <v>#N/A</v>
      </c>
      <c r="AJ192" s="16" t="e">
        <f t="shared" si="31"/>
        <v>#N/A</v>
      </c>
      <c r="AK192" s="3"/>
      <c r="AL192" s="3"/>
      <c r="AM192" s="3"/>
      <c r="AN192" s="3"/>
      <c r="AO192" s="3"/>
      <c r="AP192" s="3"/>
      <c r="AQ192" s="18"/>
      <c r="AR192" s="19"/>
      <c r="AS192" s="19"/>
      <c r="AT192" s="20"/>
      <c r="AU192" s="20"/>
      <c r="AV192" s="21"/>
      <c r="AW192" s="22"/>
      <c r="AX192" s="19"/>
      <c r="AY192" s="19"/>
      <c r="AZ192" s="19"/>
      <c r="BA192" s="23"/>
      <c r="BB192" s="19"/>
      <c r="BC192" s="19"/>
      <c r="BD192" s="19"/>
    </row>
    <row r="193" spans="1:56">
      <c r="A193" s="13"/>
      <c r="B193" s="11"/>
      <c r="C193" s="12"/>
      <c r="D193" s="12">
        <f t="shared" si="26"/>
        <v>2.0833299999999999E-2</v>
      </c>
      <c r="E193" s="10"/>
      <c r="F193" s="10" t="str">
        <f>IFERROR(VLOOKUP(E193,Data!A$2:B$5,2,TRUE), "")</f>
        <v/>
      </c>
      <c r="G193" s="3"/>
      <c r="H193" s="13" t="str">
        <f>IFERROR(VLOOKUP(A193,Customer_Data!$A$1:$P$114,8,TRUE),"")</f>
        <v/>
      </c>
      <c r="I193" s="13"/>
      <c r="J193" s="3" t="str">
        <f t="shared" si="32"/>
        <v/>
      </c>
      <c r="K193" s="62" t="e">
        <f>(VLOOKUP($J193,Herbicide_Data!$A$1:$L$61,9,TRUE))</f>
        <v>#N/A</v>
      </c>
      <c r="L193" s="62" t="e">
        <f>VLOOKUP($J193,Herbicide_Data!$A$1:$L$61,12,TRUE)</f>
        <v>#N/A</v>
      </c>
      <c r="M193" s="16" t="e">
        <f t="shared" si="27"/>
        <v>#N/A</v>
      </c>
      <c r="N193" s="62" t="str">
        <f t="shared" si="33"/>
        <v/>
      </c>
      <c r="O193" s="63" t="e">
        <f>VLOOKUP($N193,Herbicide_Data!$A$1:$L$61,9)</f>
        <v>#N/A</v>
      </c>
      <c r="P193" s="62" t="e">
        <f>VLOOKUP($N193,Herbicide_Data!$A$1:$P$61,13)</f>
        <v>#N/A</v>
      </c>
      <c r="Q193" s="16" t="e">
        <f t="shared" si="28"/>
        <v>#N/A</v>
      </c>
      <c r="R193" s="62" t="str">
        <f t="shared" si="34"/>
        <v/>
      </c>
      <c r="S193" s="63" t="e">
        <f>VLOOKUP($R193,Herbicide_Data!$A$1:$L$61,9)</f>
        <v>#N/A</v>
      </c>
      <c r="T193" s="62" t="e">
        <f>VLOOKUP($R193,Herbicide_Data!$A$1:$Q$61,13)</f>
        <v>#N/A</v>
      </c>
      <c r="U193" s="16" t="e">
        <f t="shared" si="29"/>
        <v>#N/A</v>
      </c>
      <c r="V193" s="62" t="b">
        <f t="shared" si="35"/>
        <v>0</v>
      </c>
      <c r="W193" s="63" t="e">
        <f>VLOOKUP($V193,Herbicide_Data!$A$1:$L$17,9)</f>
        <v>#N/A</v>
      </c>
      <c r="X193" s="62" t="e">
        <f>VLOOKUP($V193,Herbicide_Data!$A$1:$L$17,12)</f>
        <v>#N/A</v>
      </c>
      <c r="Y193" s="16" t="e">
        <f t="shared" si="30"/>
        <v>#N/A</v>
      </c>
      <c r="Z193" s="15"/>
      <c r="AA193" s="13"/>
      <c r="AB193" s="17"/>
      <c r="AC193" s="3"/>
      <c r="AD193" s="10"/>
      <c r="AE193" s="3"/>
      <c r="AF193" s="10"/>
      <c r="AG193" s="15"/>
      <c r="AH193" s="62" t="str">
        <f t="shared" si="36"/>
        <v/>
      </c>
      <c r="AI193" s="62" t="e">
        <f>VLOOKUP($AH193,Herbicide_Data!$A$1:$Q$61,13)</f>
        <v>#N/A</v>
      </c>
      <c r="AJ193" s="16" t="e">
        <f t="shared" si="31"/>
        <v>#N/A</v>
      </c>
      <c r="AK193" s="3"/>
      <c r="AL193" s="3"/>
      <c r="AM193" s="3"/>
      <c r="AN193" s="3"/>
      <c r="AO193" s="3"/>
      <c r="AP193" s="3"/>
      <c r="AQ193" s="18"/>
      <c r="AR193" s="19"/>
      <c r="AS193" s="19"/>
      <c r="AT193" s="20"/>
      <c r="AU193" s="20"/>
      <c r="AV193" s="21"/>
      <c r="AW193" s="22"/>
      <c r="AX193" s="19"/>
      <c r="AY193" s="19"/>
      <c r="AZ193" s="19"/>
      <c r="BA193" s="23"/>
      <c r="BB193" s="19"/>
      <c r="BC193" s="19"/>
      <c r="BD193" s="19"/>
    </row>
    <row r="194" spans="1:56">
      <c r="A194" s="13"/>
      <c r="B194" s="11"/>
      <c r="C194" s="12"/>
      <c r="D194" s="12">
        <f t="shared" ref="D194:D257" si="37">C194+0.0208333</f>
        <v>2.0833299999999999E-2</v>
      </c>
      <c r="E194" s="10"/>
      <c r="F194" s="10" t="str">
        <f>IFERROR(VLOOKUP(E194,Data!A$2:B$5,2,TRUE), "")</f>
        <v/>
      </c>
      <c r="G194" s="3"/>
      <c r="H194" s="13" t="str">
        <f>IFERROR(VLOOKUP(A194,Customer_Data!$A$1:$P$114,8,TRUE),"")</f>
        <v/>
      </c>
      <c r="I194" s="13"/>
      <c r="J194" s="3" t="str">
        <f t="shared" si="32"/>
        <v/>
      </c>
      <c r="K194" s="62" t="e">
        <f>(VLOOKUP($J194,Herbicide_Data!$A$1:$L$61,9,TRUE))</f>
        <v>#N/A</v>
      </c>
      <c r="L194" s="62" t="e">
        <f>VLOOKUP($J194,Herbicide_Data!$A$1:$L$61,12,TRUE)</f>
        <v>#N/A</v>
      </c>
      <c r="M194" s="16" t="e">
        <f t="shared" ref="M194:M257" si="38">L194*(H194/43560)</f>
        <v>#N/A</v>
      </c>
      <c r="N194" s="62" t="str">
        <f t="shared" si="33"/>
        <v/>
      </c>
      <c r="O194" s="63" t="e">
        <f>VLOOKUP($N194,Herbicide_Data!$A$1:$L$61,9)</f>
        <v>#N/A</v>
      </c>
      <c r="P194" s="62" t="e">
        <f>VLOOKUP($N194,Herbicide_Data!$A$1:$P$61,13)</f>
        <v>#N/A</v>
      </c>
      <c r="Q194" s="16" t="e">
        <f t="shared" ref="Q194:Q257" si="39">P194*($H194/43560)</f>
        <v>#N/A</v>
      </c>
      <c r="R194" s="62" t="str">
        <f t="shared" si="34"/>
        <v/>
      </c>
      <c r="S194" s="63" t="e">
        <f>VLOOKUP($R194,Herbicide_Data!$A$1:$L$61,9)</f>
        <v>#N/A</v>
      </c>
      <c r="T194" s="62" t="e">
        <f>VLOOKUP($R194,Herbicide_Data!$A$1:$Q$61,13)</f>
        <v>#N/A</v>
      </c>
      <c r="U194" s="16" t="e">
        <f t="shared" ref="U194:U257" si="40">T194*($H194/43560)</f>
        <v>#N/A</v>
      </c>
      <c r="V194" s="62" t="b">
        <f t="shared" si="35"/>
        <v>0</v>
      </c>
      <c r="W194" s="63" t="e">
        <f>VLOOKUP($V194,Herbicide_Data!$A$1:$L$17,9)</f>
        <v>#N/A</v>
      </c>
      <c r="X194" s="62" t="e">
        <f>VLOOKUP($V194,Herbicide_Data!$A$1:$L$17,12)</f>
        <v>#N/A</v>
      </c>
      <c r="Y194" s="16" t="e">
        <f t="shared" ref="Y194:Y257" si="41">X194*($H194/43560)</f>
        <v>#N/A</v>
      </c>
      <c r="Z194" s="15"/>
      <c r="AA194" s="13"/>
      <c r="AB194" s="17"/>
      <c r="AC194" s="3"/>
      <c r="AD194" s="10"/>
      <c r="AE194" s="3"/>
      <c r="AF194" s="10"/>
      <c r="AG194" s="15"/>
      <c r="AH194" s="62" t="str">
        <f t="shared" si="36"/>
        <v/>
      </c>
      <c r="AI194" s="62" t="e">
        <f>VLOOKUP($AH194,Herbicide_Data!$A$1:$Q$61,13)</f>
        <v>#N/A</v>
      </c>
      <c r="AJ194" s="16" t="e">
        <f t="shared" ref="AJ194:AJ257" si="42">AI194*($H194/43560)</f>
        <v>#N/A</v>
      </c>
      <c r="AK194" s="3"/>
      <c r="AL194" s="3"/>
      <c r="AM194" s="3"/>
      <c r="AN194" s="3"/>
      <c r="AO194" s="3"/>
      <c r="AP194" s="3"/>
      <c r="AQ194" s="18"/>
      <c r="AR194" s="19"/>
      <c r="AS194" s="19"/>
      <c r="AT194" s="20"/>
      <c r="AU194" s="20"/>
      <c r="AV194" s="21"/>
      <c r="AW194" s="22"/>
      <c r="AX194" s="19"/>
      <c r="AY194" s="19"/>
      <c r="AZ194" s="19"/>
      <c r="BA194" s="23"/>
      <c r="BB194" s="19"/>
      <c r="BC194" s="19"/>
      <c r="BD194" s="19"/>
    </row>
    <row r="195" spans="1:56">
      <c r="A195" s="13"/>
      <c r="B195" s="11"/>
      <c r="C195" s="12"/>
      <c r="D195" s="12">
        <f t="shared" si="37"/>
        <v>2.0833299999999999E-2</v>
      </c>
      <c r="E195" s="10"/>
      <c r="F195" s="10" t="str">
        <f>IFERROR(VLOOKUP(E195,Data!A$2:B$5,2,TRUE), "")</f>
        <v/>
      </c>
      <c r="G195" s="3"/>
      <c r="H195" s="13" t="str">
        <f>IFERROR(VLOOKUP(A195,Customer_Data!$A$1:$P$114,8,TRUE),"")</f>
        <v/>
      </c>
      <c r="I195" s="13"/>
      <c r="J195" s="3" t="str">
        <f t="shared" ref="J195:J258" si="43">IF($G195=("Fall (pre/post emerge)"),"Princep Liquid (100-526)", IF($G195=("Fertilize"),"Harrell's 34-0-5",IF($G195=("Spot Treat"),"Outrider (59639-223)","")))</f>
        <v/>
      </c>
      <c r="K195" s="62" t="e">
        <f>(VLOOKUP($J195,Herbicide_Data!$A$1:$L$61,9,TRUE))</f>
        <v>#N/A</v>
      </c>
      <c r="L195" s="62" t="e">
        <f>VLOOKUP($J195,Herbicide_Data!$A$1:$L$61,12,TRUE)</f>
        <v>#N/A</v>
      </c>
      <c r="M195" s="16" t="e">
        <f t="shared" si="38"/>
        <v>#N/A</v>
      </c>
      <c r="N195" s="62" t="str">
        <f t="shared" ref="N195:N258" si="44">IF($G195=("Fall (pre/post emerge)"),"Triplet SF (3-Way) 228-312",IF($G195=("Spring Preemerge (Jan)"),"Triplet SF (3-Way) 228-312",IF($G195=("Spring Preemerge (Apr)"),"Triplet SF (3-Way) 228-312","")))</f>
        <v/>
      </c>
      <c r="O195" s="63" t="e">
        <f>VLOOKUP($N195,Herbicide_Data!$A$1:$L$61,9)</f>
        <v>#N/A</v>
      </c>
      <c r="P195" s="62" t="e">
        <f>VLOOKUP($N195,Herbicide_Data!$A$1:$P$61,13)</f>
        <v>#N/A</v>
      </c>
      <c r="Q195" s="16" t="e">
        <f t="shared" si="39"/>
        <v>#N/A</v>
      </c>
      <c r="R195" s="62" t="str">
        <f t="shared" ref="R195:R258" si="45">IF($G195=("Fall (pre/post emerge)"),"Resolute 4Fl (100-1139)",IF($G195=("Spring Preemerge (Jan)"),"Resolute 4Fl (100-1139)",IF($G195=("Spring Preemerge (Apr)"),"Certinty Turf 59639-226","")))</f>
        <v/>
      </c>
      <c r="S195" s="63" t="e">
        <f>VLOOKUP($R195,Herbicide_Data!$A$1:$L$61,9)</f>
        <v>#N/A</v>
      </c>
      <c r="T195" s="62" t="e">
        <f>VLOOKUP($R195,Herbicide_Data!$A$1:$Q$61,13)</f>
        <v>#N/A</v>
      </c>
      <c r="U195" s="16" t="e">
        <f t="shared" si="40"/>
        <v>#N/A</v>
      </c>
      <c r="V195" s="62" t="b">
        <f t="shared" ref="V195:V258" si="46">IF($G195 = ("Preemerge"),"MSM Turf 228-373")</f>
        <v>0</v>
      </c>
      <c r="W195" s="63" t="e">
        <f>VLOOKUP($V195,Herbicide_Data!$A$1:$L$17,9)</f>
        <v>#N/A</v>
      </c>
      <c r="X195" s="62" t="e">
        <f>VLOOKUP($V195,Herbicide_Data!$A$1:$L$17,12)</f>
        <v>#N/A</v>
      </c>
      <c r="Y195" s="16" t="e">
        <f t="shared" si="41"/>
        <v>#N/A</v>
      </c>
      <c r="Z195" s="15"/>
      <c r="AA195" s="13"/>
      <c r="AB195" s="17"/>
      <c r="AC195" s="3"/>
      <c r="AD195" s="10"/>
      <c r="AE195" s="3"/>
      <c r="AF195" s="10"/>
      <c r="AG195" s="15"/>
      <c r="AH195" s="62" t="str">
        <f t="shared" si="36"/>
        <v/>
      </c>
      <c r="AI195" s="62" t="e">
        <f>VLOOKUP($AH195,Herbicide_Data!$A$1:$Q$61,13)</f>
        <v>#N/A</v>
      </c>
      <c r="AJ195" s="16" t="e">
        <f t="shared" si="42"/>
        <v>#N/A</v>
      </c>
      <c r="AK195" s="3"/>
      <c r="AL195" s="3"/>
      <c r="AM195" s="3"/>
      <c r="AN195" s="3"/>
      <c r="AO195" s="3"/>
      <c r="AP195" s="3"/>
      <c r="AQ195" s="18"/>
      <c r="AR195" s="19"/>
      <c r="AS195" s="19"/>
      <c r="AT195" s="20"/>
      <c r="AU195" s="20"/>
      <c r="AV195" s="21"/>
      <c r="AW195" s="22"/>
      <c r="AX195" s="19"/>
      <c r="AY195" s="19"/>
      <c r="AZ195" s="19"/>
      <c r="BA195" s="23"/>
      <c r="BB195" s="19"/>
      <c r="BC195" s="19"/>
      <c r="BD195" s="19"/>
    </row>
    <row r="196" spans="1:56">
      <c r="A196" s="13"/>
      <c r="B196" s="11"/>
      <c r="C196" s="12"/>
      <c r="D196" s="12">
        <f t="shared" si="37"/>
        <v>2.0833299999999999E-2</v>
      </c>
      <c r="E196" s="10"/>
      <c r="F196" s="10" t="str">
        <f>IFERROR(VLOOKUP(E196,Data!A$2:B$5,2,TRUE), "")</f>
        <v/>
      </c>
      <c r="G196" s="3"/>
      <c r="H196" s="13" t="str">
        <f>IFERROR(VLOOKUP(A196,Customer_Data!$A$1:$P$114,8,TRUE),"")</f>
        <v/>
      </c>
      <c r="I196" s="13"/>
      <c r="J196" s="3" t="str">
        <f t="shared" si="43"/>
        <v/>
      </c>
      <c r="K196" s="62" t="e">
        <f>(VLOOKUP($J196,Herbicide_Data!$A$1:$L$61,9,TRUE))</f>
        <v>#N/A</v>
      </c>
      <c r="L196" s="62" t="e">
        <f>VLOOKUP($J196,Herbicide_Data!$A$1:$L$61,12,TRUE)</f>
        <v>#N/A</v>
      </c>
      <c r="M196" s="16" t="e">
        <f t="shared" si="38"/>
        <v>#N/A</v>
      </c>
      <c r="N196" s="62" t="str">
        <f t="shared" si="44"/>
        <v/>
      </c>
      <c r="O196" s="63" t="e">
        <f>VLOOKUP($N196,Herbicide_Data!$A$1:$L$61,9)</f>
        <v>#N/A</v>
      </c>
      <c r="P196" s="62" t="e">
        <f>VLOOKUP($N196,Herbicide_Data!$A$1:$P$61,13)</f>
        <v>#N/A</v>
      </c>
      <c r="Q196" s="16" t="e">
        <f t="shared" si="39"/>
        <v>#N/A</v>
      </c>
      <c r="R196" s="62" t="str">
        <f t="shared" si="45"/>
        <v/>
      </c>
      <c r="S196" s="63" t="e">
        <f>VLOOKUP($R196,Herbicide_Data!$A$1:$L$61,9)</f>
        <v>#N/A</v>
      </c>
      <c r="T196" s="62" t="e">
        <f>VLOOKUP($R196,Herbicide_Data!$A$1:$Q$61,13)</f>
        <v>#N/A</v>
      </c>
      <c r="U196" s="16" t="e">
        <f t="shared" si="40"/>
        <v>#N/A</v>
      </c>
      <c r="V196" s="62" t="b">
        <f t="shared" si="46"/>
        <v>0</v>
      </c>
      <c r="W196" s="63" t="e">
        <f>VLOOKUP($V196,Herbicide_Data!$A$1:$L$17,9)</f>
        <v>#N/A</v>
      </c>
      <c r="X196" s="62" t="e">
        <f>VLOOKUP($V196,Herbicide_Data!$A$1:$L$17,12)</f>
        <v>#N/A</v>
      </c>
      <c r="Y196" s="16" t="e">
        <f t="shared" si="41"/>
        <v>#N/A</v>
      </c>
      <c r="Z196" s="15"/>
      <c r="AA196" s="13"/>
      <c r="AB196" s="17"/>
      <c r="AC196" s="3"/>
      <c r="AD196" s="10"/>
      <c r="AE196" s="3"/>
      <c r="AF196" s="10"/>
      <c r="AG196" s="15"/>
      <c r="AH196" s="62" t="str">
        <f t="shared" si="36"/>
        <v/>
      </c>
      <c r="AI196" s="62" t="e">
        <f>VLOOKUP($AH196,Herbicide_Data!$A$1:$Q$61,13)</f>
        <v>#N/A</v>
      </c>
      <c r="AJ196" s="16" t="e">
        <f t="shared" si="42"/>
        <v>#N/A</v>
      </c>
      <c r="AK196" s="3"/>
      <c r="AL196" s="3"/>
      <c r="AM196" s="3"/>
      <c r="AN196" s="3"/>
      <c r="AO196" s="3"/>
      <c r="AP196" s="3"/>
      <c r="AQ196" s="18"/>
      <c r="AR196" s="19"/>
      <c r="AS196" s="19"/>
      <c r="AT196" s="20"/>
      <c r="AU196" s="20"/>
      <c r="AV196" s="21"/>
      <c r="AW196" s="22"/>
      <c r="AX196" s="19"/>
      <c r="AY196" s="19"/>
      <c r="AZ196" s="19"/>
      <c r="BA196" s="23"/>
      <c r="BB196" s="19"/>
      <c r="BC196" s="19"/>
      <c r="BD196" s="19"/>
    </row>
    <row r="197" spans="1:56">
      <c r="A197" s="13"/>
      <c r="B197" s="11"/>
      <c r="C197" s="12"/>
      <c r="D197" s="12">
        <f t="shared" si="37"/>
        <v>2.0833299999999999E-2</v>
      </c>
      <c r="E197" s="10"/>
      <c r="F197" s="10" t="str">
        <f>IFERROR(VLOOKUP(E197,Data!A$2:B$5,2,TRUE), "")</f>
        <v/>
      </c>
      <c r="G197" s="3"/>
      <c r="H197" s="13" t="str">
        <f>IFERROR(VLOOKUP(A197,Customer_Data!$A$1:$P$114,8,TRUE),"")</f>
        <v/>
      </c>
      <c r="I197" s="13"/>
      <c r="J197" s="3" t="str">
        <f t="shared" si="43"/>
        <v/>
      </c>
      <c r="K197" s="62" t="e">
        <f>(VLOOKUP($J197,Herbicide_Data!$A$1:$L$61,9,TRUE))</f>
        <v>#N/A</v>
      </c>
      <c r="L197" s="62" t="e">
        <f>VLOOKUP($J197,Herbicide_Data!$A$1:$L$61,12,TRUE)</f>
        <v>#N/A</v>
      </c>
      <c r="M197" s="16" t="e">
        <f t="shared" si="38"/>
        <v>#N/A</v>
      </c>
      <c r="N197" s="62" t="str">
        <f t="shared" si="44"/>
        <v/>
      </c>
      <c r="O197" s="63" t="e">
        <f>VLOOKUP($N197,Herbicide_Data!$A$1:$L$61,9)</f>
        <v>#N/A</v>
      </c>
      <c r="P197" s="62" t="e">
        <f>VLOOKUP($N197,Herbicide_Data!$A$1:$P$61,13)</f>
        <v>#N/A</v>
      </c>
      <c r="Q197" s="16" t="e">
        <f t="shared" si="39"/>
        <v>#N/A</v>
      </c>
      <c r="R197" s="62" t="str">
        <f t="shared" si="45"/>
        <v/>
      </c>
      <c r="S197" s="63" t="e">
        <f>VLOOKUP($R197,Herbicide_Data!$A$1:$L$61,9)</f>
        <v>#N/A</v>
      </c>
      <c r="T197" s="62" t="e">
        <f>VLOOKUP($R197,Herbicide_Data!$A$1:$Q$61,13)</f>
        <v>#N/A</v>
      </c>
      <c r="U197" s="16" t="e">
        <f t="shared" si="40"/>
        <v>#N/A</v>
      </c>
      <c r="V197" s="62" t="b">
        <f t="shared" si="46"/>
        <v>0</v>
      </c>
      <c r="W197" s="63" t="e">
        <f>VLOOKUP($V197,Herbicide_Data!$A$1:$L$17,9)</f>
        <v>#N/A</v>
      </c>
      <c r="X197" s="62" t="e">
        <f>VLOOKUP($V197,Herbicide_Data!$A$1:$L$17,12)</f>
        <v>#N/A</v>
      </c>
      <c r="Y197" s="16" t="e">
        <f t="shared" si="41"/>
        <v>#N/A</v>
      </c>
      <c r="Z197" s="15"/>
      <c r="AA197" s="13"/>
      <c r="AB197" s="17"/>
      <c r="AC197" s="3"/>
      <c r="AD197" s="10"/>
      <c r="AE197" s="3"/>
      <c r="AF197" s="10"/>
      <c r="AG197" s="15"/>
      <c r="AH197" s="62" t="str">
        <f t="shared" si="36"/>
        <v/>
      </c>
      <c r="AI197" s="62" t="e">
        <f>VLOOKUP($AH197,Herbicide_Data!$A$1:$Q$61,13)</f>
        <v>#N/A</v>
      </c>
      <c r="AJ197" s="16" t="e">
        <f t="shared" si="42"/>
        <v>#N/A</v>
      </c>
      <c r="AK197" s="3"/>
      <c r="AL197" s="3"/>
      <c r="AM197" s="3"/>
      <c r="AN197" s="3"/>
      <c r="AO197" s="3"/>
      <c r="AP197" s="3"/>
      <c r="AQ197" s="18"/>
      <c r="AR197" s="19"/>
      <c r="AS197" s="19"/>
      <c r="AT197" s="20"/>
      <c r="AU197" s="20"/>
      <c r="AV197" s="21"/>
      <c r="AW197" s="22"/>
      <c r="AX197" s="19"/>
      <c r="AY197" s="19"/>
      <c r="AZ197" s="19"/>
      <c r="BA197" s="23"/>
      <c r="BB197" s="19"/>
      <c r="BC197" s="19"/>
      <c r="BD197" s="19"/>
    </row>
    <row r="198" spans="1:56">
      <c r="A198" s="13"/>
      <c r="B198" s="11"/>
      <c r="C198" s="12"/>
      <c r="D198" s="12">
        <f t="shared" si="37"/>
        <v>2.0833299999999999E-2</v>
      </c>
      <c r="E198" s="10"/>
      <c r="F198" s="10" t="str">
        <f>IFERROR(VLOOKUP(E198,Data!A$2:B$5,2,TRUE), "")</f>
        <v/>
      </c>
      <c r="G198" s="3"/>
      <c r="H198" s="13" t="str">
        <f>IFERROR(VLOOKUP(A198,Customer_Data!$A$1:$P$114,8,TRUE),"")</f>
        <v/>
      </c>
      <c r="I198" s="13"/>
      <c r="J198" s="3" t="str">
        <f t="shared" si="43"/>
        <v/>
      </c>
      <c r="K198" s="62" t="e">
        <f>(VLOOKUP($J198,Herbicide_Data!$A$1:$L$61,9,TRUE))</f>
        <v>#N/A</v>
      </c>
      <c r="L198" s="62" t="e">
        <f>VLOOKUP($J198,Herbicide_Data!$A$1:$L$61,12,TRUE)</f>
        <v>#N/A</v>
      </c>
      <c r="M198" s="16" t="e">
        <f t="shared" si="38"/>
        <v>#N/A</v>
      </c>
      <c r="N198" s="62" t="str">
        <f t="shared" si="44"/>
        <v/>
      </c>
      <c r="O198" s="63" t="e">
        <f>VLOOKUP($N198,Herbicide_Data!$A$1:$L$61,9)</f>
        <v>#N/A</v>
      </c>
      <c r="P198" s="62" t="e">
        <f>VLOOKUP($N198,Herbicide_Data!$A$1:$P$61,13)</f>
        <v>#N/A</v>
      </c>
      <c r="Q198" s="16" t="e">
        <f t="shared" si="39"/>
        <v>#N/A</v>
      </c>
      <c r="R198" s="62" t="str">
        <f t="shared" si="45"/>
        <v/>
      </c>
      <c r="S198" s="63" t="e">
        <f>VLOOKUP($R198,Herbicide_Data!$A$1:$L$61,9)</f>
        <v>#N/A</v>
      </c>
      <c r="T198" s="62" t="e">
        <f>VLOOKUP($R198,Herbicide_Data!$A$1:$Q$61,13)</f>
        <v>#N/A</v>
      </c>
      <c r="U198" s="16" t="e">
        <f t="shared" si="40"/>
        <v>#N/A</v>
      </c>
      <c r="V198" s="62" t="b">
        <f t="shared" si="46"/>
        <v>0</v>
      </c>
      <c r="W198" s="63" t="e">
        <f>VLOOKUP($V198,Herbicide_Data!$A$1:$L$17,9)</f>
        <v>#N/A</v>
      </c>
      <c r="X198" s="62" t="e">
        <f>VLOOKUP($V198,Herbicide_Data!$A$1:$L$17,12)</f>
        <v>#N/A</v>
      </c>
      <c r="Y198" s="16" t="e">
        <f t="shared" si="41"/>
        <v>#N/A</v>
      </c>
      <c r="Z198" s="15"/>
      <c r="AA198" s="13"/>
      <c r="AB198" s="17"/>
      <c r="AC198" s="3"/>
      <c r="AD198" s="10"/>
      <c r="AE198" s="3"/>
      <c r="AF198" s="10"/>
      <c r="AG198" s="15"/>
      <c r="AH198" s="62" t="str">
        <f t="shared" si="36"/>
        <v/>
      </c>
      <c r="AI198" s="62" t="e">
        <f>VLOOKUP($AH198,Herbicide_Data!$A$1:$Q$61,13)</f>
        <v>#N/A</v>
      </c>
      <c r="AJ198" s="16" t="e">
        <f t="shared" si="42"/>
        <v>#N/A</v>
      </c>
      <c r="AK198" s="3"/>
      <c r="AL198" s="3"/>
      <c r="AM198" s="3"/>
      <c r="AN198" s="3"/>
      <c r="AO198" s="3"/>
      <c r="AP198" s="3"/>
      <c r="AQ198" s="18"/>
      <c r="AR198" s="19"/>
      <c r="AS198" s="19"/>
      <c r="AT198" s="20"/>
      <c r="AU198" s="20"/>
      <c r="AV198" s="21"/>
      <c r="AW198" s="22"/>
      <c r="AX198" s="19"/>
      <c r="AY198" s="19"/>
      <c r="AZ198" s="19"/>
      <c r="BA198" s="23"/>
      <c r="BB198" s="19"/>
      <c r="BC198" s="19"/>
      <c r="BD198" s="19"/>
    </row>
    <row r="199" spans="1:56">
      <c r="A199" s="13"/>
      <c r="B199" s="11"/>
      <c r="C199" s="12"/>
      <c r="D199" s="12">
        <f t="shared" si="37"/>
        <v>2.0833299999999999E-2</v>
      </c>
      <c r="E199" s="10"/>
      <c r="F199" s="10" t="str">
        <f>IFERROR(VLOOKUP(E199,Data!A$2:B$5,2,TRUE), "")</f>
        <v/>
      </c>
      <c r="G199" s="3"/>
      <c r="H199" s="13" t="str">
        <f>IFERROR(VLOOKUP(A199,Customer_Data!$A$1:$P$114,8,TRUE),"")</f>
        <v/>
      </c>
      <c r="I199" s="13"/>
      <c r="J199" s="3" t="str">
        <f t="shared" si="43"/>
        <v/>
      </c>
      <c r="K199" s="62" t="e">
        <f>(VLOOKUP($J199,Herbicide_Data!$A$1:$L$61,9,TRUE))</f>
        <v>#N/A</v>
      </c>
      <c r="L199" s="62" t="e">
        <f>VLOOKUP($J199,Herbicide_Data!$A$1:$L$61,12,TRUE)</f>
        <v>#N/A</v>
      </c>
      <c r="M199" s="16" t="e">
        <f t="shared" si="38"/>
        <v>#N/A</v>
      </c>
      <c r="N199" s="62" t="str">
        <f t="shared" si="44"/>
        <v/>
      </c>
      <c r="O199" s="63" t="e">
        <f>VLOOKUP($N199,Herbicide_Data!$A$1:$L$61,9)</f>
        <v>#N/A</v>
      </c>
      <c r="P199" s="62" t="e">
        <f>VLOOKUP($N199,Herbicide_Data!$A$1:$P$61,13)</f>
        <v>#N/A</v>
      </c>
      <c r="Q199" s="16" t="e">
        <f t="shared" si="39"/>
        <v>#N/A</v>
      </c>
      <c r="R199" s="62" t="str">
        <f t="shared" si="45"/>
        <v/>
      </c>
      <c r="S199" s="63" t="e">
        <f>VLOOKUP($R199,Herbicide_Data!$A$1:$L$61,9)</f>
        <v>#N/A</v>
      </c>
      <c r="T199" s="62" t="e">
        <f>VLOOKUP($R199,Herbicide_Data!$A$1:$Q$61,13)</f>
        <v>#N/A</v>
      </c>
      <c r="U199" s="16" t="e">
        <f t="shared" si="40"/>
        <v>#N/A</v>
      </c>
      <c r="V199" s="62" t="b">
        <f t="shared" si="46"/>
        <v>0</v>
      </c>
      <c r="W199" s="63" t="e">
        <f>VLOOKUP($V199,Herbicide_Data!$A$1:$L$17,9)</f>
        <v>#N/A</v>
      </c>
      <c r="X199" s="62" t="e">
        <f>VLOOKUP($V199,Herbicide_Data!$A$1:$L$17,12)</f>
        <v>#N/A</v>
      </c>
      <c r="Y199" s="16" t="e">
        <f t="shared" si="41"/>
        <v>#N/A</v>
      </c>
      <c r="Z199" s="15"/>
      <c r="AA199" s="13"/>
      <c r="AB199" s="17"/>
      <c r="AC199" s="3"/>
      <c r="AD199" s="10"/>
      <c r="AE199" s="3"/>
      <c r="AF199" s="10"/>
      <c r="AG199" s="15"/>
      <c r="AH199" s="62" t="str">
        <f t="shared" si="36"/>
        <v/>
      </c>
      <c r="AI199" s="62" t="e">
        <f>VLOOKUP($AH199,Herbicide_Data!$A$1:$Q$61,13)</f>
        <v>#N/A</v>
      </c>
      <c r="AJ199" s="16" t="e">
        <f t="shared" si="42"/>
        <v>#N/A</v>
      </c>
      <c r="AK199" s="3"/>
      <c r="AL199" s="3"/>
      <c r="AM199" s="3"/>
      <c r="AN199" s="3"/>
      <c r="AO199" s="3"/>
      <c r="AP199" s="3"/>
      <c r="AQ199" s="18"/>
      <c r="AR199" s="19"/>
      <c r="AS199" s="19"/>
      <c r="AT199" s="20"/>
      <c r="AU199" s="20"/>
      <c r="AV199" s="21"/>
      <c r="AW199" s="22"/>
      <c r="AX199" s="19"/>
      <c r="AY199" s="19"/>
      <c r="AZ199" s="19"/>
      <c r="BA199" s="23"/>
      <c r="BB199" s="19"/>
      <c r="BC199" s="19"/>
      <c r="BD199" s="19"/>
    </row>
    <row r="200" spans="1:56">
      <c r="A200" s="13"/>
      <c r="B200" s="11"/>
      <c r="C200" s="12"/>
      <c r="D200" s="12">
        <f t="shared" si="37"/>
        <v>2.0833299999999999E-2</v>
      </c>
      <c r="E200" s="10"/>
      <c r="F200" s="10" t="str">
        <f>IFERROR(VLOOKUP(E200,Data!A$2:B$5,2,TRUE), "")</f>
        <v/>
      </c>
      <c r="G200" s="3"/>
      <c r="H200" s="13" t="str">
        <f>IFERROR(VLOOKUP(A200,Customer_Data!$A$1:$P$114,8,TRUE),"")</f>
        <v/>
      </c>
      <c r="I200" s="13"/>
      <c r="J200" s="3" t="str">
        <f t="shared" si="43"/>
        <v/>
      </c>
      <c r="K200" s="62" t="e">
        <f>(VLOOKUP($J200,Herbicide_Data!$A$1:$L$61,9,TRUE))</f>
        <v>#N/A</v>
      </c>
      <c r="L200" s="62" t="e">
        <f>VLOOKUP($J200,Herbicide_Data!$A$1:$L$61,12,TRUE)</f>
        <v>#N/A</v>
      </c>
      <c r="M200" s="16" t="e">
        <f t="shared" si="38"/>
        <v>#N/A</v>
      </c>
      <c r="N200" s="62" t="str">
        <f t="shared" si="44"/>
        <v/>
      </c>
      <c r="O200" s="63" t="e">
        <f>VLOOKUP($N200,Herbicide_Data!$A$1:$L$61,9)</f>
        <v>#N/A</v>
      </c>
      <c r="P200" s="62" t="e">
        <f>VLOOKUP($N200,Herbicide_Data!$A$1:$P$61,13)</f>
        <v>#N/A</v>
      </c>
      <c r="Q200" s="16" t="e">
        <f t="shared" si="39"/>
        <v>#N/A</v>
      </c>
      <c r="R200" s="62" t="str">
        <f t="shared" si="45"/>
        <v/>
      </c>
      <c r="S200" s="63" t="e">
        <f>VLOOKUP($R200,Herbicide_Data!$A$1:$L$61,9)</f>
        <v>#N/A</v>
      </c>
      <c r="T200" s="62" t="e">
        <f>VLOOKUP($R200,Herbicide_Data!$A$1:$Q$61,13)</f>
        <v>#N/A</v>
      </c>
      <c r="U200" s="16" t="e">
        <f t="shared" si="40"/>
        <v>#N/A</v>
      </c>
      <c r="V200" s="62" t="b">
        <f t="shared" si="46"/>
        <v>0</v>
      </c>
      <c r="W200" s="63" t="e">
        <f>VLOOKUP($V200,Herbicide_Data!$A$1:$L$17,9)</f>
        <v>#N/A</v>
      </c>
      <c r="X200" s="62" t="e">
        <f>VLOOKUP($V200,Herbicide_Data!$A$1:$L$17,12)</f>
        <v>#N/A</v>
      </c>
      <c r="Y200" s="16" t="e">
        <f t="shared" si="41"/>
        <v>#N/A</v>
      </c>
      <c r="Z200" s="15"/>
      <c r="AA200" s="13"/>
      <c r="AB200" s="17"/>
      <c r="AC200" s="3"/>
      <c r="AD200" s="10"/>
      <c r="AE200" s="3"/>
      <c r="AF200" s="10"/>
      <c r="AG200" s="15"/>
      <c r="AH200" s="62" t="str">
        <f t="shared" si="36"/>
        <v/>
      </c>
      <c r="AI200" s="62" t="e">
        <f>VLOOKUP($AH200,Herbicide_Data!$A$1:$Q$61,13)</f>
        <v>#N/A</v>
      </c>
      <c r="AJ200" s="16" t="e">
        <f t="shared" si="42"/>
        <v>#N/A</v>
      </c>
      <c r="AK200" s="3"/>
      <c r="AL200" s="3"/>
      <c r="AM200" s="3"/>
      <c r="AN200" s="3"/>
      <c r="AO200" s="3"/>
      <c r="AP200" s="3"/>
      <c r="AQ200" s="18"/>
      <c r="AR200" s="19"/>
      <c r="AS200" s="19"/>
      <c r="AT200" s="20"/>
      <c r="AU200" s="20"/>
      <c r="AV200" s="21"/>
      <c r="AW200" s="22"/>
      <c r="AX200" s="19"/>
      <c r="AY200" s="19"/>
      <c r="AZ200" s="19"/>
      <c r="BA200" s="23"/>
      <c r="BB200" s="19"/>
      <c r="BC200" s="19"/>
      <c r="BD200" s="19"/>
    </row>
    <row r="201" spans="1:56">
      <c r="A201" s="13"/>
      <c r="B201" s="11"/>
      <c r="C201" s="12"/>
      <c r="D201" s="12">
        <f t="shared" si="37"/>
        <v>2.0833299999999999E-2</v>
      </c>
      <c r="E201" s="10"/>
      <c r="F201" s="10" t="str">
        <f>IFERROR(VLOOKUP(E201,Data!A$2:B$5,2,TRUE), "")</f>
        <v/>
      </c>
      <c r="G201" s="3"/>
      <c r="H201" s="13" t="str">
        <f>IFERROR(VLOOKUP(A201,Customer_Data!$A$1:$P$114,8,TRUE),"")</f>
        <v/>
      </c>
      <c r="I201" s="13"/>
      <c r="J201" s="3" t="str">
        <f t="shared" si="43"/>
        <v/>
      </c>
      <c r="K201" s="62" t="e">
        <f>(VLOOKUP($J201,Herbicide_Data!$A$1:$L$61,9,TRUE))</f>
        <v>#N/A</v>
      </c>
      <c r="L201" s="62" t="e">
        <f>VLOOKUP($J201,Herbicide_Data!$A$1:$L$61,12,TRUE)</f>
        <v>#N/A</v>
      </c>
      <c r="M201" s="16" t="e">
        <f t="shared" si="38"/>
        <v>#N/A</v>
      </c>
      <c r="N201" s="62" t="str">
        <f t="shared" si="44"/>
        <v/>
      </c>
      <c r="O201" s="63" t="e">
        <f>VLOOKUP($N201,Herbicide_Data!$A$1:$L$61,9)</f>
        <v>#N/A</v>
      </c>
      <c r="P201" s="62" t="e">
        <f>VLOOKUP($N201,Herbicide_Data!$A$1:$P$61,13)</f>
        <v>#N/A</v>
      </c>
      <c r="Q201" s="16" t="e">
        <f t="shared" si="39"/>
        <v>#N/A</v>
      </c>
      <c r="R201" s="62" t="str">
        <f t="shared" si="45"/>
        <v/>
      </c>
      <c r="S201" s="63" t="e">
        <f>VLOOKUP($R201,Herbicide_Data!$A$1:$L$61,9)</f>
        <v>#N/A</v>
      </c>
      <c r="T201" s="62" t="e">
        <f>VLOOKUP($R201,Herbicide_Data!$A$1:$Q$61,13)</f>
        <v>#N/A</v>
      </c>
      <c r="U201" s="16" t="e">
        <f t="shared" si="40"/>
        <v>#N/A</v>
      </c>
      <c r="V201" s="62" t="b">
        <f t="shared" si="46"/>
        <v>0</v>
      </c>
      <c r="W201" s="63" t="e">
        <f>VLOOKUP($V201,Herbicide_Data!$A$1:$L$17,9)</f>
        <v>#N/A</v>
      </c>
      <c r="X201" s="62" t="e">
        <f>VLOOKUP($V201,Herbicide_Data!$A$1:$L$17,12)</f>
        <v>#N/A</v>
      </c>
      <c r="Y201" s="16" t="e">
        <f t="shared" si="41"/>
        <v>#N/A</v>
      </c>
      <c r="Z201" s="15"/>
      <c r="AA201" s="13"/>
      <c r="AB201" s="17"/>
      <c r="AC201" s="3"/>
      <c r="AD201" s="10"/>
      <c r="AE201" s="3"/>
      <c r="AF201" s="10"/>
      <c r="AG201" s="15"/>
      <c r="AH201" s="62" t="str">
        <f t="shared" si="36"/>
        <v/>
      </c>
      <c r="AI201" s="62" t="e">
        <f>VLOOKUP($AH201,Herbicide_Data!$A$1:$Q$61,13)</f>
        <v>#N/A</v>
      </c>
      <c r="AJ201" s="16" t="e">
        <f t="shared" si="42"/>
        <v>#N/A</v>
      </c>
      <c r="AK201" s="3"/>
      <c r="AL201" s="3"/>
      <c r="AM201" s="3"/>
      <c r="AN201" s="3"/>
      <c r="AO201" s="3"/>
      <c r="AP201" s="3"/>
      <c r="AQ201" s="18"/>
      <c r="AR201" s="19"/>
      <c r="AS201" s="19"/>
      <c r="AT201" s="20"/>
      <c r="AU201" s="20"/>
      <c r="AV201" s="21"/>
      <c r="AW201" s="22"/>
      <c r="AX201" s="19"/>
      <c r="AY201" s="19"/>
      <c r="AZ201" s="19"/>
      <c r="BA201" s="23"/>
      <c r="BB201" s="19"/>
      <c r="BC201" s="19"/>
      <c r="BD201" s="19"/>
    </row>
    <row r="202" spans="1:56">
      <c r="A202" s="13"/>
      <c r="B202" s="11"/>
      <c r="C202" s="12"/>
      <c r="D202" s="12">
        <f t="shared" si="37"/>
        <v>2.0833299999999999E-2</v>
      </c>
      <c r="E202" s="10"/>
      <c r="F202" s="10" t="str">
        <f>IFERROR(VLOOKUP(E202,Data!A$2:B$5,2,TRUE), "")</f>
        <v/>
      </c>
      <c r="G202" s="3"/>
      <c r="H202" s="13" t="str">
        <f>IFERROR(VLOOKUP(A202,Customer_Data!$A$1:$P$114,8,TRUE),"")</f>
        <v/>
      </c>
      <c r="I202" s="13"/>
      <c r="J202" s="3" t="str">
        <f t="shared" si="43"/>
        <v/>
      </c>
      <c r="K202" s="62" t="e">
        <f>(VLOOKUP($J202,Herbicide_Data!$A$1:$L$61,9,TRUE))</f>
        <v>#N/A</v>
      </c>
      <c r="L202" s="62" t="e">
        <f>VLOOKUP($J202,Herbicide_Data!$A$1:$L$61,12,TRUE)</f>
        <v>#N/A</v>
      </c>
      <c r="M202" s="16" t="e">
        <f t="shared" si="38"/>
        <v>#N/A</v>
      </c>
      <c r="N202" s="62" t="str">
        <f t="shared" si="44"/>
        <v/>
      </c>
      <c r="O202" s="63" t="e">
        <f>VLOOKUP($N202,Herbicide_Data!$A$1:$L$61,9)</f>
        <v>#N/A</v>
      </c>
      <c r="P202" s="62" t="e">
        <f>VLOOKUP($N202,Herbicide_Data!$A$1:$P$61,13)</f>
        <v>#N/A</v>
      </c>
      <c r="Q202" s="16" t="e">
        <f t="shared" si="39"/>
        <v>#N/A</v>
      </c>
      <c r="R202" s="62" t="str">
        <f t="shared" si="45"/>
        <v/>
      </c>
      <c r="S202" s="63" t="e">
        <f>VLOOKUP($R202,Herbicide_Data!$A$1:$L$61,9)</f>
        <v>#N/A</v>
      </c>
      <c r="T202" s="62" t="e">
        <f>VLOOKUP($R202,Herbicide_Data!$A$1:$Q$61,13)</f>
        <v>#N/A</v>
      </c>
      <c r="U202" s="16" t="e">
        <f t="shared" si="40"/>
        <v>#N/A</v>
      </c>
      <c r="V202" s="62" t="b">
        <f t="shared" si="46"/>
        <v>0</v>
      </c>
      <c r="W202" s="63" t="e">
        <f>VLOOKUP($V202,Herbicide_Data!$A$1:$L$17,9)</f>
        <v>#N/A</v>
      </c>
      <c r="X202" s="62" t="e">
        <f>VLOOKUP($V202,Herbicide_Data!$A$1:$L$17,12)</f>
        <v>#N/A</v>
      </c>
      <c r="Y202" s="16" t="e">
        <f t="shared" si="41"/>
        <v>#N/A</v>
      </c>
      <c r="Z202" s="15"/>
      <c r="AA202" s="13"/>
      <c r="AB202" s="17"/>
      <c r="AC202" s="3"/>
      <c r="AD202" s="10"/>
      <c r="AE202" s="3"/>
      <c r="AF202" s="10"/>
      <c r="AG202" s="15"/>
      <c r="AH202" s="62" t="str">
        <f t="shared" si="36"/>
        <v/>
      </c>
      <c r="AI202" s="62" t="e">
        <f>VLOOKUP($AH202,Herbicide_Data!$A$1:$Q$61,13)</f>
        <v>#N/A</v>
      </c>
      <c r="AJ202" s="16" t="e">
        <f t="shared" si="42"/>
        <v>#N/A</v>
      </c>
      <c r="AK202" s="3"/>
      <c r="AL202" s="3"/>
      <c r="AM202" s="3"/>
      <c r="AN202" s="3"/>
      <c r="AO202" s="3"/>
      <c r="AP202" s="3"/>
      <c r="AQ202" s="18"/>
      <c r="AR202" s="19"/>
      <c r="AS202" s="19"/>
      <c r="AT202" s="20"/>
      <c r="AU202" s="20"/>
      <c r="AV202" s="21"/>
      <c r="AW202" s="22"/>
      <c r="AX202" s="19"/>
      <c r="AY202" s="19"/>
      <c r="AZ202" s="19"/>
      <c r="BA202" s="23"/>
      <c r="BB202" s="19"/>
      <c r="BC202" s="19"/>
      <c r="BD202" s="19"/>
    </row>
    <row r="203" spans="1:56">
      <c r="A203" s="13"/>
      <c r="B203" s="11"/>
      <c r="C203" s="12"/>
      <c r="D203" s="12">
        <f t="shared" si="37"/>
        <v>2.0833299999999999E-2</v>
      </c>
      <c r="E203" s="10"/>
      <c r="F203" s="10" t="str">
        <f>IFERROR(VLOOKUP(E203,Data!A$2:B$5,2,TRUE), "")</f>
        <v/>
      </c>
      <c r="G203" s="3"/>
      <c r="H203" s="13" t="str">
        <f>IFERROR(VLOOKUP(A203,Customer_Data!$A$1:$P$114,8,TRUE),"")</f>
        <v/>
      </c>
      <c r="I203" s="13"/>
      <c r="J203" s="3" t="str">
        <f t="shared" si="43"/>
        <v/>
      </c>
      <c r="K203" s="62" t="e">
        <f>(VLOOKUP($J203,Herbicide_Data!$A$1:$L$61,9,TRUE))</f>
        <v>#N/A</v>
      </c>
      <c r="L203" s="62" t="e">
        <f>VLOOKUP($J203,Herbicide_Data!$A$1:$L$61,12,TRUE)</f>
        <v>#N/A</v>
      </c>
      <c r="M203" s="16" t="e">
        <f t="shared" si="38"/>
        <v>#N/A</v>
      </c>
      <c r="N203" s="62" t="str">
        <f t="shared" si="44"/>
        <v/>
      </c>
      <c r="O203" s="63" t="e">
        <f>VLOOKUP($N203,Herbicide_Data!$A$1:$L$61,9)</f>
        <v>#N/A</v>
      </c>
      <c r="P203" s="62" t="e">
        <f>VLOOKUP($N203,Herbicide_Data!$A$1:$P$61,13)</f>
        <v>#N/A</v>
      </c>
      <c r="Q203" s="16" t="e">
        <f t="shared" si="39"/>
        <v>#N/A</v>
      </c>
      <c r="R203" s="62" t="str">
        <f t="shared" si="45"/>
        <v/>
      </c>
      <c r="S203" s="63" t="e">
        <f>VLOOKUP($R203,Herbicide_Data!$A$1:$L$61,9)</f>
        <v>#N/A</v>
      </c>
      <c r="T203" s="62" t="e">
        <f>VLOOKUP($R203,Herbicide_Data!$A$1:$Q$61,13)</f>
        <v>#N/A</v>
      </c>
      <c r="U203" s="16" t="e">
        <f t="shared" si="40"/>
        <v>#N/A</v>
      </c>
      <c r="V203" s="62" t="b">
        <f t="shared" si="46"/>
        <v>0</v>
      </c>
      <c r="W203" s="63" t="e">
        <f>VLOOKUP($V203,Herbicide_Data!$A$1:$L$17,9)</f>
        <v>#N/A</v>
      </c>
      <c r="X203" s="62" t="e">
        <f>VLOOKUP($V203,Herbicide_Data!$A$1:$L$17,12)</f>
        <v>#N/A</v>
      </c>
      <c r="Y203" s="16" t="e">
        <f t="shared" si="41"/>
        <v>#N/A</v>
      </c>
      <c r="Z203" s="15"/>
      <c r="AA203" s="13"/>
      <c r="AB203" s="17"/>
      <c r="AC203" s="3"/>
      <c r="AD203" s="10"/>
      <c r="AE203" s="3"/>
      <c r="AF203" s="10"/>
      <c r="AG203" s="15"/>
      <c r="AH203" s="62" t="str">
        <f t="shared" si="36"/>
        <v/>
      </c>
      <c r="AI203" s="62" t="e">
        <f>VLOOKUP($AH203,Herbicide_Data!$A$1:$Q$61,13)</f>
        <v>#N/A</v>
      </c>
      <c r="AJ203" s="16" t="e">
        <f t="shared" si="42"/>
        <v>#N/A</v>
      </c>
      <c r="AK203" s="3"/>
      <c r="AL203" s="3"/>
      <c r="AM203" s="3"/>
      <c r="AN203" s="3"/>
      <c r="AO203" s="3"/>
      <c r="AP203" s="3"/>
      <c r="AQ203" s="18"/>
      <c r="AR203" s="19"/>
      <c r="AS203" s="19"/>
      <c r="AT203" s="20"/>
      <c r="AU203" s="20"/>
      <c r="AV203" s="21"/>
      <c r="AW203" s="22"/>
      <c r="AX203" s="19"/>
      <c r="AY203" s="19"/>
      <c r="AZ203" s="19"/>
      <c r="BA203" s="23"/>
      <c r="BB203" s="19"/>
      <c r="BC203" s="19"/>
      <c r="BD203" s="19"/>
    </row>
    <row r="204" spans="1:56">
      <c r="A204" s="13"/>
      <c r="B204" s="11"/>
      <c r="C204" s="12"/>
      <c r="D204" s="12">
        <f t="shared" si="37"/>
        <v>2.0833299999999999E-2</v>
      </c>
      <c r="E204" s="10"/>
      <c r="F204" s="10" t="str">
        <f>IFERROR(VLOOKUP(E204,Data!A$2:B$5,2,TRUE), "")</f>
        <v/>
      </c>
      <c r="G204" s="3"/>
      <c r="H204" s="13" t="str">
        <f>IFERROR(VLOOKUP(A204,Customer_Data!$A$1:$P$114,8,TRUE),"")</f>
        <v/>
      </c>
      <c r="I204" s="13"/>
      <c r="J204" s="3" t="str">
        <f t="shared" si="43"/>
        <v/>
      </c>
      <c r="K204" s="62" t="e">
        <f>(VLOOKUP($J204,Herbicide_Data!$A$1:$L$61,9,TRUE))</f>
        <v>#N/A</v>
      </c>
      <c r="L204" s="62" t="e">
        <f>VLOOKUP($J204,Herbicide_Data!$A$1:$L$61,12,TRUE)</f>
        <v>#N/A</v>
      </c>
      <c r="M204" s="16" t="e">
        <f t="shared" si="38"/>
        <v>#N/A</v>
      </c>
      <c r="N204" s="62" t="str">
        <f t="shared" si="44"/>
        <v/>
      </c>
      <c r="O204" s="63" t="e">
        <f>VLOOKUP($N204,Herbicide_Data!$A$1:$L$61,9)</f>
        <v>#N/A</v>
      </c>
      <c r="P204" s="62" t="e">
        <f>VLOOKUP($N204,Herbicide_Data!$A$1:$P$61,13)</f>
        <v>#N/A</v>
      </c>
      <c r="Q204" s="16" t="e">
        <f t="shared" si="39"/>
        <v>#N/A</v>
      </c>
      <c r="R204" s="62" t="str">
        <f t="shared" si="45"/>
        <v/>
      </c>
      <c r="S204" s="63" t="e">
        <f>VLOOKUP($R204,Herbicide_Data!$A$1:$L$61,9)</f>
        <v>#N/A</v>
      </c>
      <c r="T204" s="62" t="e">
        <f>VLOOKUP($R204,Herbicide_Data!$A$1:$Q$61,13)</f>
        <v>#N/A</v>
      </c>
      <c r="U204" s="16" t="e">
        <f t="shared" si="40"/>
        <v>#N/A</v>
      </c>
      <c r="V204" s="62" t="b">
        <f t="shared" si="46"/>
        <v>0</v>
      </c>
      <c r="W204" s="63" t="e">
        <f>VLOOKUP($V204,Herbicide_Data!$A$1:$L$17,9)</f>
        <v>#N/A</v>
      </c>
      <c r="X204" s="62" t="e">
        <f>VLOOKUP($V204,Herbicide_Data!$A$1:$L$17,12)</f>
        <v>#N/A</v>
      </c>
      <c r="Y204" s="16" t="e">
        <f t="shared" si="41"/>
        <v>#N/A</v>
      </c>
      <c r="Z204" s="15"/>
      <c r="AA204" s="13"/>
      <c r="AB204" s="17"/>
      <c r="AC204" s="3"/>
      <c r="AD204" s="10"/>
      <c r="AE204" s="3"/>
      <c r="AF204" s="10"/>
      <c r="AG204" s="15"/>
      <c r="AH204" s="62" t="str">
        <f t="shared" si="36"/>
        <v/>
      </c>
      <c r="AI204" s="62" t="e">
        <f>VLOOKUP($AH204,Herbicide_Data!$A$1:$Q$61,13)</f>
        <v>#N/A</v>
      </c>
      <c r="AJ204" s="16" t="e">
        <f t="shared" si="42"/>
        <v>#N/A</v>
      </c>
      <c r="AK204" s="3"/>
      <c r="AL204" s="3"/>
      <c r="AM204" s="3"/>
      <c r="AN204" s="3"/>
      <c r="AO204" s="3"/>
      <c r="AP204" s="3"/>
      <c r="AQ204" s="18"/>
      <c r="AR204" s="19"/>
      <c r="AS204" s="19"/>
      <c r="AT204" s="20"/>
      <c r="AU204" s="20"/>
      <c r="AV204" s="21"/>
      <c r="AW204" s="22"/>
      <c r="AX204" s="19"/>
      <c r="AY204" s="19"/>
      <c r="AZ204" s="19"/>
      <c r="BA204" s="23"/>
      <c r="BB204" s="19"/>
      <c r="BC204" s="19"/>
      <c r="BD204" s="19"/>
    </row>
    <row r="205" spans="1:56">
      <c r="A205" s="13"/>
      <c r="B205" s="11"/>
      <c r="C205" s="12"/>
      <c r="D205" s="12">
        <f t="shared" si="37"/>
        <v>2.0833299999999999E-2</v>
      </c>
      <c r="E205" s="10"/>
      <c r="F205" s="10" t="str">
        <f>IFERROR(VLOOKUP(E205,Data!A$2:B$5,2,TRUE), "")</f>
        <v/>
      </c>
      <c r="G205" s="3"/>
      <c r="H205" s="13" t="str">
        <f>IFERROR(VLOOKUP(A205,Customer_Data!$A$1:$P$114,8,TRUE),"")</f>
        <v/>
      </c>
      <c r="I205" s="13"/>
      <c r="J205" s="3" t="str">
        <f t="shared" si="43"/>
        <v/>
      </c>
      <c r="K205" s="62" t="e">
        <f>(VLOOKUP($J205,Herbicide_Data!$A$1:$L$61,9,TRUE))</f>
        <v>#N/A</v>
      </c>
      <c r="L205" s="62" t="e">
        <f>VLOOKUP($J205,Herbicide_Data!$A$1:$L$61,12,TRUE)</f>
        <v>#N/A</v>
      </c>
      <c r="M205" s="16" t="e">
        <f t="shared" si="38"/>
        <v>#N/A</v>
      </c>
      <c r="N205" s="62" t="str">
        <f t="shared" si="44"/>
        <v/>
      </c>
      <c r="O205" s="63" t="e">
        <f>VLOOKUP($N205,Herbicide_Data!$A$1:$L$61,9)</f>
        <v>#N/A</v>
      </c>
      <c r="P205" s="62" t="e">
        <f>VLOOKUP($N205,Herbicide_Data!$A$1:$P$61,13)</f>
        <v>#N/A</v>
      </c>
      <c r="Q205" s="16" t="e">
        <f t="shared" si="39"/>
        <v>#N/A</v>
      </c>
      <c r="R205" s="62" t="str">
        <f t="shared" si="45"/>
        <v/>
      </c>
      <c r="S205" s="63" t="e">
        <f>VLOOKUP($R205,Herbicide_Data!$A$1:$L$61,9)</f>
        <v>#N/A</v>
      </c>
      <c r="T205" s="62" t="e">
        <f>VLOOKUP($R205,Herbicide_Data!$A$1:$Q$61,13)</f>
        <v>#N/A</v>
      </c>
      <c r="U205" s="16" t="e">
        <f t="shared" si="40"/>
        <v>#N/A</v>
      </c>
      <c r="V205" s="62" t="b">
        <f t="shared" si="46"/>
        <v>0</v>
      </c>
      <c r="W205" s="63" t="e">
        <f>VLOOKUP($V205,Herbicide_Data!$A$1:$L$17,9)</f>
        <v>#N/A</v>
      </c>
      <c r="X205" s="62" t="e">
        <f>VLOOKUP($V205,Herbicide_Data!$A$1:$L$17,12)</f>
        <v>#N/A</v>
      </c>
      <c r="Y205" s="16" t="e">
        <f t="shared" si="41"/>
        <v>#N/A</v>
      </c>
      <c r="Z205" s="15"/>
      <c r="AA205" s="13"/>
      <c r="AB205" s="17"/>
      <c r="AC205" s="3"/>
      <c r="AD205" s="10"/>
      <c r="AE205" s="3"/>
      <c r="AF205" s="10"/>
      <c r="AG205" s="15"/>
      <c r="AH205" s="62" t="str">
        <f t="shared" si="36"/>
        <v/>
      </c>
      <c r="AI205" s="62" t="e">
        <f>VLOOKUP($AH205,Herbicide_Data!$A$1:$Q$61,13)</f>
        <v>#N/A</v>
      </c>
      <c r="AJ205" s="16" t="e">
        <f t="shared" si="42"/>
        <v>#N/A</v>
      </c>
      <c r="AK205" s="3"/>
      <c r="AL205" s="3"/>
      <c r="AM205" s="3"/>
      <c r="AN205" s="3"/>
      <c r="AO205" s="3"/>
      <c r="AP205" s="3"/>
      <c r="AQ205" s="18"/>
      <c r="AR205" s="19"/>
      <c r="AS205" s="19"/>
      <c r="AT205" s="20"/>
      <c r="AU205" s="20"/>
      <c r="AV205" s="21"/>
      <c r="AW205" s="22"/>
      <c r="AX205" s="19"/>
      <c r="AY205" s="19"/>
      <c r="AZ205" s="19"/>
      <c r="BA205" s="23"/>
      <c r="BB205" s="19"/>
      <c r="BC205" s="19"/>
      <c r="BD205" s="19"/>
    </row>
    <row r="206" spans="1:56">
      <c r="A206" s="13"/>
      <c r="B206" s="11"/>
      <c r="C206" s="12"/>
      <c r="D206" s="12">
        <f t="shared" si="37"/>
        <v>2.0833299999999999E-2</v>
      </c>
      <c r="E206" s="10"/>
      <c r="F206" s="10" t="str">
        <f>IFERROR(VLOOKUP(E206,Data!A$2:B$5,2,TRUE), "")</f>
        <v/>
      </c>
      <c r="G206" s="3"/>
      <c r="H206" s="13" t="str">
        <f>IFERROR(VLOOKUP(A206,Customer_Data!$A$1:$P$114,8,TRUE),"")</f>
        <v/>
      </c>
      <c r="I206" s="13"/>
      <c r="J206" s="3" t="str">
        <f t="shared" si="43"/>
        <v/>
      </c>
      <c r="K206" s="62" t="e">
        <f>(VLOOKUP($J206,Herbicide_Data!$A$1:$L$61,9,TRUE))</f>
        <v>#N/A</v>
      </c>
      <c r="L206" s="62" t="e">
        <f>VLOOKUP($J206,Herbicide_Data!$A$1:$L$61,12,TRUE)</f>
        <v>#N/A</v>
      </c>
      <c r="M206" s="16" t="e">
        <f t="shared" si="38"/>
        <v>#N/A</v>
      </c>
      <c r="N206" s="62" t="str">
        <f t="shared" si="44"/>
        <v/>
      </c>
      <c r="O206" s="63" t="e">
        <f>VLOOKUP($N206,Herbicide_Data!$A$1:$L$61,9)</f>
        <v>#N/A</v>
      </c>
      <c r="P206" s="62" t="e">
        <f>VLOOKUP($N206,Herbicide_Data!$A$1:$P$61,13)</f>
        <v>#N/A</v>
      </c>
      <c r="Q206" s="16" t="e">
        <f t="shared" si="39"/>
        <v>#N/A</v>
      </c>
      <c r="R206" s="62" t="str">
        <f t="shared" si="45"/>
        <v/>
      </c>
      <c r="S206" s="63" t="e">
        <f>VLOOKUP($R206,Herbicide_Data!$A$1:$L$61,9)</f>
        <v>#N/A</v>
      </c>
      <c r="T206" s="62" t="e">
        <f>VLOOKUP($R206,Herbicide_Data!$A$1:$Q$61,13)</f>
        <v>#N/A</v>
      </c>
      <c r="U206" s="16" t="e">
        <f t="shared" si="40"/>
        <v>#N/A</v>
      </c>
      <c r="V206" s="62" t="b">
        <f t="shared" si="46"/>
        <v>0</v>
      </c>
      <c r="W206" s="63" t="e">
        <f>VLOOKUP($V206,Herbicide_Data!$A$1:$L$17,9)</f>
        <v>#N/A</v>
      </c>
      <c r="X206" s="62" t="e">
        <f>VLOOKUP($V206,Herbicide_Data!$A$1:$L$17,12)</f>
        <v>#N/A</v>
      </c>
      <c r="Y206" s="16" t="e">
        <f t="shared" si="41"/>
        <v>#N/A</v>
      </c>
      <c r="Z206" s="15"/>
      <c r="AA206" s="13"/>
      <c r="AB206" s="17"/>
      <c r="AC206" s="3"/>
      <c r="AD206" s="10"/>
      <c r="AE206" s="3"/>
      <c r="AF206" s="10"/>
      <c r="AG206" s="15"/>
      <c r="AH206" s="62" t="str">
        <f t="shared" si="36"/>
        <v/>
      </c>
      <c r="AI206" s="62" t="e">
        <f>VLOOKUP($AH206,Herbicide_Data!$A$1:$Q$61,13)</f>
        <v>#N/A</v>
      </c>
      <c r="AJ206" s="16" t="e">
        <f t="shared" si="42"/>
        <v>#N/A</v>
      </c>
      <c r="AK206" s="3"/>
      <c r="AL206" s="3"/>
      <c r="AM206" s="3"/>
      <c r="AN206" s="3"/>
      <c r="AO206" s="3"/>
      <c r="AP206" s="3"/>
      <c r="AQ206" s="18"/>
      <c r="AR206" s="19"/>
      <c r="AS206" s="19"/>
      <c r="AT206" s="20"/>
      <c r="AU206" s="20"/>
      <c r="AV206" s="21"/>
      <c r="AW206" s="22"/>
      <c r="AX206" s="19"/>
      <c r="AY206" s="19"/>
      <c r="AZ206" s="19"/>
      <c r="BA206" s="23"/>
      <c r="BB206" s="19"/>
      <c r="BC206" s="19"/>
      <c r="BD206" s="19"/>
    </row>
    <row r="207" spans="1:56">
      <c r="A207" s="13"/>
      <c r="B207" s="11"/>
      <c r="C207" s="12"/>
      <c r="D207" s="12">
        <f t="shared" si="37"/>
        <v>2.0833299999999999E-2</v>
      </c>
      <c r="E207" s="10"/>
      <c r="F207" s="10" t="str">
        <f>IFERROR(VLOOKUP(E207,Data!A$2:B$5,2,TRUE), "")</f>
        <v/>
      </c>
      <c r="G207" s="3"/>
      <c r="H207" s="13" t="str">
        <f>IFERROR(VLOOKUP(A207,Customer_Data!$A$1:$P$114,8,TRUE),"")</f>
        <v/>
      </c>
      <c r="I207" s="13"/>
      <c r="J207" s="3" t="str">
        <f t="shared" si="43"/>
        <v/>
      </c>
      <c r="K207" s="62" t="e">
        <f>(VLOOKUP($J207,Herbicide_Data!$A$1:$L$61,9,TRUE))</f>
        <v>#N/A</v>
      </c>
      <c r="L207" s="62" t="e">
        <f>VLOOKUP($J207,Herbicide_Data!$A$1:$L$61,12,TRUE)</f>
        <v>#N/A</v>
      </c>
      <c r="M207" s="16" t="e">
        <f t="shared" si="38"/>
        <v>#N/A</v>
      </c>
      <c r="N207" s="62" t="str">
        <f t="shared" si="44"/>
        <v/>
      </c>
      <c r="O207" s="63" t="e">
        <f>VLOOKUP($N207,Herbicide_Data!$A$1:$L$61,9)</f>
        <v>#N/A</v>
      </c>
      <c r="P207" s="62" t="e">
        <f>VLOOKUP($N207,Herbicide_Data!$A$1:$P$61,13)</f>
        <v>#N/A</v>
      </c>
      <c r="Q207" s="16" t="e">
        <f t="shared" si="39"/>
        <v>#N/A</v>
      </c>
      <c r="R207" s="62" t="str">
        <f t="shared" si="45"/>
        <v/>
      </c>
      <c r="S207" s="63" t="e">
        <f>VLOOKUP($R207,Herbicide_Data!$A$1:$L$61,9)</f>
        <v>#N/A</v>
      </c>
      <c r="T207" s="62" t="e">
        <f>VLOOKUP($R207,Herbicide_Data!$A$1:$Q$61,13)</f>
        <v>#N/A</v>
      </c>
      <c r="U207" s="16" t="e">
        <f t="shared" si="40"/>
        <v>#N/A</v>
      </c>
      <c r="V207" s="62" t="b">
        <f t="shared" si="46"/>
        <v>0</v>
      </c>
      <c r="W207" s="63" t="e">
        <f>VLOOKUP($V207,Herbicide_Data!$A$1:$L$17,9)</f>
        <v>#N/A</v>
      </c>
      <c r="X207" s="62" t="e">
        <f>VLOOKUP($V207,Herbicide_Data!$A$1:$L$17,12)</f>
        <v>#N/A</v>
      </c>
      <c r="Y207" s="16" t="e">
        <f t="shared" si="41"/>
        <v>#N/A</v>
      </c>
      <c r="Z207" s="15"/>
      <c r="AA207" s="13"/>
      <c r="AB207" s="17"/>
      <c r="AC207" s="3"/>
      <c r="AD207" s="10"/>
      <c r="AE207" s="3"/>
      <c r="AF207" s="10"/>
      <c r="AG207" s="15"/>
      <c r="AH207" s="62" t="str">
        <f t="shared" si="36"/>
        <v/>
      </c>
      <c r="AI207" s="62" t="e">
        <f>VLOOKUP($AH207,Herbicide_Data!$A$1:$Q$61,13)</f>
        <v>#N/A</v>
      </c>
      <c r="AJ207" s="16" t="e">
        <f t="shared" si="42"/>
        <v>#N/A</v>
      </c>
      <c r="AK207" s="3"/>
      <c r="AL207" s="3"/>
      <c r="AM207" s="3"/>
      <c r="AN207" s="3"/>
      <c r="AO207" s="3"/>
      <c r="AP207" s="3"/>
      <c r="AQ207" s="18"/>
      <c r="AR207" s="19"/>
      <c r="AS207" s="19"/>
      <c r="AT207" s="20"/>
      <c r="AU207" s="20"/>
      <c r="AV207" s="21"/>
      <c r="AW207" s="22"/>
      <c r="AX207" s="19"/>
      <c r="AY207" s="19"/>
      <c r="AZ207" s="19"/>
      <c r="BA207" s="23"/>
      <c r="BB207" s="19"/>
      <c r="BC207" s="19"/>
      <c r="BD207" s="19"/>
    </row>
    <row r="208" spans="1:56">
      <c r="A208" s="13"/>
      <c r="B208" s="11"/>
      <c r="C208" s="12"/>
      <c r="D208" s="12">
        <f t="shared" si="37"/>
        <v>2.0833299999999999E-2</v>
      </c>
      <c r="E208" s="10"/>
      <c r="F208" s="10" t="str">
        <f>IFERROR(VLOOKUP(E208,Data!A$2:B$5,2,TRUE), "")</f>
        <v/>
      </c>
      <c r="G208" s="3"/>
      <c r="H208" s="13" t="str">
        <f>IFERROR(VLOOKUP(A208,Customer_Data!$A$1:$P$114,8,TRUE),"")</f>
        <v/>
      </c>
      <c r="I208" s="13"/>
      <c r="J208" s="3" t="str">
        <f t="shared" si="43"/>
        <v/>
      </c>
      <c r="K208" s="62" t="e">
        <f>(VLOOKUP($J208,Herbicide_Data!$A$1:$L$61,9,TRUE))</f>
        <v>#N/A</v>
      </c>
      <c r="L208" s="62" t="e">
        <f>VLOOKUP($J208,Herbicide_Data!$A$1:$L$61,12,TRUE)</f>
        <v>#N/A</v>
      </c>
      <c r="M208" s="16" t="e">
        <f t="shared" si="38"/>
        <v>#N/A</v>
      </c>
      <c r="N208" s="62" t="str">
        <f t="shared" si="44"/>
        <v/>
      </c>
      <c r="O208" s="63" t="e">
        <f>VLOOKUP($N208,Herbicide_Data!$A$1:$L$61,9)</f>
        <v>#N/A</v>
      </c>
      <c r="P208" s="62" t="e">
        <f>VLOOKUP($N208,Herbicide_Data!$A$1:$P$61,13)</f>
        <v>#N/A</v>
      </c>
      <c r="Q208" s="16" t="e">
        <f t="shared" si="39"/>
        <v>#N/A</v>
      </c>
      <c r="R208" s="62" t="str">
        <f t="shared" si="45"/>
        <v/>
      </c>
      <c r="S208" s="63" t="e">
        <f>VLOOKUP($R208,Herbicide_Data!$A$1:$L$61,9)</f>
        <v>#N/A</v>
      </c>
      <c r="T208" s="62" t="e">
        <f>VLOOKUP($R208,Herbicide_Data!$A$1:$Q$61,13)</f>
        <v>#N/A</v>
      </c>
      <c r="U208" s="16" t="e">
        <f t="shared" si="40"/>
        <v>#N/A</v>
      </c>
      <c r="V208" s="62" t="b">
        <f t="shared" si="46"/>
        <v>0</v>
      </c>
      <c r="W208" s="63" t="e">
        <f>VLOOKUP($V208,Herbicide_Data!$A$1:$L$17,9)</f>
        <v>#N/A</v>
      </c>
      <c r="X208" s="62" t="e">
        <f>VLOOKUP($V208,Herbicide_Data!$A$1:$L$17,12)</f>
        <v>#N/A</v>
      </c>
      <c r="Y208" s="16" t="e">
        <f t="shared" si="41"/>
        <v>#N/A</v>
      </c>
      <c r="Z208" s="15"/>
      <c r="AA208" s="13"/>
      <c r="AB208" s="17"/>
      <c r="AC208" s="3"/>
      <c r="AD208" s="10"/>
      <c r="AE208" s="3"/>
      <c r="AF208" s="10"/>
      <c r="AG208" s="15"/>
      <c r="AH208" s="62" t="str">
        <f t="shared" si="36"/>
        <v/>
      </c>
      <c r="AI208" s="62" t="e">
        <f>VLOOKUP($AH208,Herbicide_Data!$A$1:$Q$61,13)</f>
        <v>#N/A</v>
      </c>
      <c r="AJ208" s="16" t="e">
        <f t="shared" si="42"/>
        <v>#N/A</v>
      </c>
      <c r="AK208" s="3"/>
      <c r="AL208" s="3"/>
      <c r="AM208" s="3"/>
      <c r="AN208" s="3"/>
      <c r="AO208" s="3"/>
      <c r="AP208" s="3"/>
      <c r="AQ208" s="18"/>
      <c r="AR208" s="19"/>
      <c r="AS208" s="19"/>
      <c r="AT208" s="20"/>
      <c r="AU208" s="20"/>
      <c r="AV208" s="21"/>
      <c r="AW208" s="22"/>
      <c r="AX208" s="19"/>
      <c r="AY208" s="19"/>
      <c r="AZ208" s="19"/>
      <c r="BA208" s="23"/>
      <c r="BB208" s="19"/>
      <c r="BC208" s="19"/>
      <c r="BD208" s="19"/>
    </row>
    <row r="209" spans="1:56">
      <c r="A209" s="13"/>
      <c r="B209" s="11"/>
      <c r="C209" s="12"/>
      <c r="D209" s="12">
        <f t="shared" si="37"/>
        <v>2.0833299999999999E-2</v>
      </c>
      <c r="E209" s="10"/>
      <c r="F209" s="10" t="str">
        <f>IFERROR(VLOOKUP(E209,Data!A$2:B$5,2,TRUE), "")</f>
        <v/>
      </c>
      <c r="G209" s="3"/>
      <c r="H209" s="13" t="str">
        <f>IFERROR(VLOOKUP(A209,Customer_Data!$A$1:$P$114,8,TRUE),"")</f>
        <v/>
      </c>
      <c r="I209" s="13"/>
      <c r="J209" s="3" t="str">
        <f t="shared" si="43"/>
        <v/>
      </c>
      <c r="K209" s="62" t="e">
        <f>(VLOOKUP($J209,Herbicide_Data!$A$1:$L$61,9,TRUE))</f>
        <v>#N/A</v>
      </c>
      <c r="L209" s="62" t="e">
        <f>VLOOKUP($J209,Herbicide_Data!$A$1:$L$61,12,TRUE)</f>
        <v>#N/A</v>
      </c>
      <c r="M209" s="16" t="e">
        <f t="shared" si="38"/>
        <v>#N/A</v>
      </c>
      <c r="N209" s="62" t="str">
        <f t="shared" si="44"/>
        <v/>
      </c>
      <c r="O209" s="63" t="e">
        <f>VLOOKUP($N209,Herbicide_Data!$A$1:$L$61,9)</f>
        <v>#N/A</v>
      </c>
      <c r="P209" s="62" t="e">
        <f>VLOOKUP($N209,Herbicide_Data!$A$1:$P$61,13)</f>
        <v>#N/A</v>
      </c>
      <c r="Q209" s="16" t="e">
        <f t="shared" si="39"/>
        <v>#N/A</v>
      </c>
      <c r="R209" s="62" t="str">
        <f t="shared" si="45"/>
        <v/>
      </c>
      <c r="S209" s="63" t="e">
        <f>VLOOKUP($R209,Herbicide_Data!$A$1:$L$61,9)</f>
        <v>#N/A</v>
      </c>
      <c r="T209" s="62" t="e">
        <f>VLOOKUP($R209,Herbicide_Data!$A$1:$Q$61,13)</f>
        <v>#N/A</v>
      </c>
      <c r="U209" s="16" t="e">
        <f t="shared" si="40"/>
        <v>#N/A</v>
      </c>
      <c r="V209" s="62" t="b">
        <f t="shared" si="46"/>
        <v>0</v>
      </c>
      <c r="W209" s="63" t="e">
        <f>VLOOKUP($V209,Herbicide_Data!$A$1:$L$17,9)</f>
        <v>#N/A</v>
      </c>
      <c r="X209" s="62" t="e">
        <f>VLOOKUP($V209,Herbicide_Data!$A$1:$L$17,12)</f>
        <v>#N/A</v>
      </c>
      <c r="Y209" s="16" t="e">
        <f t="shared" si="41"/>
        <v>#N/A</v>
      </c>
      <c r="Z209" s="15"/>
      <c r="AA209" s="13"/>
      <c r="AB209" s="17"/>
      <c r="AC209" s="3"/>
      <c r="AD209" s="10"/>
      <c r="AE209" s="3"/>
      <c r="AF209" s="10"/>
      <c r="AG209" s="15"/>
      <c r="AH209" s="62" t="str">
        <f t="shared" si="36"/>
        <v/>
      </c>
      <c r="AI209" s="62" t="e">
        <f>VLOOKUP($AH209,Herbicide_Data!$A$1:$Q$61,13)</f>
        <v>#N/A</v>
      </c>
      <c r="AJ209" s="16" t="e">
        <f t="shared" si="42"/>
        <v>#N/A</v>
      </c>
      <c r="AK209" s="3"/>
      <c r="AL209" s="3"/>
      <c r="AM209" s="3"/>
      <c r="AN209" s="3"/>
      <c r="AO209" s="3"/>
      <c r="AP209" s="3"/>
      <c r="AQ209" s="18"/>
      <c r="AR209" s="19"/>
      <c r="AS209" s="19"/>
      <c r="AT209" s="20"/>
      <c r="AU209" s="20"/>
      <c r="AV209" s="21"/>
      <c r="AW209" s="22"/>
      <c r="AX209" s="19"/>
      <c r="AY209" s="19"/>
      <c r="AZ209" s="19"/>
      <c r="BA209" s="23"/>
      <c r="BB209" s="19"/>
      <c r="BC209" s="19"/>
      <c r="BD209" s="19"/>
    </row>
    <row r="210" spans="1:56">
      <c r="A210" s="13"/>
      <c r="B210" s="11"/>
      <c r="C210" s="12"/>
      <c r="D210" s="12">
        <f t="shared" si="37"/>
        <v>2.0833299999999999E-2</v>
      </c>
      <c r="E210" s="10"/>
      <c r="F210" s="10" t="str">
        <f>IFERROR(VLOOKUP(E210,Data!A$2:B$5,2,TRUE), "")</f>
        <v/>
      </c>
      <c r="G210" s="3"/>
      <c r="H210" s="13" t="str">
        <f>IFERROR(VLOOKUP(A210,Customer_Data!$A$1:$P$114,8,TRUE),"")</f>
        <v/>
      </c>
      <c r="I210" s="13"/>
      <c r="J210" s="3" t="str">
        <f t="shared" si="43"/>
        <v/>
      </c>
      <c r="K210" s="62" t="e">
        <f>(VLOOKUP($J210,Herbicide_Data!$A$1:$L$61,9,TRUE))</f>
        <v>#N/A</v>
      </c>
      <c r="L210" s="62" t="e">
        <f>VLOOKUP($J210,Herbicide_Data!$A$1:$L$61,12,TRUE)</f>
        <v>#N/A</v>
      </c>
      <c r="M210" s="16" t="e">
        <f t="shared" si="38"/>
        <v>#N/A</v>
      </c>
      <c r="N210" s="62" t="str">
        <f t="shared" si="44"/>
        <v/>
      </c>
      <c r="O210" s="63" t="e">
        <f>VLOOKUP($N210,Herbicide_Data!$A$1:$L$61,9)</f>
        <v>#N/A</v>
      </c>
      <c r="P210" s="62" t="e">
        <f>VLOOKUP($N210,Herbicide_Data!$A$1:$P$61,13)</f>
        <v>#N/A</v>
      </c>
      <c r="Q210" s="16" t="e">
        <f t="shared" si="39"/>
        <v>#N/A</v>
      </c>
      <c r="R210" s="62" t="str">
        <f t="shared" si="45"/>
        <v/>
      </c>
      <c r="S210" s="63" t="e">
        <f>VLOOKUP($R210,Herbicide_Data!$A$1:$L$61,9)</f>
        <v>#N/A</v>
      </c>
      <c r="T210" s="62" t="e">
        <f>VLOOKUP($R210,Herbicide_Data!$A$1:$Q$61,13)</f>
        <v>#N/A</v>
      </c>
      <c r="U210" s="16" t="e">
        <f t="shared" si="40"/>
        <v>#N/A</v>
      </c>
      <c r="V210" s="62" t="b">
        <f t="shared" si="46"/>
        <v>0</v>
      </c>
      <c r="W210" s="63" t="e">
        <f>VLOOKUP($V210,Herbicide_Data!$A$1:$L$17,9)</f>
        <v>#N/A</v>
      </c>
      <c r="X210" s="62" t="e">
        <f>VLOOKUP($V210,Herbicide_Data!$A$1:$L$17,12)</f>
        <v>#N/A</v>
      </c>
      <c r="Y210" s="16" t="e">
        <f t="shared" si="41"/>
        <v>#N/A</v>
      </c>
      <c r="Z210" s="15"/>
      <c r="AA210" s="13"/>
      <c r="AB210" s="17"/>
      <c r="AC210" s="3"/>
      <c r="AD210" s="10"/>
      <c r="AE210" s="3"/>
      <c r="AF210" s="10"/>
      <c r="AG210" s="15"/>
      <c r="AH210" s="62" t="str">
        <f t="shared" si="36"/>
        <v/>
      </c>
      <c r="AI210" s="62" t="e">
        <f>VLOOKUP($AH210,Herbicide_Data!$A$1:$Q$61,13)</f>
        <v>#N/A</v>
      </c>
      <c r="AJ210" s="16" t="e">
        <f t="shared" si="42"/>
        <v>#N/A</v>
      </c>
      <c r="AK210" s="3"/>
      <c r="AL210" s="3"/>
      <c r="AM210" s="3"/>
      <c r="AN210" s="3"/>
      <c r="AO210" s="3"/>
      <c r="AP210" s="3"/>
      <c r="AQ210" s="18"/>
      <c r="AR210" s="19"/>
      <c r="AS210" s="19"/>
      <c r="AT210" s="20"/>
      <c r="AU210" s="20"/>
      <c r="AV210" s="21"/>
      <c r="AW210" s="22"/>
      <c r="AX210" s="19"/>
      <c r="AY210" s="19"/>
      <c r="AZ210" s="19"/>
      <c r="BA210" s="23"/>
      <c r="BB210" s="19"/>
      <c r="BC210" s="19"/>
      <c r="BD210" s="19"/>
    </row>
    <row r="211" spans="1:56">
      <c r="A211" s="13"/>
      <c r="B211" s="11"/>
      <c r="C211" s="12"/>
      <c r="D211" s="12">
        <f t="shared" si="37"/>
        <v>2.0833299999999999E-2</v>
      </c>
      <c r="E211" s="10"/>
      <c r="F211" s="10" t="str">
        <f>IFERROR(VLOOKUP(E211,Data!A$2:B$5,2,TRUE), "")</f>
        <v/>
      </c>
      <c r="G211" s="3"/>
      <c r="H211" s="13" t="str">
        <f>IFERROR(VLOOKUP(A211,Customer_Data!$A$1:$P$114,8,TRUE),"")</f>
        <v/>
      </c>
      <c r="I211" s="13"/>
      <c r="J211" s="3" t="str">
        <f t="shared" si="43"/>
        <v/>
      </c>
      <c r="K211" s="62" t="e">
        <f>(VLOOKUP($J211,Herbicide_Data!$A$1:$L$61,9,TRUE))</f>
        <v>#N/A</v>
      </c>
      <c r="L211" s="62" t="e">
        <f>VLOOKUP($J211,Herbicide_Data!$A$1:$L$61,12,TRUE)</f>
        <v>#N/A</v>
      </c>
      <c r="M211" s="16" t="e">
        <f t="shared" si="38"/>
        <v>#N/A</v>
      </c>
      <c r="N211" s="62" t="str">
        <f t="shared" si="44"/>
        <v/>
      </c>
      <c r="O211" s="63" t="e">
        <f>VLOOKUP($N211,Herbicide_Data!$A$1:$L$61,9)</f>
        <v>#N/A</v>
      </c>
      <c r="P211" s="62" t="e">
        <f>VLOOKUP($N211,Herbicide_Data!$A$1:$P$61,13)</f>
        <v>#N/A</v>
      </c>
      <c r="Q211" s="16" t="e">
        <f t="shared" si="39"/>
        <v>#N/A</v>
      </c>
      <c r="R211" s="62" t="str">
        <f t="shared" si="45"/>
        <v/>
      </c>
      <c r="S211" s="63" t="e">
        <f>VLOOKUP($R211,Herbicide_Data!$A$1:$L$61,9)</f>
        <v>#N/A</v>
      </c>
      <c r="T211" s="62" t="e">
        <f>VLOOKUP($R211,Herbicide_Data!$A$1:$Q$61,13)</f>
        <v>#N/A</v>
      </c>
      <c r="U211" s="16" t="e">
        <f t="shared" si="40"/>
        <v>#N/A</v>
      </c>
      <c r="V211" s="62" t="b">
        <f t="shared" si="46"/>
        <v>0</v>
      </c>
      <c r="W211" s="63" t="e">
        <f>VLOOKUP($V211,Herbicide_Data!$A$1:$L$17,9)</f>
        <v>#N/A</v>
      </c>
      <c r="X211" s="62" t="e">
        <f>VLOOKUP($V211,Herbicide_Data!$A$1:$L$17,12)</f>
        <v>#N/A</v>
      </c>
      <c r="Y211" s="16" t="e">
        <f t="shared" si="41"/>
        <v>#N/A</v>
      </c>
      <c r="Z211" s="15"/>
      <c r="AA211" s="13"/>
      <c r="AB211" s="17"/>
      <c r="AC211" s="3"/>
      <c r="AD211" s="10"/>
      <c r="AE211" s="3"/>
      <c r="AF211" s="10"/>
      <c r="AG211" s="15"/>
      <c r="AH211" s="62" t="str">
        <f t="shared" si="36"/>
        <v/>
      </c>
      <c r="AI211" s="62" t="e">
        <f>VLOOKUP($AH211,Herbicide_Data!$A$1:$Q$61,13)</f>
        <v>#N/A</v>
      </c>
      <c r="AJ211" s="16" t="e">
        <f t="shared" si="42"/>
        <v>#N/A</v>
      </c>
      <c r="AK211" s="3"/>
      <c r="AL211" s="3"/>
      <c r="AM211" s="3"/>
      <c r="AN211" s="3"/>
      <c r="AO211" s="3"/>
      <c r="AP211" s="3"/>
      <c r="AQ211" s="18"/>
      <c r="AR211" s="19"/>
      <c r="AS211" s="19"/>
      <c r="AT211" s="20"/>
      <c r="AU211" s="20"/>
      <c r="AV211" s="21"/>
      <c r="AW211" s="22"/>
      <c r="AX211" s="19"/>
      <c r="AY211" s="19"/>
      <c r="AZ211" s="19"/>
      <c r="BA211" s="23"/>
      <c r="BB211" s="19"/>
      <c r="BC211" s="19"/>
      <c r="BD211" s="19"/>
    </row>
    <row r="212" spans="1:56">
      <c r="A212" s="13"/>
      <c r="B212" s="11"/>
      <c r="C212" s="12"/>
      <c r="D212" s="12">
        <f t="shared" si="37"/>
        <v>2.0833299999999999E-2</v>
      </c>
      <c r="E212" s="10"/>
      <c r="F212" s="10" t="str">
        <f>IFERROR(VLOOKUP(E212,Data!A$2:B$5,2,TRUE), "")</f>
        <v/>
      </c>
      <c r="G212" s="3"/>
      <c r="H212" s="13" t="str">
        <f>IFERROR(VLOOKUP(A212,Customer_Data!$A$1:$P$114,8,TRUE),"")</f>
        <v/>
      </c>
      <c r="I212" s="13"/>
      <c r="J212" s="3" t="str">
        <f t="shared" si="43"/>
        <v/>
      </c>
      <c r="K212" s="62" t="e">
        <f>(VLOOKUP($J212,Herbicide_Data!$A$1:$L$61,9,TRUE))</f>
        <v>#N/A</v>
      </c>
      <c r="L212" s="62" t="e">
        <f>VLOOKUP($J212,Herbicide_Data!$A$1:$L$61,12,TRUE)</f>
        <v>#N/A</v>
      </c>
      <c r="M212" s="16" t="e">
        <f t="shared" si="38"/>
        <v>#N/A</v>
      </c>
      <c r="N212" s="62" t="str">
        <f t="shared" si="44"/>
        <v/>
      </c>
      <c r="O212" s="63" t="e">
        <f>VLOOKUP($N212,Herbicide_Data!$A$1:$L$61,9)</f>
        <v>#N/A</v>
      </c>
      <c r="P212" s="62" t="e">
        <f>VLOOKUP($N212,Herbicide_Data!$A$1:$P$61,13)</f>
        <v>#N/A</v>
      </c>
      <c r="Q212" s="16" t="e">
        <f t="shared" si="39"/>
        <v>#N/A</v>
      </c>
      <c r="R212" s="62" t="str">
        <f t="shared" si="45"/>
        <v/>
      </c>
      <c r="S212" s="63" t="e">
        <f>VLOOKUP($R212,Herbicide_Data!$A$1:$L$61,9)</f>
        <v>#N/A</v>
      </c>
      <c r="T212" s="62" t="e">
        <f>VLOOKUP($R212,Herbicide_Data!$A$1:$Q$61,13)</f>
        <v>#N/A</v>
      </c>
      <c r="U212" s="16" t="e">
        <f t="shared" si="40"/>
        <v>#N/A</v>
      </c>
      <c r="V212" s="62" t="b">
        <f t="shared" si="46"/>
        <v>0</v>
      </c>
      <c r="W212" s="63" t="e">
        <f>VLOOKUP($V212,Herbicide_Data!$A$1:$L$17,9)</f>
        <v>#N/A</v>
      </c>
      <c r="X212" s="62" t="e">
        <f>VLOOKUP($V212,Herbicide_Data!$A$1:$L$17,12)</f>
        <v>#N/A</v>
      </c>
      <c r="Y212" s="16" t="e">
        <f t="shared" si="41"/>
        <v>#N/A</v>
      </c>
      <c r="Z212" s="15"/>
      <c r="AA212" s="13"/>
      <c r="AB212" s="17"/>
      <c r="AC212" s="3"/>
      <c r="AD212" s="10"/>
      <c r="AE212" s="3"/>
      <c r="AF212" s="10"/>
      <c r="AG212" s="15"/>
      <c r="AH212" s="62" t="str">
        <f t="shared" si="36"/>
        <v/>
      </c>
      <c r="AI212" s="62" t="e">
        <f>VLOOKUP($AH212,Herbicide_Data!$A$1:$Q$61,13)</f>
        <v>#N/A</v>
      </c>
      <c r="AJ212" s="16" t="e">
        <f t="shared" si="42"/>
        <v>#N/A</v>
      </c>
      <c r="AK212" s="3"/>
      <c r="AL212" s="3"/>
      <c r="AM212" s="3"/>
      <c r="AN212" s="3"/>
      <c r="AO212" s="3"/>
      <c r="AP212" s="3"/>
      <c r="AQ212" s="18"/>
      <c r="AR212" s="19"/>
      <c r="AS212" s="19"/>
      <c r="AT212" s="20"/>
      <c r="AU212" s="20"/>
      <c r="AV212" s="21"/>
      <c r="AW212" s="22"/>
      <c r="AX212" s="19"/>
      <c r="AY212" s="19"/>
      <c r="AZ212" s="19"/>
      <c r="BA212" s="23"/>
      <c r="BB212" s="19"/>
      <c r="BC212" s="19"/>
      <c r="BD212" s="19"/>
    </row>
    <row r="213" spans="1:56">
      <c r="A213" s="13"/>
      <c r="B213" s="11"/>
      <c r="C213" s="12"/>
      <c r="D213" s="12">
        <f t="shared" si="37"/>
        <v>2.0833299999999999E-2</v>
      </c>
      <c r="E213" s="10"/>
      <c r="F213" s="10" t="str">
        <f>IFERROR(VLOOKUP(E213,Data!A$2:B$5,2,TRUE), "")</f>
        <v/>
      </c>
      <c r="G213" s="3"/>
      <c r="H213" s="13" t="str">
        <f>IFERROR(VLOOKUP(A213,Customer_Data!$A$1:$P$114,8,TRUE),"")</f>
        <v/>
      </c>
      <c r="I213" s="13"/>
      <c r="J213" s="3" t="str">
        <f t="shared" si="43"/>
        <v/>
      </c>
      <c r="K213" s="62" t="e">
        <f>(VLOOKUP($J213,Herbicide_Data!$A$1:$L$61,9,TRUE))</f>
        <v>#N/A</v>
      </c>
      <c r="L213" s="62" t="e">
        <f>VLOOKUP($J213,Herbicide_Data!$A$1:$L$61,12,TRUE)</f>
        <v>#N/A</v>
      </c>
      <c r="M213" s="16" t="e">
        <f t="shared" si="38"/>
        <v>#N/A</v>
      </c>
      <c r="N213" s="62" t="str">
        <f t="shared" si="44"/>
        <v/>
      </c>
      <c r="O213" s="63" t="e">
        <f>VLOOKUP($N213,Herbicide_Data!$A$1:$L$61,9)</f>
        <v>#N/A</v>
      </c>
      <c r="P213" s="62" t="e">
        <f>VLOOKUP($N213,Herbicide_Data!$A$1:$P$61,13)</f>
        <v>#N/A</v>
      </c>
      <c r="Q213" s="16" t="e">
        <f t="shared" si="39"/>
        <v>#N/A</v>
      </c>
      <c r="R213" s="62" t="str">
        <f t="shared" si="45"/>
        <v/>
      </c>
      <c r="S213" s="63" t="e">
        <f>VLOOKUP($R213,Herbicide_Data!$A$1:$L$61,9)</f>
        <v>#N/A</v>
      </c>
      <c r="T213" s="62" t="e">
        <f>VLOOKUP($R213,Herbicide_Data!$A$1:$Q$61,13)</f>
        <v>#N/A</v>
      </c>
      <c r="U213" s="16" t="e">
        <f t="shared" si="40"/>
        <v>#N/A</v>
      </c>
      <c r="V213" s="62" t="b">
        <f t="shared" si="46"/>
        <v>0</v>
      </c>
      <c r="W213" s="63" t="e">
        <f>VLOOKUP($V213,Herbicide_Data!$A$1:$L$17,9)</f>
        <v>#N/A</v>
      </c>
      <c r="X213" s="62" t="e">
        <f>VLOOKUP($V213,Herbicide_Data!$A$1:$L$17,12)</f>
        <v>#N/A</v>
      </c>
      <c r="Y213" s="16" t="e">
        <f t="shared" si="41"/>
        <v>#N/A</v>
      </c>
      <c r="Z213" s="15"/>
      <c r="AA213" s="13"/>
      <c r="AB213" s="17"/>
      <c r="AC213" s="3"/>
      <c r="AD213" s="10"/>
      <c r="AE213" s="3"/>
      <c r="AF213" s="10"/>
      <c r="AG213" s="15"/>
      <c r="AH213" s="62" t="str">
        <f t="shared" si="36"/>
        <v/>
      </c>
      <c r="AI213" s="62" t="e">
        <f>VLOOKUP($AH213,Herbicide_Data!$A$1:$Q$61,13)</f>
        <v>#N/A</v>
      </c>
      <c r="AJ213" s="16" t="e">
        <f t="shared" si="42"/>
        <v>#N/A</v>
      </c>
      <c r="AK213" s="3"/>
      <c r="AL213" s="3"/>
      <c r="AM213" s="3"/>
      <c r="AN213" s="3"/>
      <c r="AO213" s="3"/>
      <c r="AP213" s="3"/>
      <c r="AQ213" s="18"/>
      <c r="AR213" s="19"/>
      <c r="AS213" s="19"/>
      <c r="AT213" s="20"/>
      <c r="AU213" s="20"/>
      <c r="AV213" s="21"/>
      <c r="AW213" s="22"/>
      <c r="AX213" s="19"/>
      <c r="AY213" s="19"/>
      <c r="AZ213" s="19"/>
      <c r="BA213" s="23"/>
      <c r="BB213" s="19"/>
      <c r="BC213" s="19"/>
      <c r="BD213" s="19"/>
    </row>
    <row r="214" spans="1:56">
      <c r="A214" s="13"/>
      <c r="B214" s="11"/>
      <c r="C214" s="12"/>
      <c r="D214" s="12">
        <f t="shared" si="37"/>
        <v>2.0833299999999999E-2</v>
      </c>
      <c r="E214" s="10"/>
      <c r="F214" s="10" t="str">
        <f>IFERROR(VLOOKUP(E214,Data!A$2:B$5,2,TRUE), "")</f>
        <v/>
      </c>
      <c r="G214" s="3"/>
      <c r="H214" s="13" t="str">
        <f>IFERROR(VLOOKUP(A214,Customer_Data!$A$1:$P$114,8,TRUE),"")</f>
        <v/>
      </c>
      <c r="I214" s="13"/>
      <c r="J214" s="3" t="str">
        <f t="shared" si="43"/>
        <v/>
      </c>
      <c r="K214" s="62" t="e">
        <f>(VLOOKUP($J214,Herbicide_Data!$A$1:$L$61,9,TRUE))</f>
        <v>#N/A</v>
      </c>
      <c r="L214" s="62" t="e">
        <f>VLOOKUP($J214,Herbicide_Data!$A$1:$L$61,12,TRUE)</f>
        <v>#N/A</v>
      </c>
      <c r="M214" s="16" t="e">
        <f t="shared" si="38"/>
        <v>#N/A</v>
      </c>
      <c r="N214" s="62" t="str">
        <f t="shared" si="44"/>
        <v/>
      </c>
      <c r="O214" s="63" t="e">
        <f>VLOOKUP($N214,Herbicide_Data!$A$1:$L$61,9)</f>
        <v>#N/A</v>
      </c>
      <c r="P214" s="62" t="e">
        <f>VLOOKUP($N214,Herbicide_Data!$A$1:$P$61,13)</f>
        <v>#N/A</v>
      </c>
      <c r="Q214" s="16" t="e">
        <f t="shared" si="39"/>
        <v>#N/A</v>
      </c>
      <c r="R214" s="62" t="str">
        <f t="shared" si="45"/>
        <v/>
      </c>
      <c r="S214" s="63" t="e">
        <f>VLOOKUP($R214,Herbicide_Data!$A$1:$L$61,9)</f>
        <v>#N/A</v>
      </c>
      <c r="T214" s="62" t="e">
        <f>VLOOKUP($R214,Herbicide_Data!$A$1:$Q$61,13)</f>
        <v>#N/A</v>
      </c>
      <c r="U214" s="16" t="e">
        <f t="shared" si="40"/>
        <v>#N/A</v>
      </c>
      <c r="V214" s="62" t="b">
        <f t="shared" si="46"/>
        <v>0</v>
      </c>
      <c r="W214" s="63" t="e">
        <f>VLOOKUP($V214,Herbicide_Data!$A$1:$L$17,9)</f>
        <v>#N/A</v>
      </c>
      <c r="X214" s="62" t="e">
        <f>VLOOKUP($V214,Herbicide_Data!$A$1:$L$17,12)</f>
        <v>#N/A</v>
      </c>
      <c r="Y214" s="16" t="e">
        <f t="shared" si="41"/>
        <v>#N/A</v>
      </c>
      <c r="Z214" s="15"/>
      <c r="AA214" s="13"/>
      <c r="AB214" s="17"/>
      <c r="AC214" s="3"/>
      <c r="AD214" s="10"/>
      <c r="AE214" s="3"/>
      <c r="AF214" s="10"/>
      <c r="AG214" s="15"/>
      <c r="AH214" s="62" t="str">
        <f t="shared" si="36"/>
        <v/>
      </c>
      <c r="AI214" s="62" t="e">
        <f>VLOOKUP($AH214,Herbicide_Data!$A$1:$Q$61,13)</f>
        <v>#N/A</v>
      </c>
      <c r="AJ214" s="16" t="e">
        <f t="shared" si="42"/>
        <v>#N/A</v>
      </c>
      <c r="AK214" s="3"/>
      <c r="AL214" s="3"/>
      <c r="AM214" s="3"/>
      <c r="AN214" s="3"/>
      <c r="AO214" s="3"/>
      <c r="AP214" s="3"/>
      <c r="AQ214" s="18"/>
      <c r="AR214" s="19"/>
      <c r="AS214" s="19"/>
      <c r="AT214" s="20"/>
      <c r="AU214" s="20"/>
      <c r="AV214" s="21"/>
      <c r="AW214" s="22"/>
      <c r="AX214" s="19"/>
      <c r="AY214" s="19"/>
      <c r="AZ214" s="19"/>
      <c r="BA214" s="23"/>
      <c r="BB214" s="19"/>
      <c r="BC214" s="19"/>
      <c r="BD214" s="19"/>
    </row>
    <row r="215" spans="1:56">
      <c r="A215" s="13"/>
      <c r="B215" s="11"/>
      <c r="C215" s="12"/>
      <c r="D215" s="12">
        <f t="shared" si="37"/>
        <v>2.0833299999999999E-2</v>
      </c>
      <c r="E215" s="10"/>
      <c r="F215" s="10" t="str">
        <f>IFERROR(VLOOKUP(E215,Data!A$2:B$5,2,TRUE), "")</f>
        <v/>
      </c>
      <c r="G215" s="3"/>
      <c r="H215" s="13" t="str">
        <f>IFERROR(VLOOKUP(A215,Customer_Data!$A$1:$P$114,8,TRUE),"")</f>
        <v/>
      </c>
      <c r="I215" s="13"/>
      <c r="J215" s="3" t="str">
        <f t="shared" si="43"/>
        <v/>
      </c>
      <c r="K215" s="62" t="e">
        <f>(VLOOKUP($J215,Herbicide_Data!$A$1:$L$61,9,TRUE))</f>
        <v>#N/A</v>
      </c>
      <c r="L215" s="62" t="e">
        <f>VLOOKUP($J215,Herbicide_Data!$A$1:$L$61,12,TRUE)</f>
        <v>#N/A</v>
      </c>
      <c r="M215" s="16" t="e">
        <f t="shared" si="38"/>
        <v>#N/A</v>
      </c>
      <c r="N215" s="62" t="str">
        <f t="shared" si="44"/>
        <v/>
      </c>
      <c r="O215" s="63" t="e">
        <f>VLOOKUP($N215,Herbicide_Data!$A$1:$L$61,9)</f>
        <v>#N/A</v>
      </c>
      <c r="P215" s="62" t="e">
        <f>VLOOKUP($N215,Herbicide_Data!$A$1:$P$61,13)</f>
        <v>#N/A</v>
      </c>
      <c r="Q215" s="16" t="e">
        <f t="shared" si="39"/>
        <v>#N/A</v>
      </c>
      <c r="R215" s="62" t="str">
        <f t="shared" si="45"/>
        <v/>
      </c>
      <c r="S215" s="63" t="e">
        <f>VLOOKUP($R215,Herbicide_Data!$A$1:$L$61,9)</f>
        <v>#N/A</v>
      </c>
      <c r="T215" s="62" t="e">
        <f>VLOOKUP($R215,Herbicide_Data!$A$1:$Q$61,13)</f>
        <v>#N/A</v>
      </c>
      <c r="U215" s="16" t="e">
        <f t="shared" si="40"/>
        <v>#N/A</v>
      </c>
      <c r="V215" s="62" t="b">
        <f t="shared" si="46"/>
        <v>0</v>
      </c>
      <c r="W215" s="63" t="e">
        <f>VLOOKUP($V215,Herbicide_Data!$A$1:$L$17,9)</f>
        <v>#N/A</v>
      </c>
      <c r="X215" s="62" t="e">
        <f>VLOOKUP($V215,Herbicide_Data!$A$1:$L$17,12)</f>
        <v>#N/A</v>
      </c>
      <c r="Y215" s="16" t="e">
        <f t="shared" si="41"/>
        <v>#N/A</v>
      </c>
      <c r="Z215" s="15"/>
      <c r="AA215" s="13"/>
      <c r="AB215" s="17"/>
      <c r="AC215" s="3"/>
      <c r="AD215" s="10"/>
      <c r="AE215" s="3"/>
      <c r="AF215" s="10"/>
      <c r="AG215" s="15"/>
      <c r="AH215" s="62" t="str">
        <f t="shared" si="36"/>
        <v/>
      </c>
      <c r="AI215" s="62" t="e">
        <f>VLOOKUP($AH215,Herbicide_Data!$A$1:$Q$61,13)</f>
        <v>#N/A</v>
      </c>
      <c r="AJ215" s="16" t="e">
        <f t="shared" si="42"/>
        <v>#N/A</v>
      </c>
      <c r="AK215" s="3"/>
      <c r="AL215" s="3"/>
      <c r="AM215" s="3"/>
      <c r="AN215" s="3"/>
      <c r="AO215" s="3"/>
      <c r="AP215" s="3"/>
      <c r="AQ215" s="18"/>
      <c r="AR215" s="19"/>
      <c r="AS215" s="19"/>
      <c r="AT215" s="20"/>
      <c r="AU215" s="20"/>
      <c r="AV215" s="21"/>
      <c r="AW215" s="22"/>
      <c r="AX215" s="19"/>
      <c r="AY215" s="19"/>
      <c r="AZ215" s="19"/>
      <c r="BA215" s="23"/>
      <c r="BB215" s="19"/>
      <c r="BC215" s="19"/>
      <c r="BD215" s="19"/>
    </row>
    <row r="216" spans="1:56">
      <c r="A216" s="13"/>
      <c r="B216" s="11"/>
      <c r="C216" s="12"/>
      <c r="D216" s="12">
        <f t="shared" si="37"/>
        <v>2.0833299999999999E-2</v>
      </c>
      <c r="E216" s="10"/>
      <c r="F216" s="10" t="str">
        <f>IFERROR(VLOOKUP(E216,Data!A$2:B$5,2,TRUE), "")</f>
        <v/>
      </c>
      <c r="G216" s="3"/>
      <c r="H216" s="13" t="str">
        <f>IFERROR(VLOOKUP(A216,Customer_Data!$A$1:$P$114,8,TRUE),"")</f>
        <v/>
      </c>
      <c r="I216" s="13"/>
      <c r="J216" s="3" t="str">
        <f t="shared" si="43"/>
        <v/>
      </c>
      <c r="K216" s="62" t="e">
        <f>(VLOOKUP($J216,Herbicide_Data!$A$1:$L$61,9,TRUE))</f>
        <v>#N/A</v>
      </c>
      <c r="L216" s="62" t="e">
        <f>VLOOKUP($J216,Herbicide_Data!$A$1:$L$61,12,TRUE)</f>
        <v>#N/A</v>
      </c>
      <c r="M216" s="16" t="e">
        <f t="shared" si="38"/>
        <v>#N/A</v>
      </c>
      <c r="N216" s="62" t="str">
        <f t="shared" si="44"/>
        <v/>
      </c>
      <c r="O216" s="63" t="e">
        <f>VLOOKUP($N216,Herbicide_Data!$A$1:$L$61,9)</f>
        <v>#N/A</v>
      </c>
      <c r="P216" s="62" t="e">
        <f>VLOOKUP($N216,Herbicide_Data!$A$1:$P$61,13)</f>
        <v>#N/A</v>
      </c>
      <c r="Q216" s="16" t="e">
        <f t="shared" si="39"/>
        <v>#N/A</v>
      </c>
      <c r="R216" s="62" t="str">
        <f t="shared" si="45"/>
        <v/>
      </c>
      <c r="S216" s="63" t="e">
        <f>VLOOKUP($R216,Herbicide_Data!$A$1:$L$61,9)</f>
        <v>#N/A</v>
      </c>
      <c r="T216" s="62" t="e">
        <f>VLOOKUP($R216,Herbicide_Data!$A$1:$Q$61,13)</f>
        <v>#N/A</v>
      </c>
      <c r="U216" s="16" t="e">
        <f t="shared" si="40"/>
        <v>#N/A</v>
      </c>
      <c r="V216" s="62" t="b">
        <f t="shared" si="46"/>
        <v>0</v>
      </c>
      <c r="W216" s="63" t="e">
        <f>VLOOKUP($V216,Herbicide_Data!$A$1:$L$17,9)</f>
        <v>#N/A</v>
      </c>
      <c r="X216" s="62" t="e">
        <f>VLOOKUP($V216,Herbicide_Data!$A$1:$L$17,12)</f>
        <v>#N/A</v>
      </c>
      <c r="Y216" s="16" t="e">
        <f t="shared" si="41"/>
        <v>#N/A</v>
      </c>
      <c r="Z216" s="15"/>
      <c r="AA216" s="13"/>
      <c r="AB216" s="17"/>
      <c r="AC216" s="3"/>
      <c r="AD216" s="10"/>
      <c r="AE216" s="3"/>
      <c r="AF216" s="10"/>
      <c r="AG216" s="15"/>
      <c r="AH216" s="62" t="str">
        <f t="shared" si="36"/>
        <v/>
      </c>
      <c r="AI216" s="62" t="e">
        <f>VLOOKUP($AH216,Herbicide_Data!$A$1:$Q$61,13)</f>
        <v>#N/A</v>
      </c>
      <c r="AJ216" s="16" t="e">
        <f t="shared" si="42"/>
        <v>#N/A</v>
      </c>
      <c r="AK216" s="3"/>
      <c r="AL216" s="3"/>
      <c r="AM216" s="3"/>
      <c r="AN216" s="3"/>
      <c r="AO216" s="3"/>
      <c r="AP216" s="3"/>
      <c r="AQ216" s="18"/>
      <c r="AR216" s="19"/>
      <c r="AS216" s="19"/>
      <c r="AT216" s="20"/>
      <c r="AU216" s="20"/>
      <c r="AV216" s="21"/>
      <c r="AW216" s="22"/>
      <c r="AX216" s="19"/>
      <c r="AY216" s="19"/>
      <c r="AZ216" s="19"/>
      <c r="BA216" s="23"/>
      <c r="BB216" s="19"/>
      <c r="BC216" s="19"/>
      <c r="BD216" s="19"/>
    </row>
    <row r="217" spans="1:56">
      <c r="A217" s="13"/>
      <c r="B217" s="11"/>
      <c r="C217" s="12"/>
      <c r="D217" s="12">
        <f t="shared" si="37"/>
        <v>2.0833299999999999E-2</v>
      </c>
      <c r="E217" s="10"/>
      <c r="F217" s="10" t="str">
        <f>IFERROR(VLOOKUP(E217,Data!A$2:B$5,2,TRUE), "")</f>
        <v/>
      </c>
      <c r="G217" s="3"/>
      <c r="H217" s="13" t="str">
        <f>IFERROR(VLOOKUP(A217,Customer_Data!$A$1:$P$114,8,TRUE),"")</f>
        <v/>
      </c>
      <c r="I217" s="13"/>
      <c r="J217" s="3" t="str">
        <f t="shared" si="43"/>
        <v/>
      </c>
      <c r="K217" s="62" t="e">
        <f>(VLOOKUP($J217,Herbicide_Data!$A$1:$L$61,9,TRUE))</f>
        <v>#N/A</v>
      </c>
      <c r="L217" s="62" t="e">
        <f>VLOOKUP($J217,Herbicide_Data!$A$1:$L$61,12,TRUE)</f>
        <v>#N/A</v>
      </c>
      <c r="M217" s="16" t="e">
        <f t="shared" si="38"/>
        <v>#N/A</v>
      </c>
      <c r="N217" s="62" t="str">
        <f t="shared" si="44"/>
        <v/>
      </c>
      <c r="O217" s="63" t="e">
        <f>VLOOKUP($N217,Herbicide_Data!$A$1:$L$61,9)</f>
        <v>#N/A</v>
      </c>
      <c r="P217" s="62" t="e">
        <f>VLOOKUP($N217,Herbicide_Data!$A$1:$P$61,13)</f>
        <v>#N/A</v>
      </c>
      <c r="Q217" s="16" t="e">
        <f t="shared" si="39"/>
        <v>#N/A</v>
      </c>
      <c r="R217" s="62" t="str">
        <f t="shared" si="45"/>
        <v/>
      </c>
      <c r="S217" s="63" t="e">
        <f>VLOOKUP($R217,Herbicide_Data!$A$1:$L$61,9)</f>
        <v>#N/A</v>
      </c>
      <c r="T217" s="62" t="e">
        <f>VLOOKUP($R217,Herbicide_Data!$A$1:$Q$61,13)</f>
        <v>#N/A</v>
      </c>
      <c r="U217" s="16" t="e">
        <f t="shared" si="40"/>
        <v>#N/A</v>
      </c>
      <c r="V217" s="62" t="b">
        <f t="shared" si="46"/>
        <v>0</v>
      </c>
      <c r="W217" s="63" t="e">
        <f>VLOOKUP($V217,Herbicide_Data!$A$1:$L$17,9)</f>
        <v>#N/A</v>
      </c>
      <c r="X217" s="62" t="e">
        <f>VLOOKUP($V217,Herbicide_Data!$A$1:$L$17,12)</f>
        <v>#N/A</v>
      </c>
      <c r="Y217" s="16" t="e">
        <f t="shared" si="41"/>
        <v>#N/A</v>
      </c>
      <c r="Z217" s="15"/>
      <c r="AA217" s="13"/>
      <c r="AB217" s="17"/>
      <c r="AC217" s="3"/>
      <c r="AD217" s="10"/>
      <c r="AE217" s="3"/>
      <c r="AF217" s="10"/>
      <c r="AG217" s="15"/>
      <c r="AH217" s="62" t="str">
        <f t="shared" si="36"/>
        <v/>
      </c>
      <c r="AI217" s="62" t="e">
        <f>VLOOKUP($AH217,Herbicide_Data!$A$1:$Q$61,13)</f>
        <v>#N/A</v>
      </c>
      <c r="AJ217" s="16" t="e">
        <f t="shared" si="42"/>
        <v>#N/A</v>
      </c>
      <c r="AK217" s="3"/>
      <c r="AL217" s="3"/>
      <c r="AM217" s="3"/>
      <c r="AN217" s="3"/>
      <c r="AO217" s="3"/>
      <c r="AP217" s="3"/>
      <c r="AQ217" s="18"/>
      <c r="AR217" s="19"/>
      <c r="AS217" s="19"/>
      <c r="AT217" s="20"/>
      <c r="AU217" s="20"/>
      <c r="AV217" s="21"/>
      <c r="AW217" s="22"/>
      <c r="AX217" s="19"/>
      <c r="AY217" s="19"/>
      <c r="AZ217" s="19"/>
      <c r="BA217" s="23"/>
      <c r="BB217" s="19"/>
      <c r="BC217" s="19"/>
      <c r="BD217" s="19"/>
    </row>
    <row r="218" spans="1:56">
      <c r="A218" s="13"/>
      <c r="B218" s="11"/>
      <c r="C218" s="12"/>
      <c r="D218" s="12">
        <f t="shared" si="37"/>
        <v>2.0833299999999999E-2</v>
      </c>
      <c r="E218" s="10"/>
      <c r="F218" s="10" t="str">
        <f>IFERROR(VLOOKUP(E218,Data!A$2:B$5,2,TRUE), "")</f>
        <v/>
      </c>
      <c r="G218" s="3"/>
      <c r="H218" s="13" t="str">
        <f>IFERROR(VLOOKUP(A218,Customer_Data!$A$1:$P$114,8,TRUE),"")</f>
        <v/>
      </c>
      <c r="I218" s="13"/>
      <c r="J218" s="3" t="str">
        <f t="shared" si="43"/>
        <v/>
      </c>
      <c r="K218" s="62" t="e">
        <f>(VLOOKUP($J218,Herbicide_Data!$A$1:$L$61,9,TRUE))</f>
        <v>#N/A</v>
      </c>
      <c r="L218" s="62" t="e">
        <f>VLOOKUP($J218,Herbicide_Data!$A$1:$L$61,12,TRUE)</f>
        <v>#N/A</v>
      </c>
      <c r="M218" s="16" t="e">
        <f t="shared" si="38"/>
        <v>#N/A</v>
      </c>
      <c r="N218" s="62" t="str">
        <f t="shared" si="44"/>
        <v/>
      </c>
      <c r="O218" s="63" t="e">
        <f>VLOOKUP($N218,Herbicide_Data!$A$1:$L$61,9)</f>
        <v>#N/A</v>
      </c>
      <c r="P218" s="62" t="e">
        <f>VLOOKUP($N218,Herbicide_Data!$A$1:$P$61,13)</f>
        <v>#N/A</v>
      </c>
      <c r="Q218" s="16" t="e">
        <f t="shared" si="39"/>
        <v>#N/A</v>
      </c>
      <c r="R218" s="62" t="str">
        <f t="shared" si="45"/>
        <v/>
      </c>
      <c r="S218" s="63" t="e">
        <f>VLOOKUP($R218,Herbicide_Data!$A$1:$L$61,9)</f>
        <v>#N/A</v>
      </c>
      <c r="T218" s="62" t="e">
        <f>VLOOKUP($R218,Herbicide_Data!$A$1:$Q$61,13)</f>
        <v>#N/A</v>
      </c>
      <c r="U218" s="16" t="e">
        <f t="shared" si="40"/>
        <v>#N/A</v>
      </c>
      <c r="V218" s="62" t="b">
        <f t="shared" si="46"/>
        <v>0</v>
      </c>
      <c r="W218" s="63" t="e">
        <f>VLOOKUP($V218,Herbicide_Data!$A$1:$L$17,9)</f>
        <v>#N/A</v>
      </c>
      <c r="X218" s="62" t="e">
        <f>VLOOKUP($V218,Herbicide_Data!$A$1:$L$17,12)</f>
        <v>#N/A</v>
      </c>
      <c r="Y218" s="16" t="e">
        <f t="shared" si="41"/>
        <v>#N/A</v>
      </c>
      <c r="Z218" s="15"/>
      <c r="AA218" s="13"/>
      <c r="AB218" s="17"/>
      <c r="AC218" s="3"/>
      <c r="AD218" s="10"/>
      <c r="AE218" s="3"/>
      <c r="AF218" s="10"/>
      <c r="AG218" s="15"/>
      <c r="AH218" s="62" t="str">
        <f t="shared" si="36"/>
        <v/>
      </c>
      <c r="AI218" s="62" t="e">
        <f>VLOOKUP($AH218,Herbicide_Data!$A$1:$Q$61,13)</f>
        <v>#N/A</v>
      </c>
      <c r="AJ218" s="16" t="e">
        <f t="shared" si="42"/>
        <v>#N/A</v>
      </c>
      <c r="AK218" s="3"/>
      <c r="AL218" s="3"/>
      <c r="AM218" s="3"/>
      <c r="AN218" s="3"/>
      <c r="AO218" s="3"/>
      <c r="AP218" s="3"/>
      <c r="AQ218" s="18"/>
      <c r="AR218" s="19"/>
      <c r="AS218" s="19"/>
      <c r="AT218" s="20"/>
      <c r="AU218" s="20"/>
      <c r="AV218" s="21"/>
      <c r="AW218" s="22"/>
      <c r="AX218" s="19"/>
      <c r="AY218" s="19"/>
      <c r="AZ218" s="19"/>
      <c r="BA218" s="23"/>
      <c r="BB218" s="19"/>
      <c r="BC218" s="19"/>
      <c r="BD218" s="19"/>
    </row>
    <row r="219" spans="1:56">
      <c r="A219" s="13"/>
      <c r="B219" s="11"/>
      <c r="C219" s="12"/>
      <c r="D219" s="12">
        <f t="shared" si="37"/>
        <v>2.0833299999999999E-2</v>
      </c>
      <c r="E219" s="10"/>
      <c r="F219" s="10" t="str">
        <f>IFERROR(VLOOKUP(E219,Data!A$2:B$5,2,TRUE), "")</f>
        <v/>
      </c>
      <c r="G219" s="3"/>
      <c r="H219" s="13" t="str">
        <f>IFERROR(VLOOKUP(A219,Customer_Data!$A$1:$P$114,8,TRUE),"")</f>
        <v/>
      </c>
      <c r="I219" s="13"/>
      <c r="J219" s="3" t="str">
        <f t="shared" si="43"/>
        <v/>
      </c>
      <c r="K219" s="62" t="e">
        <f>(VLOOKUP($J219,Herbicide_Data!$A$1:$L$61,9,TRUE))</f>
        <v>#N/A</v>
      </c>
      <c r="L219" s="62" t="e">
        <f>VLOOKUP($J219,Herbicide_Data!$A$1:$L$61,12,TRUE)</f>
        <v>#N/A</v>
      </c>
      <c r="M219" s="16" t="e">
        <f t="shared" si="38"/>
        <v>#N/A</v>
      </c>
      <c r="N219" s="62" t="str">
        <f t="shared" si="44"/>
        <v/>
      </c>
      <c r="O219" s="63" t="e">
        <f>VLOOKUP($N219,Herbicide_Data!$A$1:$L$61,9)</f>
        <v>#N/A</v>
      </c>
      <c r="P219" s="62" t="e">
        <f>VLOOKUP($N219,Herbicide_Data!$A$1:$P$61,13)</f>
        <v>#N/A</v>
      </c>
      <c r="Q219" s="16" t="e">
        <f t="shared" si="39"/>
        <v>#N/A</v>
      </c>
      <c r="R219" s="62" t="str">
        <f t="shared" si="45"/>
        <v/>
      </c>
      <c r="S219" s="63" t="e">
        <f>VLOOKUP($R219,Herbicide_Data!$A$1:$L$61,9)</f>
        <v>#N/A</v>
      </c>
      <c r="T219" s="62" t="e">
        <f>VLOOKUP($R219,Herbicide_Data!$A$1:$Q$61,13)</f>
        <v>#N/A</v>
      </c>
      <c r="U219" s="16" t="e">
        <f t="shared" si="40"/>
        <v>#N/A</v>
      </c>
      <c r="V219" s="62" t="b">
        <f t="shared" si="46"/>
        <v>0</v>
      </c>
      <c r="W219" s="63" t="e">
        <f>VLOOKUP($V219,Herbicide_Data!$A$1:$L$17,9)</f>
        <v>#N/A</v>
      </c>
      <c r="X219" s="62" t="e">
        <f>VLOOKUP($V219,Herbicide_Data!$A$1:$L$17,12)</f>
        <v>#N/A</v>
      </c>
      <c r="Y219" s="16" t="e">
        <f t="shared" si="41"/>
        <v>#N/A</v>
      </c>
      <c r="Z219" s="15"/>
      <c r="AA219" s="13"/>
      <c r="AB219" s="17"/>
      <c r="AC219" s="3"/>
      <c r="AD219" s="10"/>
      <c r="AE219" s="3"/>
      <c r="AF219" s="10"/>
      <c r="AG219" s="15"/>
      <c r="AH219" s="62" t="str">
        <f t="shared" si="36"/>
        <v/>
      </c>
      <c r="AI219" s="62" t="e">
        <f>VLOOKUP($AH219,Herbicide_Data!$A$1:$Q$61,13)</f>
        <v>#N/A</v>
      </c>
      <c r="AJ219" s="16" t="e">
        <f t="shared" si="42"/>
        <v>#N/A</v>
      </c>
      <c r="AK219" s="3"/>
      <c r="AL219" s="3"/>
      <c r="AM219" s="3"/>
      <c r="AN219" s="3"/>
      <c r="AO219" s="3"/>
      <c r="AP219" s="3"/>
      <c r="AQ219" s="18"/>
      <c r="AR219" s="19"/>
      <c r="AS219" s="19"/>
      <c r="AT219" s="20"/>
      <c r="AU219" s="20"/>
      <c r="AV219" s="21"/>
      <c r="AW219" s="22"/>
      <c r="AX219" s="19"/>
      <c r="AY219" s="19"/>
      <c r="AZ219" s="19"/>
      <c r="BA219" s="23"/>
      <c r="BB219" s="19"/>
      <c r="BC219" s="19"/>
      <c r="BD219" s="19"/>
    </row>
    <row r="220" spans="1:56">
      <c r="A220" s="13"/>
      <c r="B220" s="11"/>
      <c r="C220" s="12"/>
      <c r="D220" s="12">
        <f t="shared" si="37"/>
        <v>2.0833299999999999E-2</v>
      </c>
      <c r="E220" s="10"/>
      <c r="F220" s="10" t="str">
        <f>IFERROR(VLOOKUP(E220,Data!A$2:B$5,2,TRUE), "")</f>
        <v/>
      </c>
      <c r="G220" s="3"/>
      <c r="H220" s="13" t="str">
        <f>IFERROR(VLOOKUP(A220,Customer_Data!$A$1:$P$114,8,TRUE),"")</f>
        <v/>
      </c>
      <c r="I220" s="13"/>
      <c r="J220" s="3" t="str">
        <f t="shared" si="43"/>
        <v/>
      </c>
      <c r="K220" s="62" t="e">
        <f>(VLOOKUP($J220,Herbicide_Data!$A$1:$L$61,9,TRUE))</f>
        <v>#N/A</v>
      </c>
      <c r="L220" s="62" t="e">
        <f>VLOOKUP($J220,Herbicide_Data!$A$1:$L$61,12,TRUE)</f>
        <v>#N/A</v>
      </c>
      <c r="M220" s="16" t="e">
        <f t="shared" si="38"/>
        <v>#N/A</v>
      </c>
      <c r="N220" s="62" t="str">
        <f t="shared" si="44"/>
        <v/>
      </c>
      <c r="O220" s="63" t="e">
        <f>VLOOKUP($N220,Herbicide_Data!$A$1:$L$61,9)</f>
        <v>#N/A</v>
      </c>
      <c r="P220" s="62" t="e">
        <f>VLOOKUP($N220,Herbicide_Data!$A$1:$P$61,13)</f>
        <v>#N/A</v>
      </c>
      <c r="Q220" s="16" t="e">
        <f t="shared" si="39"/>
        <v>#N/A</v>
      </c>
      <c r="R220" s="62" t="str">
        <f t="shared" si="45"/>
        <v/>
      </c>
      <c r="S220" s="63" t="e">
        <f>VLOOKUP($R220,Herbicide_Data!$A$1:$L$61,9)</f>
        <v>#N/A</v>
      </c>
      <c r="T220" s="62" t="e">
        <f>VLOOKUP($R220,Herbicide_Data!$A$1:$Q$61,13)</f>
        <v>#N/A</v>
      </c>
      <c r="U220" s="16" t="e">
        <f t="shared" si="40"/>
        <v>#N/A</v>
      </c>
      <c r="V220" s="62" t="b">
        <f t="shared" si="46"/>
        <v>0</v>
      </c>
      <c r="W220" s="63" t="e">
        <f>VLOOKUP($V220,Herbicide_Data!$A$1:$L$17,9)</f>
        <v>#N/A</v>
      </c>
      <c r="X220" s="62" t="e">
        <f>VLOOKUP($V220,Herbicide_Data!$A$1:$L$17,12)</f>
        <v>#N/A</v>
      </c>
      <c r="Y220" s="16" t="e">
        <f t="shared" si="41"/>
        <v>#N/A</v>
      </c>
      <c r="Z220" s="15"/>
      <c r="AA220" s="13"/>
      <c r="AB220" s="17"/>
      <c r="AC220" s="3"/>
      <c r="AD220" s="10"/>
      <c r="AE220" s="3"/>
      <c r="AF220" s="10"/>
      <c r="AG220" s="15"/>
      <c r="AH220" s="62" t="str">
        <f t="shared" si="36"/>
        <v/>
      </c>
      <c r="AI220" s="62" t="e">
        <f>VLOOKUP($AH220,Herbicide_Data!$A$1:$Q$61,13)</f>
        <v>#N/A</v>
      </c>
      <c r="AJ220" s="16" t="e">
        <f t="shared" si="42"/>
        <v>#N/A</v>
      </c>
      <c r="AK220" s="3"/>
      <c r="AL220" s="3"/>
      <c r="AM220" s="3"/>
      <c r="AN220" s="3"/>
      <c r="AO220" s="3"/>
      <c r="AP220" s="3"/>
      <c r="AQ220" s="18"/>
      <c r="AR220" s="19"/>
      <c r="AS220" s="19"/>
      <c r="AT220" s="20"/>
      <c r="AU220" s="20"/>
      <c r="AV220" s="21"/>
      <c r="AW220" s="22"/>
      <c r="AX220" s="19"/>
      <c r="AY220" s="19"/>
      <c r="AZ220" s="19"/>
      <c r="BA220" s="23"/>
      <c r="BB220" s="19"/>
      <c r="BC220" s="19"/>
      <c r="BD220" s="19"/>
    </row>
    <row r="221" spans="1:56">
      <c r="A221" s="13"/>
      <c r="B221" s="11"/>
      <c r="C221" s="12"/>
      <c r="D221" s="12">
        <f t="shared" si="37"/>
        <v>2.0833299999999999E-2</v>
      </c>
      <c r="E221" s="10"/>
      <c r="F221" s="10" t="str">
        <f>IFERROR(VLOOKUP(E221,Data!A$2:B$5,2,TRUE), "")</f>
        <v/>
      </c>
      <c r="G221" s="3"/>
      <c r="H221" s="13" t="str">
        <f>IFERROR(VLOOKUP(A221,Customer_Data!$A$1:$P$114,8,TRUE),"")</f>
        <v/>
      </c>
      <c r="I221" s="13"/>
      <c r="J221" s="3" t="str">
        <f t="shared" si="43"/>
        <v/>
      </c>
      <c r="K221" s="62" t="e">
        <f>(VLOOKUP($J221,Herbicide_Data!$A$1:$L$61,9,TRUE))</f>
        <v>#N/A</v>
      </c>
      <c r="L221" s="62" t="e">
        <f>VLOOKUP($J221,Herbicide_Data!$A$1:$L$61,12,TRUE)</f>
        <v>#N/A</v>
      </c>
      <c r="M221" s="16" t="e">
        <f t="shared" si="38"/>
        <v>#N/A</v>
      </c>
      <c r="N221" s="62" t="str">
        <f t="shared" si="44"/>
        <v/>
      </c>
      <c r="O221" s="63" t="e">
        <f>VLOOKUP($N221,Herbicide_Data!$A$1:$L$61,9)</f>
        <v>#N/A</v>
      </c>
      <c r="P221" s="62" t="e">
        <f>VLOOKUP($N221,Herbicide_Data!$A$1:$P$61,13)</f>
        <v>#N/A</v>
      </c>
      <c r="Q221" s="16" t="e">
        <f t="shared" si="39"/>
        <v>#N/A</v>
      </c>
      <c r="R221" s="62" t="str">
        <f t="shared" si="45"/>
        <v/>
      </c>
      <c r="S221" s="63" t="e">
        <f>VLOOKUP($R221,Herbicide_Data!$A$1:$L$61,9)</f>
        <v>#N/A</v>
      </c>
      <c r="T221" s="62" t="e">
        <f>VLOOKUP($R221,Herbicide_Data!$A$1:$Q$61,13)</f>
        <v>#N/A</v>
      </c>
      <c r="U221" s="16" t="e">
        <f t="shared" si="40"/>
        <v>#N/A</v>
      </c>
      <c r="V221" s="62" t="b">
        <f t="shared" si="46"/>
        <v>0</v>
      </c>
      <c r="W221" s="63" t="e">
        <f>VLOOKUP($V221,Herbicide_Data!$A$1:$L$17,9)</f>
        <v>#N/A</v>
      </c>
      <c r="X221" s="62" t="e">
        <f>VLOOKUP($V221,Herbicide_Data!$A$1:$L$17,12)</f>
        <v>#N/A</v>
      </c>
      <c r="Y221" s="16" t="e">
        <f t="shared" si="41"/>
        <v>#N/A</v>
      </c>
      <c r="Z221" s="15"/>
      <c r="AA221" s="13"/>
      <c r="AB221" s="17"/>
      <c r="AC221" s="3"/>
      <c r="AD221" s="10"/>
      <c r="AE221" s="3"/>
      <c r="AF221" s="10"/>
      <c r="AG221" s="15"/>
      <c r="AH221" s="62" t="str">
        <f t="shared" si="36"/>
        <v/>
      </c>
      <c r="AI221" s="62" t="e">
        <f>VLOOKUP($AH221,Herbicide_Data!$A$1:$Q$61,13)</f>
        <v>#N/A</v>
      </c>
      <c r="AJ221" s="16" t="e">
        <f t="shared" si="42"/>
        <v>#N/A</v>
      </c>
      <c r="AK221" s="3"/>
      <c r="AL221" s="3"/>
      <c r="AM221" s="3"/>
      <c r="AN221" s="3"/>
      <c r="AO221" s="3"/>
      <c r="AP221" s="3"/>
      <c r="AQ221" s="18"/>
      <c r="AR221" s="19"/>
      <c r="AS221" s="19"/>
      <c r="AT221" s="20"/>
      <c r="AU221" s="20"/>
      <c r="AV221" s="21"/>
      <c r="AW221" s="22"/>
      <c r="AX221" s="19"/>
      <c r="AY221" s="19"/>
      <c r="AZ221" s="19"/>
      <c r="BA221" s="23"/>
      <c r="BB221" s="19"/>
      <c r="BC221" s="19"/>
      <c r="BD221" s="19"/>
    </row>
    <row r="222" spans="1:56">
      <c r="A222" s="13"/>
      <c r="B222" s="11"/>
      <c r="C222" s="12"/>
      <c r="D222" s="12">
        <f t="shared" si="37"/>
        <v>2.0833299999999999E-2</v>
      </c>
      <c r="E222" s="10"/>
      <c r="F222" s="10" t="str">
        <f>IFERROR(VLOOKUP(E222,Data!A$2:B$5,2,TRUE), "")</f>
        <v/>
      </c>
      <c r="G222" s="3"/>
      <c r="H222" s="13" t="str">
        <f>IFERROR(VLOOKUP(A222,Customer_Data!$A$1:$P$114,8,TRUE),"")</f>
        <v/>
      </c>
      <c r="I222" s="13"/>
      <c r="J222" s="3" t="str">
        <f t="shared" si="43"/>
        <v/>
      </c>
      <c r="K222" s="62" t="e">
        <f>(VLOOKUP($J222,Herbicide_Data!$A$1:$L$61,9,TRUE))</f>
        <v>#N/A</v>
      </c>
      <c r="L222" s="62" t="e">
        <f>VLOOKUP($J222,Herbicide_Data!$A$1:$L$61,12,TRUE)</f>
        <v>#N/A</v>
      </c>
      <c r="M222" s="16" t="e">
        <f t="shared" si="38"/>
        <v>#N/A</v>
      </c>
      <c r="N222" s="62" t="str">
        <f t="shared" si="44"/>
        <v/>
      </c>
      <c r="O222" s="63" t="e">
        <f>VLOOKUP($N222,Herbicide_Data!$A$1:$L$61,9)</f>
        <v>#N/A</v>
      </c>
      <c r="P222" s="62" t="e">
        <f>VLOOKUP($N222,Herbicide_Data!$A$1:$P$61,13)</f>
        <v>#N/A</v>
      </c>
      <c r="Q222" s="16" t="e">
        <f t="shared" si="39"/>
        <v>#N/A</v>
      </c>
      <c r="R222" s="62" t="str">
        <f t="shared" si="45"/>
        <v/>
      </c>
      <c r="S222" s="63" t="e">
        <f>VLOOKUP($R222,Herbicide_Data!$A$1:$L$61,9)</f>
        <v>#N/A</v>
      </c>
      <c r="T222" s="62" t="e">
        <f>VLOOKUP($R222,Herbicide_Data!$A$1:$Q$61,13)</f>
        <v>#N/A</v>
      </c>
      <c r="U222" s="16" t="e">
        <f t="shared" si="40"/>
        <v>#N/A</v>
      </c>
      <c r="V222" s="62" t="b">
        <f t="shared" si="46"/>
        <v>0</v>
      </c>
      <c r="W222" s="63" t="e">
        <f>VLOOKUP($V222,Herbicide_Data!$A$1:$L$17,9)</f>
        <v>#N/A</v>
      </c>
      <c r="X222" s="62" t="e">
        <f>VLOOKUP($V222,Herbicide_Data!$A$1:$L$17,12)</f>
        <v>#N/A</v>
      </c>
      <c r="Y222" s="16" t="e">
        <f t="shared" si="41"/>
        <v>#N/A</v>
      </c>
      <c r="Z222" s="15"/>
      <c r="AA222" s="13"/>
      <c r="AB222" s="17"/>
      <c r="AC222" s="3"/>
      <c r="AD222" s="10"/>
      <c r="AE222" s="3"/>
      <c r="AF222" s="10"/>
      <c r="AG222" s="15"/>
      <c r="AH222" s="62" t="str">
        <f t="shared" si="36"/>
        <v/>
      </c>
      <c r="AI222" s="62" t="e">
        <f>VLOOKUP($AH222,Herbicide_Data!$A$1:$Q$61,13)</f>
        <v>#N/A</v>
      </c>
      <c r="AJ222" s="16" t="e">
        <f t="shared" si="42"/>
        <v>#N/A</v>
      </c>
      <c r="AK222" s="3"/>
      <c r="AL222" s="3"/>
      <c r="AM222" s="3"/>
      <c r="AN222" s="3"/>
      <c r="AO222" s="3"/>
      <c r="AP222" s="3"/>
      <c r="AQ222" s="18"/>
      <c r="AR222" s="19"/>
      <c r="AS222" s="19"/>
      <c r="AT222" s="20"/>
      <c r="AU222" s="20"/>
      <c r="AV222" s="21"/>
      <c r="AW222" s="22"/>
      <c r="AX222" s="19"/>
      <c r="AY222" s="19"/>
      <c r="AZ222" s="19"/>
      <c r="BA222" s="23"/>
      <c r="BB222" s="19"/>
      <c r="BC222" s="19"/>
      <c r="BD222" s="19"/>
    </row>
    <row r="223" spans="1:56">
      <c r="A223" s="13"/>
      <c r="B223" s="11"/>
      <c r="C223" s="12"/>
      <c r="D223" s="12">
        <f t="shared" si="37"/>
        <v>2.0833299999999999E-2</v>
      </c>
      <c r="E223" s="10"/>
      <c r="F223" s="10" t="str">
        <f>IFERROR(VLOOKUP(E223,Data!A$2:B$5,2,TRUE), "")</f>
        <v/>
      </c>
      <c r="G223" s="3"/>
      <c r="H223" s="13" t="str">
        <f>IFERROR(VLOOKUP(A223,Customer_Data!$A$1:$P$114,8,TRUE),"")</f>
        <v/>
      </c>
      <c r="I223" s="13"/>
      <c r="J223" s="3" t="str">
        <f t="shared" si="43"/>
        <v/>
      </c>
      <c r="K223" s="62" t="e">
        <f>(VLOOKUP($J223,Herbicide_Data!$A$1:$L$61,9,TRUE))</f>
        <v>#N/A</v>
      </c>
      <c r="L223" s="62" t="e">
        <f>VLOOKUP($J223,Herbicide_Data!$A$1:$L$61,12,TRUE)</f>
        <v>#N/A</v>
      </c>
      <c r="M223" s="16" t="e">
        <f t="shared" si="38"/>
        <v>#N/A</v>
      </c>
      <c r="N223" s="62" t="str">
        <f t="shared" si="44"/>
        <v/>
      </c>
      <c r="O223" s="63" t="e">
        <f>VLOOKUP($N223,Herbicide_Data!$A$1:$L$61,9)</f>
        <v>#N/A</v>
      </c>
      <c r="P223" s="62" t="e">
        <f>VLOOKUP($N223,Herbicide_Data!$A$1:$P$61,13)</f>
        <v>#N/A</v>
      </c>
      <c r="Q223" s="16" t="e">
        <f t="shared" si="39"/>
        <v>#N/A</v>
      </c>
      <c r="R223" s="62" t="str">
        <f t="shared" si="45"/>
        <v/>
      </c>
      <c r="S223" s="63" t="e">
        <f>VLOOKUP($R223,Herbicide_Data!$A$1:$L$61,9)</f>
        <v>#N/A</v>
      </c>
      <c r="T223" s="62" t="e">
        <f>VLOOKUP($R223,Herbicide_Data!$A$1:$Q$61,13)</f>
        <v>#N/A</v>
      </c>
      <c r="U223" s="16" t="e">
        <f t="shared" si="40"/>
        <v>#N/A</v>
      </c>
      <c r="V223" s="62" t="b">
        <f t="shared" si="46"/>
        <v>0</v>
      </c>
      <c r="W223" s="63" t="e">
        <f>VLOOKUP($V223,Herbicide_Data!$A$1:$L$17,9)</f>
        <v>#N/A</v>
      </c>
      <c r="X223" s="62" t="e">
        <f>VLOOKUP($V223,Herbicide_Data!$A$1:$L$17,12)</f>
        <v>#N/A</v>
      </c>
      <c r="Y223" s="16" t="e">
        <f t="shared" si="41"/>
        <v>#N/A</v>
      </c>
      <c r="Z223" s="15"/>
      <c r="AA223" s="13"/>
      <c r="AB223" s="17"/>
      <c r="AC223" s="3"/>
      <c r="AD223" s="10"/>
      <c r="AE223" s="3"/>
      <c r="AF223" s="10"/>
      <c r="AG223" s="15"/>
      <c r="AH223" s="62" t="str">
        <f t="shared" ref="AH223:AH286" si="47">IF($G223=("Spring Preemerge (Jan)"),"Surfactant",IF($G223=("Spring Preemerge (Apr)"),"Surfactant",""))</f>
        <v/>
      </c>
      <c r="AI223" s="62" t="e">
        <f>VLOOKUP($AH223,Herbicide_Data!$A$1:$Q$61,13)</f>
        <v>#N/A</v>
      </c>
      <c r="AJ223" s="16" t="e">
        <f t="shared" si="42"/>
        <v>#N/A</v>
      </c>
      <c r="AK223" s="3"/>
      <c r="AL223" s="3"/>
      <c r="AM223" s="3"/>
      <c r="AN223" s="3"/>
      <c r="AO223" s="3"/>
      <c r="AP223" s="3"/>
      <c r="AQ223" s="18"/>
      <c r="AR223" s="19"/>
      <c r="AS223" s="19"/>
      <c r="AT223" s="20"/>
      <c r="AU223" s="20"/>
      <c r="AV223" s="21"/>
      <c r="AW223" s="22"/>
      <c r="AX223" s="19"/>
      <c r="AY223" s="19"/>
      <c r="AZ223" s="19"/>
      <c r="BA223" s="23"/>
      <c r="BB223" s="19"/>
      <c r="BC223" s="19"/>
      <c r="BD223" s="19"/>
    </row>
    <row r="224" spans="1:56">
      <c r="A224" s="13"/>
      <c r="B224" s="11"/>
      <c r="C224" s="12"/>
      <c r="D224" s="12">
        <f t="shared" si="37"/>
        <v>2.0833299999999999E-2</v>
      </c>
      <c r="E224" s="10"/>
      <c r="F224" s="10" t="str">
        <f>IFERROR(VLOOKUP(E224,Data!A$2:B$5,2,TRUE), "")</f>
        <v/>
      </c>
      <c r="G224" s="3"/>
      <c r="H224" s="13" t="str">
        <f>IFERROR(VLOOKUP(A224,Customer_Data!$A$1:$P$114,8,TRUE),"")</f>
        <v/>
      </c>
      <c r="I224" s="13"/>
      <c r="J224" s="3" t="str">
        <f t="shared" si="43"/>
        <v/>
      </c>
      <c r="K224" s="62" t="e">
        <f>(VLOOKUP($J224,Herbicide_Data!$A$1:$L$61,9,TRUE))</f>
        <v>#N/A</v>
      </c>
      <c r="L224" s="62" t="e">
        <f>VLOOKUP($J224,Herbicide_Data!$A$1:$L$61,12,TRUE)</f>
        <v>#N/A</v>
      </c>
      <c r="M224" s="16" t="e">
        <f t="shared" si="38"/>
        <v>#N/A</v>
      </c>
      <c r="N224" s="62" t="str">
        <f t="shared" si="44"/>
        <v/>
      </c>
      <c r="O224" s="63" t="e">
        <f>VLOOKUP($N224,Herbicide_Data!$A$1:$L$61,9)</f>
        <v>#N/A</v>
      </c>
      <c r="P224" s="62" t="e">
        <f>VLOOKUP($N224,Herbicide_Data!$A$1:$P$61,13)</f>
        <v>#N/A</v>
      </c>
      <c r="Q224" s="16" t="e">
        <f t="shared" si="39"/>
        <v>#N/A</v>
      </c>
      <c r="R224" s="62" t="str">
        <f t="shared" si="45"/>
        <v/>
      </c>
      <c r="S224" s="63" t="e">
        <f>VLOOKUP($R224,Herbicide_Data!$A$1:$L$61,9)</f>
        <v>#N/A</v>
      </c>
      <c r="T224" s="62" t="e">
        <f>VLOOKUP($R224,Herbicide_Data!$A$1:$Q$61,13)</f>
        <v>#N/A</v>
      </c>
      <c r="U224" s="16" t="e">
        <f t="shared" si="40"/>
        <v>#N/A</v>
      </c>
      <c r="V224" s="62" t="b">
        <f t="shared" si="46"/>
        <v>0</v>
      </c>
      <c r="W224" s="63" t="e">
        <f>VLOOKUP($V224,Herbicide_Data!$A$1:$L$17,9)</f>
        <v>#N/A</v>
      </c>
      <c r="X224" s="62" t="e">
        <f>VLOOKUP($V224,Herbicide_Data!$A$1:$L$17,12)</f>
        <v>#N/A</v>
      </c>
      <c r="Y224" s="16" t="e">
        <f t="shared" si="41"/>
        <v>#N/A</v>
      </c>
      <c r="Z224" s="15"/>
      <c r="AA224" s="13"/>
      <c r="AB224" s="17"/>
      <c r="AC224" s="3"/>
      <c r="AD224" s="10"/>
      <c r="AE224" s="3"/>
      <c r="AF224" s="10"/>
      <c r="AG224" s="15"/>
      <c r="AH224" s="62" t="str">
        <f t="shared" si="47"/>
        <v/>
      </c>
      <c r="AI224" s="62" t="e">
        <f>VLOOKUP($AH224,Herbicide_Data!$A$1:$Q$61,13)</f>
        <v>#N/A</v>
      </c>
      <c r="AJ224" s="16" t="e">
        <f t="shared" si="42"/>
        <v>#N/A</v>
      </c>
      <c r="AK224" s="3"/>
      <c r="AL224" s="3"/>
      <c r="AM224" s="3"/>
      <c r="AN224" s="3"/>
      <c r="AO224" s="3"/>
      <c r="AP224" s="3"/>
      <c r="AQ224" s="18"/>
      <c r="AR224" s="19"/>
      <c r="AS224" s="19"/>
      <c r="AT224" s="20"/>
      <c r="AU224" s="20"/>
      <c r="AV224" s="21"/>
      <c r="AW224" s="22"/>
      <c r="AX224" s="19"/>
      <c r="AY224" s="19"/>
      <c r="AZ224" s="19"/>
      <c r="BA224" s="23"/>
      <c r="BB224" s="19"/>
      <c r="BC224" s="19"/>
      <c r="BD224" s="19"/>
    </row>
    <row r="225" spans="1:56">
      <c r="A225" s="13"/>
      <c r="B225" s="11"/>
      <c r="C225" s="12"/>
      <c r="D225" s="12">
        <f t="shared" si="37"/>
        <v>2.0833299999999999E-2</v>
      </c>
      <c r="E225" s="10"/>
      <c r="F225" s="10" t="str">
        <f>IFERROR(VLOOKUP(E225,Data!A$2:B$5,2,TRUE), "")</f>
        <v/>
      </c>
      <c r="G225" s="3"/>
      <c r="H225" s="13" t="str">
        <f>IFERROR(VLOOKUP(A225,Customer_Data!$A$1:$P$114,8,TRUE),"")</f>
        <v/>
      </c>
      <c r="I225" s="13"/>
      <c r="J225" s="3" t="str">
        <f t="shared" si="43"/>
        <v/>
      </c>
      <c r="K225" s="62" t="e">
        <f>(VLOOKUP($J225,Herbicide_Data!$A$1:$L$61,9,TRUE))</f>
        <v>#N/A</v>
      </c>
      <c r="L225" s="62" t="e">
        <f>VLOOKUP($J225,Herbicide_Data!$A$1:$L$61,12,TRUE)</f>
        <v>#N/A</v>
      </c>
      <c r="M225" s="16" t="e">
        <f t="shared" si="38"/>
        <v>#N/A</v>
      </c>
      <c r="N225" s="62" t="str">
        <f t="shared" si="44"/>
        <v/>
      </c>
      <c r="O225" s="63" t="e">
        <f>VLOOKUP($N225,Herbicide_Data!$A$1:$L$61,9)</f>
        <v>#N/A</v>
      </c>
      <c r="P225" s="62" t="e">
        <f>VLOOKUP($N225,Herbicide_Data!$A$1:$P$61,13)</f>
        <v>#N/A</v>
      </c>
      <c r="Q225" s="16" t="e">
        <f t="shared" si="39"/>
        <v>#N/A</v>
      </c>
      <c r="R225" s="62" t="str">
        <f t="shared" si="45"/>
        <v/>
      </c>
      <c r="S225" s="63" t="e">
        <f>VLOOKUP($R225,Herbicide_Data!$A$1:$L$61,9)</f>
        <v>#N/A</v>
      </c>
      <c r="T225" s="62" t="e">
        <f>VLOOKUP($R225,Herbicide_Data!$A$1:$Q$61,13)</f>
        <v>#N/A</v>
      </c>
      <c r="U225" s="16" t="e">
        <f t="shared" si="40"/>
        <v>#N/A</v>
      </c>
      <c r="V225" s="62" t="b">
        <f t="shared" si="46"/>
        <v>0</v>
      </c>
      <c r="W225" s="63" t="e">
        <f>VLOOKUP($V225,Herbicide_Data!$A$1:$L$17,9)</f>
        <v>#N/A</v>
      </c>
      <c r="X225" s="62" t="e">
        <f>VLOOKUP($V225,Herbicide_Data!$A$1:$L$17,12)</f>
        <v>#N/A</v>
      </c>
      <c r="Y225" s="16" t="e">
        <f t="shared" si="41"/>
        <v>#N/A</v>
      </c>
      <c r="Z225" s="15"/>
      <c r="AA225" s="13"/>
      <c r="AB225" s="17"/>
      <c r="AC225" s="3"/>
      <c r="AD225" s="10"/>
      <c r="AE225" s="3"/>
      <c r="AF225" s="10"/>
      <c r="AG225" s="15"/>
      <c r="AH225" s="62" t="str">
        <f t="shared" si="47"/>
        <v/>
      </c>
      <c r="AI225" s="62" t="e">
        <f>VLOOKUP($AH225,Herbicide_Data!$A$1:$Q$61,13)</f>
        <v>#N/A</v>
      </c>
      <c r="AJ225" s="16" t="e">
        <f t="shared" si="42"/>
        <v>#N/A</v>
      </c>
      <c r="AK225" s="3"/>
      <c r="AL225" s="3"/>
      <c r="AM225" s="3"/>
      <c r="AN225" s="3"/>
      <c r="AO225" s="3"/>
      <c r="AP225" s="3"/>
      <c r="AQ225" s="18"/>
      <c r="AR225" s="19"/>
      <c r="AS225" s="19"/>
      <c r="AT225" s="20"/>
      <c r="AU225" s="20"/>
      <c r="AV225" s="21"/>
      <c r="AW225" s="22"/>
      <c r="AX225" s="19"/>
      <c r="AY225" s="19"/>
      <c r="AZ225" s="19"/>
      <c r="BA225" s="23"/>
      <c r="BB225" s="19"/>
      <c r="BC225" s="19"/>
      <c r="BD225" s="19"/>
    </row>
    <row r="226" spans="1:56">
      <c r="A226" s="13"/>
      <c r="B226" s="11"/>
      <c r="C226" s="12"/>
      <c r="D226" s="12">
        <f t="shared" si="37"/>
        <v>2.0833299999999999E-2</v>
      </c>
      <c r="E226" s="10"/>
      <c r="F226" s="10" t="str">
        <f>IFERROR(VLOOKUP(E226,Data!A$2:B$5,2,TRUE), "")</f>
        <v/>
      </c>
      <c r="G226" s="3"/>
      <c r="H226" s="13" t="str">
        <f>IFERROR(VLOOKUP(A226,Customer_Data!$A$1:$P$114,8,TRUE),"")</f>
        <v/>
      </c>
      <c r="I226" s="13"/>
      <c r="J226" s="3" t="str">
        <f t="shared" si="43"/>
        <v/>
      </c>
      <c r="K226" s="62" t="e">
        <f>(VLOOKUP($J226,Herbicide_Data!$A$1:$L$61,9,TRUE))</f>
        <v>#N/A</v>
      </c>
      <c r="L226" s="62" t="e">
        <f>VLOOKUP($J226,Herbicide_Data!$A$1:$L$61,12,TRUE)</f>
        <v>#N/A</v>
      </c>
      <c r="M226" s="16" t="e">
        <f t="shared" si="38"/>
        <v>#N/A</v>
      </c>
      <c r="N226" s="62" t="str">
        <f t="shared" si="44"/>
        <v/>
      </c>
      <c r="O226" s="63" t="e">
        <f>VLOOKUP($N226,Herbicide_Data!$A$1:$L$61,9)</f>
        <v>#N/A</v>
      </c>
      <c r="P226" s="62" t="e">
        <f>VLOOKUP($N226,Herbicide_Data!$A$1:$P$61,13)</f>
        <v>#N/A</v>
      </c>
      <c r="Q226" s="16" t="e">
        <f t="shared" si="39"/>
        <v>#N/A</v>
      </c>
      <c r="R226" s="62" t="str">
        <f t="shared" si="45"/>
        <v/>
      </c>
      <c r="S226" s="63" t="e">
        <f>VLOOKUP($R226,Herbicide_Data!$A$1:$L$61,9)</f>
        <v>#N/A</v>
      </c>
      <c r="T226" s="62" t="e">
        <f>VLOOKUP($R226,Herbicide_Data!$A$1:$Q$61,13)</f>
        <v>#N/A</v>
      </c>
      <c r="U226" s="16" t="e">
        <f t="shared" si="40"/>
        <v>#N/A</v>
      </c>
      <c r="V226" s="62" t="b">
        <f t="shared" si="46"/>
        <v>0</v>
      </c>
      <c r="W226" s="63" t="e">
        <f>VLOOKUP($V226,Herbicide_Data!$A$1:$L$17,9)</f>
        <v>#N/A</v>
      </c>
      <c r="X226" s="62" t="e">
        <f>VLOOKUP($V226,Herbicide_Data!$A$1:$L$17,12)</f>
        <v>#N/A</v>
      </c>
      <c r="Y226" s="16" t="e">
        <f t="shared" si="41"/>
        <v>#N/A</v>
      </c>
      <c r="Z226" s="15"/>
      <c r="AA226" s="13"/>
      <c r="AB226" s="17"/>
      <c r="AC226" s="3"/>
      <c r="AD226" s="10"/>
      <c r="AE226" s="3"/>
      <c r="AF226" s="10"/>
      <c r="AG226" s="15"/>
      <c r="AH226" s="62" t="str">
        <f t="shared" si="47"/>
        <v/>
      </c>
      <c r="AI226" s="62" t="e">
        <f>VLOOKUP($AH226,Herbicide_Data!$A$1:$Q$61,13)</f>
        <v>#N/A</v>
      </c>
      <c r="AJ226" s="16" t="e">
        <f t="shared" si="42"/>
        <v>#N/A</v>
      </c>
      <c r="AK226" s="3"/>
      <c r="AL226" s="3"/>
      <c r="AM226" s="3"/>
      <c r="AN226" s="3"/>
      <c r="AO226" s="3"/>
      <c r="AP226" s="3"/>
      <c r="AQ226" s="18"/>
      <c r="AR226" s="19"/>
      <c r="AS226" s="19"/>
      <c r="AT226" s="20"/>
      <c r="AU226" s="20"/>
      <c r="AV226" s="21"/>
      <c r="AW226" s="22"/>
      <c r="AX226" s="19"/>
      <c r="AY226" s="19"/>
      <c r="AZ226" s="19"/>
      <c r="BA226" s="23"/>
      <c r="BB226" s="19"/>
      <c r="BC226" s="19"/>
      <c r="BD226" s="19"/>
    </row>
    <row r="227" spans="1:56">
      <c r="A227" s="13"/>
      <c r="B227" s="11"/>
      <c r="C227" s="12"/>
      <c r="D227" s="12">
        <f t="shared" si="37"/>
        <v>2.0833299999999999E-2</v>
      </c>
      <c r="E227" s="10"/>
      <c r="F227" s="10" t="str">
        <f>IFERROR(VLOOKUP(E227,Data!A$2:B$5,2,TRUE), "")</f>
        <v/>
      </c>
      <c r="G227" s="3"/>
      <c r="H227" s="13" t="str">
        <f>IFERROR(VLOOKUP(A227,Customer_Data!$A$1:$P$114,8,TRUE),"")</f>
        <v/>
      </c>
      <c r="I227" s="13"/>
      <c r="J227" s="3" t="str">
        <f t="shared" si="43"/>
        <v/>
      </c>
      <c r="K227" s="62" t="e">
        <f>(VLOOKUP($J227,Herbicide_Data!$A$1:$L$61,9,TRUE))</f>
        <v>#N/A</v>
      </c>
      <c r="L227" s="62" t="e">
        <f>VLOOKUP($J227,Herbicide_Data!$A$1:$L$61,12,TRUE)</f>
        <v>#N/A</v>
      </c>
      <c r="M227" s="16" t="e">
        <f t="shared" si="38"/>
        <v>#N/A</v>
      </c>
      <c r="N227" s="62" t="str">
        <f t="shared" si="44"/>
        <v/>
      </c>
      <c r="O227" s="63" t="e">
        <f>VLOOKUP($N227,Herbicide_Data!$A$1:$L$61,9)</f>
        <v>#N/A</v>
      </c>
      <c r="P227" s="62" t="e">
        <f>VLOOKUP($N227,Herbicide_Data!$A$1:$P$61,13)</f>
        <v>#N/A</v>
      </c>
      <c r="Q227" s="16" t="e">
        <f t="shared" si="39"/>
        <v>#N/A</v>
      </c>
      <c r="R227" s="62" t="str">
        <f t="shared" si="45"/>
        <v/>
      </c>
      <c r="S227" s="63" t="e">
        <f>VLOOKUP($R227,Herbicide_Data!$A$1:$L$61,9)</f>
        <v>#N/A</v>
      </c>
      <c r="T227" s="62" t="e">
        <f>VLOOKUP($R227,Herbicide_Data!$A$1:$Q$61,13)</f>
        <v>#N/A</v>
      </c>
      <c r="U227" s="16" t="e">
        <f t="shared" si="40"/>
        <v>#N/A</v>
      </c>
      <c r="V227" s="62" t="b">
        <f t="shared" si="46"/>
        <v>0</v>
      </c>
      <c r="W227" s="63" t="e">
        <f>VLOOKUP($V227,Herbicide_Data!$A$1:$L$17,9)</f>
        <v>#N/A</v>
      </c>
      <c r="X227" s="62" t="e">
        <f>VLOOKUP($V227,Herbicide_Data!$A$1:$L$17,12)</f>
        <v>#N/A</v>
      </c>
      <c r="Y227" s="16" t="e">
        <f t="shared" si="41"/>
        <v>#N/A</v>
      </c>
      <c r="Z227" s="15"/>
      <c r="AA227" s="13"/>
      <c r="AB227" s="17"/>
      <c r="AC227" s="3"/>
      <c r="AD227" s="10"/>
      <c r="AE227" s="3"/>
      <c r="AF227" s="10"/>
      <c r="AG227" s="15"/>
      <c r="AH227" s="62" t="str">
        <f t="shared" si="47"/>
        <v/>
      </c>
      <c r="AI227" s="62" t="e">
        <f>VLOOKUP($AH227,Herbicide_Data!$A$1:$Q$61,13)</f>
        <v>#N/A</v>
      </c>
      <c r="AJ227" s="16" t="e">
        <f t="shared" si="42"/>
        <v>#N/A</v>
      </c>
      <c r="AK227" s="3"/>
      <c r="AL227" s="3"/>
      <c r="AM227" s="3"/>
      <c r="AN227" s="3"/>
      <c r="AO227" s="3"/>
      <c r="AP227" s="3"/>
      <c r="AQ227" s="18"/>
      <c r="AR227" s="19"/>
      <c r="AS227" s="19"/>
      <c r="AT227" s="20"/>
      <c r="AU227" s="20"/>
      <c r="AV227" s="21"/>
      <c r="AW227" s="22"/>
      <c r="AX227" s="19"/>
      <c r="AY227" s="19"/>
      <c r="AZ227" s="19"/>
      <c r="BA227" s="23"/>
      <c r="BB227" s="19"/>
      <c r="BC227" s="19"/>
      <c r="BD227" s="19"/>
    </row>
    <row r="228" spans="1:56">
      <c r="A228" s="13"/>
      <c r="B228" s="11"/>
      <c r="C228" s="12"/>
      <c r="D228" s="12">
        <f t="shared" si="37"/>
        <v>2.0833299999999999E-2</v>
      </c>
      <c r="E228" s="10"/>
      <c r="F228" s="10" t="str">
        <f>IFERROR(VLOOKUP(E228,Data!A$2:B$5,2,TRUE), "")</f>
        <v/>
      </c>
      <c r="G228" s="3"/>
      <c r="H228" s="13" t="str">
        <f>IFERROR(VLOOKUP(A228,Customer_Data!$A$1:$P$114,8,TRUE),"")</f>
        <v/>
      </c>
      <c r="I228" s="13"/>
      <c r="J228" s="3" t="str">
        <f t="shared" si="43"/>
        <v/>
      </c>
      <c r="K228" s="62" t="e">
        <f>(VLOOKUP($J228,Herbicide_Data!$A$1:$L$61,9,TRUE))</f>
        <v>#N/A</v>
      </c>
      <c r="L228" s="62" t="e">
        <f>VLOOKUP($J228,Herbicide_Data!$A$1:$L$61,12,TRUE)</f>
        <v>#N/A</v>
      </c>
      <c r="M228" s="16" t="e">
        <f t="shared" si="38"/>
        <v>#N/A</v>
      </c>
      <c r="N228" s="62" t="str">
        <f t="shared" si="44"/>
        <v/>
      </c>
      <c r="O228" s="63" t="e">
        <f>VLOOKUP($N228,Herbicide_Data!$A$1:$L$61,9)</f>
        <v>#N/A</v>
      </c>
      <c r="P228" s="62" t="e">
        <f>VLOOKUP($N228,Herbicide_Data!$A$1:$P$61,13)</f>
        <v>#N/A</v>
      </c>
      <c r="Q228" s="16" t="e">
        <f t="shared" si="39"/>
        <v>#N/A</v>
      </c>
      <c r="R228" s="62" t="str">
        <f t="shared" si="45"/>
        <v/>
      </c>
      <c r="S228" s="63" t="e">
        <f>VLOOKUP($R228,Herbicide_Data!$A$1:$L$61,9)</f>
        <v>#N/A</v>
      </c>
      <c r="T228" s="62" t="e">
        <f>VLOOKUP($R228,Herbicide_Data!$A$1:$Q$61,13)</f>
        <v>#N/A</v>
      </c>
      <c r="U228" s="16" t="e">
        <f t="shared" si="40"/>
        <v>#N/A</v>
      </c>
      <c r="V228" s="62" t="b">
        <f t="shared" si="46"/>
        <v>0</v>
      </c>
      <c r="W228" s="63" t="e">
        <f>VLOOKUP($V228,Herbicide_Data!$A$1:$L$17,9)</f>
        <v>#N/A</v>
      </c>
      <c r="X228" s="62" t="e">
        <f>VLOOKUP($V228,Herbicide_Data!$A$1:$L$17,12)</f>
        <v>#N/A</v>
      </c>
      <c r="Y228" s="16" t="e">
        <f t="shared" si="41"/>
        <v>#N/A</v>
      </c>
      <c r="Z228" s="15"/>
      <c r="AA228" s="13"/>
      <c r="AB228" s="17"/>
      <c r="AC228" s="3"/>
      <c r="AD228" s="10"/>
      <c r="AE228" s="3"/>
      <c r="AF228" s="10"/>
      <c r="AG228" s="15"/>
      <c r="AH228" s="62" t="str">
        <f t="shared" si="47"/>
        <v/>
      </c>
      <c r="AI228" s="62" t="e">
        <f>VLOOKUP($AH228,Herbicide_Data!$A$1:$Q$61,13)</f>
        <v>#N/A</v>
      </c>
      <c r="AJ228" s="16" t="e">
        <f t="shared" si="42"/>
        <v>#N/A</v>
      </c>
      <c r="AK228" s="3"/>
      <c r="AL228" s="3"/>
      <c r="AM228" s="3"/>
      <c r="AN228" s="3"/>
      <c r="AO228" s="3"/>
      <c r="AP228" s="3"/>
      <c r="AQ228" s="18"/>
      <c r="AR228" s="19"/>
      <c r="AS228" s="19"/>
      <c r="AT228" s="20"/>
      <c r="AU228" s="20"/>
      <c r="AV228" s="21"/>
      <c r="AW228" s="22"/>
      <c r="AX228" s="19"/>
      <c r="AY228" s="19"/>
      <c r="AZ228" s="19"/>
      <c r="BA228" s="23"/>
      <c r="BB228" s="19"/>
      <c r="BC228" s="19"/>
      <c r="BD228" s="19"/>
    </row>
    <row r="229" spans="1:56">
      <c r="A229" s="13"/>
      <c r="B229" s="11"/>
      <c r="C229" s="12"/>
      <c r="D229" s="12">
        <f t="shared" si="37"/>
        <v>2.0833299999999999E-2</v>
      </c>
      <c r="E229" s="10"/>
      <c r="F229" s="10" t="str">
        <f>IFERROR(VLOOKUP(E229,Data!A$2:B$5,2,TRUE), "")</f>
        <v/>
      </c>
      <c r="G229" s="3"/>
      <c r="H229" s="13" t="str">
        <f>IFERROR(VLOOKUP(A229,Customer_Data!$A$1:$P$114,8,TRUE),"")</f>
        <v/>
      </c>
      <c r="I229" s="13"/>
      <c r="J229" s="3" t="str">
        <f t="shared" si="43"/>
        <v/>
      </c>
      <c r="K229" s="62" t="e">
        <f>(VLOOKUP($J229,Herbicide_Data!$A$1:$L$61,9,TRUE))</f>
        <v>#N/A</v>
      </c>
      <c r="L229" s="62" t="e">
        <f>VLOOKUP($J229,Herbicide_Data!$A$1:$L$61,12,TRUE)</f>
        <v>#N/A</v>
      </c>
      <c r="M229" s="16" t="e">
        <f t="shared" si="38"/>
        <v>#N/A</v>
      </c>
      <c r="N229" s="62" t="str">
        <f t="shared" si="44"/>
        <v/>
      </c>
      <c r="O229" s="63" t="e">
        <f>VLOOKUP($N229,Herbicide_Data!$A$1:$L$61,9)</f>
        <v>#N/A</v>
      </c>
      <c r="P229" s="62" t="e">
        <f>VLOOKUP($N229,Herbicide_Data!$A$1:$P$61,13)</f>
        <v>#N/A</v>
      </c>
      <c r="Q229" s="16" t="e">
        <f t="shared" si="39"/>
        <v>#N/A</v>
      </c>
      <c r="R229" s="62" t="str">
        <f t="shared" si="45"/>
        <v/>
      </c>
      <c r="S229" s="63" t="e">
        <f>VLOOKUP($R229,Herbicide_Data!$A$1:$L$61,9)</f>
        <v>#N/A</v>
      </c>
      <c r="T229" s="62" t="e">
        <f>VLOOKUP($R229,Herbicide_Data!$A$1:$Q$61,13)</f>
        <v>#N/A</v>
      </c>
      <c r="U229" s="16" t="e">
        <f t="shared" si="40"/>
        <v>#N/A</v>
      </c>
      <c r="V229" s="62" t="b">
        <f t="shared" si="46"/>
        <v>0</v>
      </c>
      <c r="W229" s="63" t="e">
        <f>VLOOKUP($V229,Herbicide_Data!$A$1:$L$17,9)</f>
        <v>#N/A</v>
      </c>
      <c r="X229" s="62" t="e">
        <f>VLOOKUP($V229,Herbicide_Data!$A$1:$L$17,12)</f>
        <v>#N/A</v>
      </c>
      <c r="Y229" s="16" t="e">
        <f t="shared" si="41"/>
        <v>#N/A</v>
      </c>
      <c r="Z229" s="15"/>
      <c r="AA229" s="13"/>
      <c r="AB229" s="17"/>
      <c r="AC229" s="3"/>
      <c r="AD229" s="10"/>
      <c r="AE229" s="3"/>
      <c r="AF229" s="10"/>
      <c r="AG229" s="15"/>
      <c r="AH229" s="62" t="str">
        <f t="shared" si="47"/>
        <v/>
      </c>
      <c r="AI229" s="62" t="e">
        <f>VLOOKUP($AH229,Herbicide_Data!$A$1:$Q$61,13)</f>
        <v>#N/A</v>
      </c>
      <c r="AJ229" s="16" t="e">
        <f t="shared" si="42"/>
        <v>#N/A</v>
      </c>
      <c r="AK229" s="3"/>
      <c r="AL229" s="3"/>
      <c r="AM229" s="3"/>
      <c r="AN229" s="3"/>
      <c r="AO229" s="3"/>
      <c r="AP229" s="3"/>
      <c r="AQ229" s="18"/>
      <c r="AR229" s="19"/>
      <c r="AS229" s="19"/>
      <c r="AT229" s="20"/>
      <c r="AU229" s="20"/>
      <c r="AV229" s="21"/>
      <c r="AW229" s="22"/>
      <c r="AX229" s="19"/>
      <c r="AY229" s="19"/>
      <c r="AZ229" s="19"/>
      <c r="BA229" s="23"/>
      <c r="BB229" s="19"/>
      <c r="BC229" s="19"/>
      <c r="BD229" s="19"/>
    </row>
    <row r="230" spans="1:56">
      <c r="A230" s="13"/>
      <c r="B230" s="11"/>
      <c r="C230" s="12"/>
      <c r="D230" s="12">
        <f t="shared" si="37"/>
        <v>2.0833299999999999E-2</v>
      </c>
      <c r="E230" s="10"/>
      <c r="F230" s="10" t="str">
        <f>IFERROR(VLOOKUP(E230,Data!A$2:B$5,2,TRUE), "")</f>
        <v/>
      </c>
      <c r="G230" s="3"/>
      <c r="H230" s="13" t="str">
        <f>IFERROR(VLOOKUP(A230,Customer_Data!$A$1:$P$114,8,TRUE),"")</f>
        <v/>
      </c>
      <c r="I230" s="13"/>
      <c r="J230" s="3" t="str">
        <f t="shared" si="43"/>
        <v/>
      </c>
      <c r="K230" s="62" t="e">
        <f>(VLOOKUP($J230,Herbicide_Data!$A$1:$L$61,9,TRUE))</f>
        <v>#N/A</v>
      </c>
      <c r="L230" s="62" t="e">
        <f>VLOOKUP($J230,Herbicide_Data!$A$1:$L$61,12,TRUE)</f>
        <v>#N/A</v>
      </c>
      <c r="M230" s="16" t="e">
        <f t="shared" si="38"/>
        <v>#N/A</v>
      </c>
      <c r="N230" s="62" t="str">
        <f t="shared" si="44"/>
        <v/>
      </c>
      <c r="O230" s="63" t="e">
        <f>VLOOKUP($N230,Herbicide_Data!$A$1:$L$61,9)</f>
        <v>#N/A</v>
      </c>
      <c r="P230" s="62" t="e">
        <f>VLOOKUP($N230,Herbicide_Data!$A$1:$P$61,13)</f>
        <v>#N/A</v>
      </c>
      <c r="Q230" s="16" t="e">
        <f t="shared" si="39"/>
        <v>#N/A</v>
      </c>
      <c r="R230" s="62" t="str">
        <f t="shared" si="45"/>
        <v/>
      </c>
      <c r="S230" s="63" t="e">
        <f>VLOOKUP($R230,Herbicide_Data!$A$1:$L$61,9)</f>
        <v>#N/A</v>
      </c>
      <c r="T230" s="62" t="e">
        <f>VLOOKUP($R230,Herbicide_Data!$A$1:$Q$61,13)</f>
        <v>#N/A</v>
      </c>
      <c r="U230" s="16" t="e">
        <f t="shared" si="40"/>
        <v>#N/A</v>
      </c>
      <c r="V230" s="62" t="b">
        <f t="shared" si="46"/>
        <v>0</v>
      </c>
      <c r="W230" s="63" t="e">
        <f>VLOOKUP($V230,Herbicide_Data!$A$1:$L$17,9)</f>
        <v>#N/A</v>
      </c>
      <c r="X230" s="62" t="e">
        <f>VLOOKUP($V230,Herbicide_Data!$A$1:$L$17,12)</f>
        <v>#N/A</v>
      </c>
      <c r="Y230" s="16" t="e">
        <f t="shared" si="41"/>
        <v>#N/A</v>
      </c>
      <c r="Z230" s="15"/>
      <c r="AA230" s="13"/>
      <c r="AB230" s="17"/>
      <c r="AC230" s="3"/>
      <c r="AD230" s="10"/>
      <c r="AE230" s="3"/>
      <c r="AF230" s="10"/>
      <c r="AG230" s="15"/>
      <c r="AH230" s="62" t="str">
        <f t="shared" si="47"/>
        <v/>
      </c>
      <c r="AI230" s="62" t="e">
        <f>VLOOKUP($AH230,Herbicide_Data!$A$1:$Q$61,13)</f>
        <v>#N/A</v>
      </c>
      <c r="AJ230" s="16" t="e">
        <f t="shared" si="42"/>
        <v>#N/A</v>
      </c>
      <c r="AK230" s="3"/>
      <c r="AL230" s="3"/>
      <c r="AM230" s="3"/>
      <c r="AN230" s="3"/>
      <c r="AO230" s="3"/>
      <c r="AP230" s="3"/>
      <c r="AQ230" s="18"/>
      <c r="AR230" s="19"/>
      <c r="AS230" s="19"/>
      <c r="AT230" s="20"/>
      <c r="AU230" s="20"/>
      <c r="AV230" s="21"/>
      <c r="AW230" s="22"/>
      <c r="AX230" s="19"/>
      <c r="AY230" s="19"/>
      <c r="AZ230" s="19"/>
      <c r="BA230" s="23"/>
      <c r="BB230" s="19"/>
      <c r="BC230" s="19"/>
      <c r="BD230" s="19"/>
    </row>
    <row r="231" spans="1:56">
      <c r="A231" s="13"/>
      <c r="B231" s="11"/>
      <c r="C231" s="12"/>
      <c r="D231" s="12">
        <f t="shared" si="37"/>
        <v>2.0833299999999999E-2</v>
      </c>
      <c r="E231" s="10"/>
      <c r="F231" s="10" t="str">
        <f>IFERROR(VLOOKUP(E231,Data!A$2:B$5,2,TRUE), "")</f>
        <v/>
      </c>
      <c r="G231" s="3"/>
      <c r="H231" s="13" t="str">
        <f>IFERROR(VLOOKUP(A231,Customer_Data!$A$1:$P$114,8,TRUE),"")</f>
        <v/>
      </c>
      <c r="I231" s="13"/>
      <c r="J231" s="3" t="str">
        <f t="shared" si="43"/>
        <v/>
      </c>
      <c r="K231" s="62" t="e">
        <f>(VLOOKUP($J231,Herbicide_Data!$A$1:$L$61,9,TRUE))</f>
        <v>#N/A</v>
      </c>
      <c r="L231" s="62" t="e">
        <f>VLOOKUP($J231,Herbicide_Data!$A$1:$L$61,12,TRUE)</f>
        <v>#N/A</v>
      </c>
      <c r="M231" s="16" t="e">
        <f t="shared" si="38"/>
        <v>#N/A</v>
      </c>
      <c r="N231" s="62" t="str">
        <f t="shared" si="44"/>
        <v/>
      </c>
      <c r="O231" s="63" t="e">
        <f>VLOOKUP($N231,Herbicide_Data!$A$1:$L$61,9)</f>
        <v>#N/A</v>
      </c>
      <c r="P231" s="62" t="e">
        <f>VLOOKUP($N231,Herbicide_Data!$A$1:$P$61,13)</f>
        <v>#N/A</v>
      </c>
      <c r="Q231" s="16" t="e">
        <f t="shared" si="39"/>
        <v>#N/A</v>
      </c>
      <c r="R231" s="62" t="str">
        <f t="shared" si="45"/>
        <v/>
      </c>
      <c r="S231" s="63" t="e">
        <f>VLOOKUP($R231,Herbicide_Data!$A$1:$L$61,9)</f>
        <v>#N/A</v>
      </c>
      <c r="T231" s="62" t="e">
        <f>VLOOKUP($R231,Herbicide_Data!$A$1:$Q$61,13)</f>
        <v>#N/A</v>
      </c>
      <c r="U231" s="16" t="e">
        <f t="shared" si="40"/>
        <v>#N/A</v>
      </c>
      <c r="V231" s="62" t="b">
        <f t="shared" si="46"/>
        <v>0</v>
      </c>
      <c r="W231" s="63" t="e">
        <f>VLOOKUP($V231,Herbicide_Data!$A$1:$L$17,9)</f>
        <v>#N/A</v>
      </c>
      <c r="X231" s="62" t="e">
        <f>VLOOKUP($V231,Herbicide_Data!$A$1:$L$17,12)</f>
        <v>#N/A</v>
      </c>
      <c r="Y231" s="16" t="e">
        <f t="shared" si="41"/>
        <v>#N/A</v>
      </c>
      <c r="Z231" s="15"/>
      <c r="AA231" s="13"/>
      <c r="AB231" s="17"/>
      <c r="AC231" s="3"/>
      <c r="AD231" s="10"/>
      <c r="AE231" s="3"/>
      <c r="AF231" s="10"/>
      <c r="AG231" s="15"/>
      <c r="AH231" s="62" t="str">
        <f t="shared" si="47"/>
        <v/>
      </c>
      <c r="AI231" s="62" t="e">
        <f>VLOOKUP($AH231,Herbicide_Data!$A$1:$Q$61,13)</f>
        <v>#N/A</v>
      </c>
      <c r="AJ231" s="16" t="e">
        <f t="shared" si="42"/>
        <v>#N/A</v>
      </c>
      <c r="AK231" s="3"/>
      <c r="AL231" s="3"/>
      <c r="AM231" s="3"/>
      <c r="AN231" s="3"/>
      <c r="AO231" s="3"/>
      <c r="AP231" s="3"/>
      <c r="AQ231" s="18"/>
      <c r="AR231" s="19"/>
      <c r="AS231" s="19"/>
      <c r="AT231" s="20"/>
      <c r="AU231" s="20"/>
      <c r="AV231" s="21"/>
      <c r="AW231" s="22"/>
      <c r="AX231" s="19"/>
      <c r="AY231" s="19"/>
      <c r="AZ231" s="19"/>
      <c r="BA231" s="23"/>
      <c r="BB231" s="19"/>
      <c r="BC231" s="19"/>
      <c r="BD231" s="19"/>
    </row>
    <row r="232" spans="1:56">
      <c r="A232" s="13"/>
      <c r="B232" s="11"/>
      <c r="C232" s="12"/>
      <c r="D232" s="12">
        <f t="shared" si="37"/>
        <v>2.0833299999999999E-2</v>
      </c>
      <c r="E232" s="10"/>
      <c r="F232" s="10" t="str">
        <f>IFERROR(VLOOKUP(E232,Data!A$2:B$5,2,TRUE), "")</f>
        <v/>
      </c>
      <c r="G232" s="3"/>
      <c r="H232" s="13" t="str">
        <f>IFERROR(VLOOKUP(A232,Customer_Data!$A$1:$P$114,8,TRUE),"")</f>
        <v/>
      </c>
      <c r="I232" s="13"/>
      <c r="J232" s="3" t="str">
        <f t="shared" si="43"/>
        <v/>
      </c>
      <c r="K232" s="62" t="e">
        <f>(VLOOKUP($J232,Herbicide_Data!$A$1:$L$61,9,TRUE))</f>
        <v>#N/A</v>
      </c>
      <c r="L232" s="62" t="e">
        <f>VLOOKUP($J232,Herbicide_Data!$A$1:$L$61,12,TRUE)</f>
        <v>#N/A</v>
      </c>
      <c r="M232" s="16" t="e">
        <f t="shared" si="38"/>
        <v>#N/A</v>
      </c>
      <c r="N232" s="62" t="str">
        <f t="shared" si="44"/>
        <v/>
      </c>
      <c r="O232" s="63" t="e">
        <f>VLOOKUP($N232,Herbicide_Data!$A$1:$L$61,9)</f>
        <v>#N/A</v>
      </c>
      <c r="P232" s="62" t="e">
        <f>VLOOKUP($N232,Herbicide_Data!$A$1:$P$61,13)</f>
        <v>#N/A</v>
      </c>
      <c r="Q232" s="16" t="e">
        <f t="shared" si="39"/>
        <v>#N/A</v>
      </c>
      <c r="R232" s="62" t="str">
        <f t="shared" si="45"/>
        <v/>
      </c>
      <c r="S232" s="63" t="e">
        <f>VLOOKUP($R232,Herbicide_Data!$A$1:$L$61,9)</f>
        <v>#N/A</v>
      </c>
      <c r="T232" s="62" t="e">
        <f>VLOOKUP($R232,Herbicide_Data!$A$1:$Q$61,13)</f>
        <v>#N/A</v>
      </c>
      <c r="U232" s="16" t="e">
        <f t="shared" si="40"/>
        <v>#N/A</v>
      </c>
      <c r="V232" s="62" t="b">
        <f t="shared" si="46"/>
        <v>0</v>
      </c>
      <c r="W232" s="63" t="e">
        <f>VLOOKUP($V232,Herbicide_Data!$A$1:$L$17,9)</f>
        <v>#N/A</v>
      </c>
      <c r="X232" s="62" t="e">
        <f>VLOOKUP($V232,Herbicide_Data!$A$1:$L$17,12)</f>
        <v>#N/A</v>
      </c>
      <c r="Y232" s="16" t="e">
        <f t="shared" si="41"/>
        <v>#N/A</v>
      </c>
      <c r="Z232" s="15"/>
      <c r="AA232" s="13"/>
      <c r="AB232" s="17"/>
      <c r="AC232" s="3"/>
      <c r="AD232" s="10"/>
      <c r="AE232" s="3"/>
      <c r="AF232" s="10"/>
      <c r="AG232" s="15"/>
      <c r="AH232" s="62" t="str">
        <f t="shared" si="47"/>
        <v/>
      </c>
      <c r="AI232" s="62" t="e">
        <f>VLOOKUP($AH232,Herbicide_Data!$A$1:$Q$61,13)</f>
        <v>#N/A</v>
      </c>
      <c r="AJ232" s="16" t="e">
        <f t="shared" si="42"/>
        <v>#N/A</v>
      </c>
      <c r="AK232" s="3"/>
      <c r="AL232" s="3"/>
      <c r="AM232" s="3"/>
      <c r="AN232" s="3"/>
      <c r="AO232" s="3"/>
      <c r="AP232" s="3"/>
      <c r="AQ232" s="18"/>
      <c r="AR232" s="19"/>
      <c r="AS232" s="19"/>
      <c r="AT232" s="20"/>
      <c r="AU232" s="20"/>
      <c r="AV232" s="21"/>
      <c r="AW232" s="22"/>
      <c r="AX232" s="19"/>
      <c r="AY232" s="19"/>
      <c r="AZ232" s="19"/>
      <c r="BA232" s="23"/>
      <c r="BB232" s="19"/>
      <c r="BC232" s="19"/>
      <c r="BD232" s="19"/>
    </row>
    <row r="233" spans="1:56">
      <c r="A233" s="13"/>
      <c r="B233" s="11"/>
      <c r="C233" s="12"/>
      <c r="D233" s="12">
        <f t="shared" si="37"/>
        <v>2.0833299999999999E-2</v>
      </c>
      <c r="E233" s="10"/>
      <c r="F233" s="10" t="str">
        <f>IFERROR(VLOOKUP(E233,Data!A$2:B$5,2,TRUE), "")</f>
        <v/>
      </c>
      <c r="G233" s="3"/>
      <c r="H233" s="13" t="str">
        <f>IFERROR(VLOOKUP(A233,Customer_Data!$A$1:$P$114,8,TRUE),"")</f>
        <v/>
      </c>
      <c r="I233" s="13"/>
      <c r="J233" s="3" t="str">
        <f t="shared" si="43"/>
        <v/>
      </c>
      <c r="K233" s="62" t="e">
        <f>(VLOOKUP($J233,Herbicide_Data!$A$1:$L$61,9,TRUE))</f>
        <v>#N/A</v>
      </c>
      <c r="L233" s="62" t="e">
        <f>VLOOKUP($J233,Herbicide_Data!$A$1:$L$61,12,TRUE)</f>
        <v>#N/A</v>
      </c>
      <c r="M233" s="16" t="e">
        <f t="shared" si="38"/>
        <v>#N/A</v>
      </c>
      <c r="N233" s="62" t="str">
        <f t="shared" si="44"/>
        <v/>
      </c>
      <c r="O233" s="63" t="e">
        <f>VLOOKUP($N233,Herbicide_Data!$A$1:$L$61,9)</f>
        <v>#N/A</v>
      </c>
      <c r="P233" s="62" t="e">
        <f>VLOOKUP($N233,Herbicide_Data!$A$1:$P$61,13)</f>
        <v>#N/A</v>
      </c>
      <c r="Q233" s="16" t="e">
        <f t="shared" si="39"/>
        <v>#N/A</v>
      </c>
      <c r="R233" s="62" t="str">
        <f t="shared" si="45"/>
        <v/>
      </c>
      <c r="S233" s="63" t="e">
        <f>VLOOKUP($R233,Herbicide_Data!$A$1:$L$61,9)</f>
        <v>#N/A</v>
      </c>
      <c r="T233" s="62" t="e">
        <f>VLOOKUP($R233,Herbicide_Data!$A$1:$Q$61,13)</f>
        <v>#N/A</v>
      </c>
      <c r="U233" s="16" t="e">
        <f t="shared" si="40"/>
        <v>#N/A</v>
      </c>
      <c r="V233" s="62" t="b">
        <f t="shared" si="46"/>
        <v>0</v>
      </c>
      <c r="W233" s="63" t="e">
        <f>VLOOKUP($V233,Herbicide_Data!$A$1:$L$17,9)</f>
        <v>#N/A</v>
      </c>
      <c r="X233" s="62" t="e">
        <f>VLOOKUP($V233,Herbicide_Data!$A$1:$L$17,12)</f>
        <v>#N/A</v>
      </c>
      <c r="Y233" s="16" t="e">
        <f t="shared" si="41"/>
        <v>#N/A</v>
      </c>
      <c r="Z233" s="15"/>
      <c r="AA233" s="13"/>
      <c r="AB233" s="17"/>
      <c r="AC233" s="3"/>
      <c r="AD233" s="10"/>
      <c r="AE233" s="3"/>
      <c r="AF233" s="10"/>
      <c r="AG233" s="15"/>
      <c r="AH233" s="62" t="str">
        <f t="shared" si="47"/>
        <v/>
      </c>
      <c r="AI233" s="62" t="e">
        <f>VLOOKUP($AH233,Herbicide_Data!$A$1:$Q$61,13)</f>
        <v>#N/A</v>
      </c>
      <c r="AJ233" s="16" t="e">
        <f t="shared" si="42"/>
        <v>#N/A</v>
      </c>
      <c r="AK233" s="3"/>
      <c r="AL233" s="3"/>
      <c r="AM233" s="3"/>
      <c r="AN233" s="3"/>
      <c r="AO233" s="3"/>
      <c r="AP233" s="3"/>
      <c r="AQ233" s="18"/>
      <c r="AR233" s="19"/>
      <c r="AS233" s="19"/>
      <c r="AT233" s="20"/>
      <c r="AU233" s="20"/>
      <c r="AV233" s="21"/>
      <c r="AW233" s="22"/>
      <c r="AX233" s="19"/>
      <c r="AY233" s="19"/>
      <c r="AZ233" s="19"/>
      <c r="BA233" s="23"/>
      <c r="BB233" s="19"/>
      <c r="BC233" s="19"/>
      <c r="BD233" s="19"/>
    </row>
    <row r="234" spans="1:56">
      <c r="A234" s="13"/>
      <c r="B234" s="11"/>
      <c r="C234" s="12"/>
      <c r="D234" s="12">
        <f t="shared" si="37"/>
        <v>2.0833299999999999E-2</v>
      </c>
      <c r="E234" s="10"/>
      <c r="F234" s="10" t="str">
        <f>IFERROR(VLOOKUP(E234,Data!A$2:B$5,2,TRUE), "")</f>
        <v/>
      </c>
      <c r="G234" s="3"/>
      <c r="H234" s="13" t="str">
        <f>IFERROR(VLOOKUP(A234,Customer_Data!$A$1:$P$114,8,TRUE),"")</f>
        <v/>
      </c>
      <c r="I234" s="13"/>
      <c r="J234" s="3" t="str">
        <f t="shared" si="43"/>
        <v/>
      </c>
      <c r="K234" s="62" t="e">
        <f>(VLOOKUP($J234,Herbicide_Data!$A$1:$L$61,9,TRUE))</f>
        <v>#N/A</v>
      </c>
      <c r="L234" s="62" t="e">
        <f>VLOOKUP($J234,Herbicide_Data!$A$1:$L$61,12,TRUE)</f>
        <v>#N/A</v>
      </c>
      <c r="M234" s="16" t="e">
        <f t="shared" si="38"/>
        <v>#N/A</v>
      </c>
      <c r="N234" s="62" t="str">
        <f t="shared" si="44"/>
        <v/>
      </c>
      <c r="O234" s="63" t="e">
        <f>VLOOKUP($N234,Herbicide_Data!$A$1:$L$61,9)</f>
        <v>#N/A</v>
      </c>
      <c r="P234" s="62" t="e">
        <f>VLOOKUP($N234,Herbicide_Data!$A$1:$P$61,13)</f>
        <v>#N/A</v>
      </c>
      <c r="Q234" s="16" t="e">
        <f t="shared" si="39"/>
        <v>#N/A</v>
      </c>
      <c r="R234" s="62" t="str">
        <f t="shared" si="45"/>
        <v/>
      </c>
      <c r="S234" s="63" t="e">
        <f>VLOOKUP($R234,Herbicide_Data!$A$1:$L$61,9)</f>
        <v>#N/A</v>
      </c>
      <c r="T234" s="62" t="e">
        <f>VLOOKUP($R234,Herbicide_Data!$A$1:$Q$61,13)</f>
        <v>#N/A</v>
      </c>
      <c r="U234" s="16" t="e">
        <f t="shared" si="40"/>
        <v>#N/A</v>
      </c>
      <c r="V234" s="62" t="b">
        <f t="shared" si="46"/>
        <v>0</v>
      </c>
      <c r="W234" s="63" t="e">
        <f>VLOOKUP($V234,Herbicide_Data!$A$1:$L$17,9)</f>
        <v>#N/A</v>
      </c>
      <c r="X234" s="62" t="e">
        <f>VLOOKUP($V234,Herbicide_Data!$A$1:$L$17,12)</f>
        <v>#N/A</v>
      </c>
      <c r="Y234" s="16" t="e">
        <f t="shared" si="41"/>
        <v>#N/A</v>
      </c>
      <c r="Z234" s="15"/>
      <c r="AA234" s="13"/>
      <c r="AB234" s="17"/>
      <c r="AC234" s="3"/>
      <c r="AD234" s="10"/>
      <c r="AE234" s="3"/>
      <c r="AF234" s="10"/>
      <c r="AG234" s="15"/>
      <c r="AH234" s="62" t="str">
        <f t="shared" si="47"/>
        <v/>
      </c>
      <c r="AI234" s="62" t="e">
        <f>VLOOKUP($AH234,Herbicide_Data!$A$1:$Q$61,13)</f>
        <v>#N/A</v>
      </c>
      <c r="AJ234" s="16" t="e">
        <f t="shared" si="42"/>
        <v>#N/A</v>
      </c>
      <c r="AK234" s="3"/>
      <c r="AL234" s="3"/>
      <c r="AM234" s="3"/>
      <c r="AN234" s="3"/>
      <c r="AO234" s="3"/>
      <c r="AP234" s="3"/>
      <c r="AQ234" s="18"/>
      <c r="AR234" s="19"/>
      <c r="AS234" s="19"/>
      <c r="AT234" s="20"/>
      <c r="AU234" s="20"/>
      <c r="AV234" s="21"/>
      <c r="AW234" s="22"/>
      <c r="AX234" s="19"/>
      <c r="AY234" s="19"/>
      <c r="AZ234" s="19"/>
      <c r="BA234" s="23"/>
      <c r="BB234" s="19"/>
      <c r="BC234" s="19"/>
      <c r="BD234" s="19"/>
    </row>
    <row r="235" spans="1:56">
      <c r="A235" s="13"/>
      <c r="B235" s="11"/>
      <c r="C235" s="12"/>
      <c r="D235" s="12">
        <f t="shared" si="37"/>
        <v>2.0833299999999999E-2</v>
      </c>
      <c r="E235" s="10"/>
      <c r="F235" s="10" t="str">
        <f>IFERROR(VLOOKUP(E235,Data!A$2:B$5,2,TRUE), "")</f>
        <v/>
      </c>
      <c r="G235" s="3"/>
      <c r="H235" s="13" t="str">
        <f>IFERROR(VLOOKUP(A235,Customer_Data!$A$1:$P$114,8,TRUE),"")</f>
        <v/>
      </c>
      <c r="I235" s="13"/>
      <c r="J235" s="3" t="str">
        <f t="shared" si="43"/>
        <v/>
      </c>
      <c r="K235" s="62" t="e">
        <f>(VLOOKUP($J235,Herbicide_Data!$A$1:$L$61,9,TRUE))</f>
        <v>#N/A</v>
      </c>
      <c r="L235" s="62" t="e">
        <f>VLOOKUP($J235,Herbicide_Data!$A$1:$L$61,12,TRUE)</f>
        <v>#N/A</v>
      </c>
      <c r="M235" s="16" t="e">
        <f t="shared" si="38"/>
        <v>#N/A</v>
      </c>
      <c r="N235" s="62" t="str">
        <f t="shared" si="44"/>
        <v/>
      </c>
      <c r="O235" s="63" t="e">
        <f>VLOOKUP($N235,Herbicide_Data!$A$1:$L$61,9)</f>
        <v>#N/A</v>
      </c>
      <c r="P235" s="62" t="e">
        <f>VLOOKUP($N235,Herbicide_Data!$A$1:$P$61,13)</f>
        <v>#N/A</v>
      </c>
      <c r="Q235" s="16" t="e">
        <f t="shared" si="39"/>
        <v>#N/A</v>
      </c>
      <c r="R235" s="62" t="str">
        <f t="shared" si="45"/>
        <v/>
      </c>
      <c r="S235" s="63" t="e">
        <f>VLOOKUP($R235,Herbicide_Data!$A$1:$L$61,9)</f>
        <v>#N/A</v>
      </c>
      <c r="T235" s="62" t="e">
        <f>VLOOKUP($R235,Herbicide_Data!$A$1:$Q$61,13)</f>
        <v>#N/A</v>
      </c>
      <c r="U235" s="16" t="e">
        <f t="shared" si="40"/>
        <v>#N/A</v>
      </c>
      <c r="V235" s="62" t="b">
        <f t="shared" si="46"/>
        <v>0</v>
      </c>
      <c r="W235" s="63" t="e">
        <f>VLOOKUP($V235,Herbicide_Data!$A$1:$L$17,9)</f>
        <v>#N/A</v>
      </c>
      <c r="X235" s="62" t="e">
        <f>VLOOKUP($V235,Herbicide_Data!$A$1:$L$17,12)</f>
        <v>#N/A</v>
      </c>
      <c r="Y235" s="16" t="e">
        <f t="shared" si="41"/>
        <v>#N/A</v>
      </c>
      <c r="Z235" s="15"/>
      <c r="AA235" s="13"/>
      <c r="AB235" s="17"/>
      <c r="AC235" s="3"/>
      <c r="AD235" s="10"/>
      <c r="AE235" s="3"/>
      <c r="AF235" s="10"/>
      <c r="AG235" s="15"/>
      <c r="AH235" s="62" t="str">
        <f t="shared" si="47"/>
        <v/>
      </c>
      <c r="AI235" s="62" t="e">
        <f>VLOOKUP($AH235,Herbicide_Data!$A$1:$Q$61,13)</f>
        <v>#N/A</v>
      </c>
      <c r="AJ235" s="16" t="e">
        <f t="shared" si="42"/>
        <v>#N/A</v>
      </c>
      <c r="AK235" s="3"/>
      <c r="AL235" s="3"/>
      <c r="AM235" s="3"/>
      <c r="AN235" s="3"/>
      <c r="AO235" s="3"/>
      <c r="AP235" s="3"/>
      <c r="AQ235" s="18"/>
      <c r="AR235" s="19"/>
      <c r="AS235" s="19"/>
      <c r="AT235" s="20"/>
      <c r="AU235" s="20"/>
      <c r="AV235" s="21"/>
      <c r="AW235" s="22"/>
      <c r="AX235" s="19"/>
      <c r="AY235" s="19"/>
      <c r="AZ235" s="19"/>
      <c r="BA235" s="23"/>
      <c r="BB235" s="19"/>
      <c r="BC235" s="19"/>
      <c r="BD235" s="19"/>
    </row>
    <row r="236" spans="1:56">
      <c r="A236" s="13"/>
      <c r="B236" s="11"/>
      <c r="C236" s="12"/>
      <c r="D236" s="12">
        <f t="shared" si="37"/>
        <v>2.0833299999999999E-2</v>
      </c>
      <c r="E236" s="10"/>
      <c r="F236" s="10" t="str">
        <f>IFERROR(VLOOKUP(E236,Data!A$2:B$5,2,TRUE), "")</f>
        <v/>
      </c>
      <c r="G236" s="3"/>
      <c r="H236" s="13" t="str">
        <f>IFERROR(VLOOKUP(A236,Customer_Data!$A$1:$P$114,8,TRUE),"")</f>
        <v/>
      </c>
      <c r="I236" s="13"/>
      <c r="J236" s="3" t="str">
        <f t="shared" si="43"/>
        <v/>
      </c>
      <c r="K236" s="62" t="e">
        <f>(VLOOKUP($J236,Herbicide_Data!$A$1:$L$61,9,TRUE))</f>
        <v>#N/A</v>
      </c>
      <c r="L236" s="62" t="e">
        <f>VLOOKUP($J236,Herbicide_Data!$A$1:$L$61,12,TRUE)</f>
        <v>#N/A</v>
      </c>
      <c r="M236" s="16" t="e">
        <f t="shared" si="38"/>
        <v>#N/A</v>
      </c>
      <c r="N236" s="62" t="str">
        <f t="shared" si="44"/>
        <v/>
      </c>
      <c r="O236" s="63" t="e">
        <f>VLOOKUP($N236,Herbicide_Data!$A$1:$L$61,9)</f>
        <v>#N/A</v>
      </c>
      <c r="P236" s="62" t="e">
        <f>VLOOKUP($N236,Herbicide_Data!$A$1:$P$61,13)</f>
        <v>#N/A</v>
      </c>
      <c r="Q236" s="16" t="e">
        <f t="shared" si="39"/>
        <v>#N/A</v>
      </c>
      <c r="R236" s="62" t="str">
        <f t="shared" si="45"/>
        <v/>
      </c>
      <c r="S236" s="63" t="e">
        <f>VLOOKUP($R236,Herbicide_Data!$A$1:$L$61,9)</f>
        <v>#N/A</v>
      </c>
      <c r="T236" s="62" t="e">
        <f>VLOOKUP($R236,Herbicide_Data!$A$1:$Q$61,13)</f>
        <v>#N/A</v>
      </c>
      <c r="U236" s="16" t="e">
        <f t="shared" si="40"/>
        <v>#N/A</v>
      </c>
      <c r="V236" s="62" t="b">
        <f t="shared" si="46"/>
        <v>0</v>
      </c>
      <c r="W236" s="63" t="e">
        <f>VLOOKUP($V236,Herbicide_Data!$A$1:$L$17,9)</f>
        <v>#N/A</v>
      </c>
      <c r="X236" s="62" t="e">
        <f>VLOOKUP($V236,Herbicide_Data!$A$1:$L$17,12)</f>
        <v>#N/A</v>
      </c>
      <c r="Y236" s="16" t="e">
        <f t="shared" si="41"/>
        <v>#N/A</v>
      </c>
      <c r="Z236" s="15"/>
      <c r="AA236" s="13"/>
      <c r="AB236" s="17"/>
      <c r="AC236" s="3"/>
      <c r="AD236" s="10"/>
      <c r="AE236" s="3"/>
      <c r="AF236" s="10"/>
      <c r="AG236" s="15"/>
      <c r="AH236" s="62" t="str">
        <f t="shared" si="47"/>
        <v/>
      </c>
      <c r="AI236" s="62" t="e">
        <f>VLOOKUP($AH236,Herbicide_Data!$A$1:$Q$61,13)</f>
        <v>#N/A</v>
      </c>
      <c r="AJ236" s="16" t="e">
        <f t="shared" si="42"/>
        <v>#N/A</v>
      </c>
      <c r="AK236" s="3"/>
      <c r="AL236" s="3"/>
      <c r="AM236" s="3"/>
      <c r="AN236" s="3"/>
      <c r="AO236" s="3"/>
      <c r="AP236" s="3"/>
      <c r="AQ236" s="18"/>
      <c r="AR236" s="19"/>
      <c r="AS236" s="19"/>
      <c r="AT236" s="20"/>
      <c r="AU236" s="20"/>
      <c r="AV236" s="21"/>
      <c r="AW236" s="22"/>
      <c r="AX236" s="19"/>
      <c r="AY236" s="19"/>
      <c r="AZ236" s="19"/>
      <c r="BA236" s="23"/>
      <c r="BB236" s="19"/>
      <c r="BC236" s="19"/>
      <c r="BD236" s="19"/>
    </row>
    <row r="237" spans="1:56">
      <c r="A237" s="13"/>
      <c r="B237" s="11"/>
      <c r="C237" s="12"/>
      <c r="D237" s="12">
        <f t="shared" si="37"/>
        <v>2.0833299999999999E-2</v>
      </c>
      <c r="E237" s="10"/>
      <c r="F237" s="10" t="str">
        <f>IFERROR(VLOOKUP(E237,Data!A$2:B$5,2,TRUE), "")</f>
        <v/>
      </c>
      <c r="G237" s="3"/>
      <c r="H237" s="13" t="str">
        <f>IFERROR(VLOOKUP(A237,Customer_Data!$A$1:$P$114,8,TRUE),"")</f>
        <v/>
      </c>
      <c r="I237" s="13"/>
      <c r="J237" s="3" t="str">
        <f t="shared" si="43"/>
        <v/>
      </c>
      <c r="K237" s="62" t="e">
        <f>(VLOOKUP($J237,Herbicide_Data!$A$1:$L$61,9,TRUE))</f>
        <v>#N/A</v>
      </c>
      <c r="L237" s="62" t="e">
        <f>VLOOKUP($J237,Herbicide_Data!$A$1:$L$61,12,TRUE)</f>
        <v>#N/A</v>
      </c>
      <c r="M237" s="16" t="e">
        <f t="shared" si="38"/>
        <v>#N/A</v>
      </c>
      <c r="N237" s="62" t="str">
        <f t="shared" si="44"/>
        <v/>
      </c>
      <c r="O237" s="63" t="e">
        <f>VLOOKUP($N237,Herbicide_Data!$A$1:$L$61,9)</f>
        <v>#N/A</v>
      </c>
      <c r="P237" s="62" t="e">
        <f>VLOOKUP($N237,Herbicide_Data!$A$1:$P$61,13)</f>
        <v>#N/A</v>
      </c>
      <c r="Q237" s="16" t="e">
        <f t="shared" si="39"/>
        <v>#N/A</v>
      </c>
      <c r="R237" s="62" t="str">
        <f t="shared" si="45"/>
        <v/>
      </c>
      <c r="S237" s="63" t="e">
        <f>VLOOKUP($R237,Herbicide_Data!$A$1:$L$61,9)</f>
        <v>#N/A</v>
      </c>
      <c r="T237" s="62" t="e">
        <f>VLOOKUP($R237,Herbicide_Data!$A$1:$Q$61,13)</f>
        <v>#N/A</v>
      </c>
      <c r="U237" s="16" t="e">
        <f t="shared" si="40"/>
        <v>#N/A</v>
      </c>
      <c r="V237" s="62" t="b">
        <f t="shared" si="46"/>
        <v>0</v>
      </c>
      <c r="W237" s="63" t="e">
        <f>VLOOKUP($V237,Herbicide_Data!$A$1:$L$17,9)</f>
        <v>#N/A</v>
      </c>
      <c r="X237" s="62" t="e">
        <f>VLOOKUP($V237,Herbicide_Data!$A$1:$L$17,12)</f>
        <v>#N/A</v>
      </c>
      <c r="Y237" s="16" t="e">
        <f t="shared" si="41"/>
        <v>#N/A</v>
      </c>
      <c r="Z237" s="15"/>
      <c r="AA237" s="13"/>
      <c r="AB237" s="17"/>
      <c r="AC237" s="3"/>
      <c r="AD237" s="10"/>
      <c r="AE237" s="3"/>
      <c r="AF237" s="10"/>
      <c r="AG237" s="15"/>
      <c r="AH237" s="62" t="str">
        <f t="shared" si="47"/>
        <v/>
      </c>
      <c r="AI237" s="62" t="e">
        <f>VLOOKUP($AH237,Herbicide_Data!$A$1:$Q$61,13)</f>
        <v>#N/A</v>
      </c>
      <c r="AJ237" s="16" t="e">
        <f t="shared" si="42"/>
        <v>#N/A</v>
      </c>
      <c r="AK237" s="3"/>
      <c r="AL237" s="3"/>
      <c r="AM237" s="3"/>
      <c r="AN237" s="3"/>
      <c r="AO237" s="3"/>
      <c r="AP237" s="3"/>
      <c r="AQ237" s="18"/>
      <c r="AR237" s="19"/>
      <c r="AS237" s="19"/>
      <c r="AT237" s="20"/>
      <c r="AU237" s="20"/>
      <c r="AV237" s="21"/>
      <c r="AW237" s="22"/>
      <c r="AX237" s="19"/>
      <c r="AY237" s="19"/>
      <c r="AZ237" s="19"/>
      <c r="BA237" s="23"/>
      <c r="BB237" s="19"/>
      <c r="BC237" s="19"/>
      <c r="BD237" s="19"/>
    </row>
    <row r="238" spans="1:56">
      <c r="A238" s="13"/>
      <c r="B238" s="11"/>
      <c r="C238" s="12"/>
      <c r="D238" s="12">
        <f t="shared" si="37"/>
        <v>2.0833299999999999E-2</v>
      </c>
      <c r="E238" s="10"/>
      <c r="F238" s="10" t="str">
        <f>IFERROR(VLOOKUP(E238,Data!A$2:B$5,2,TRUE), "")</f>
        <v/>
      </c>
      <c r="G238" s="3"/>
      <c r="H238" s="13" t="str">
        <f>IFERROR(VLOOKUP(A238,Customer_Data!$A$1:$P$114,8,TRUE),"")</f>
        <v/>
      </c>
      <c r="I238" s="13"/>
      <c r="J238" s="3" t="str">
        <f t="shared" si="43"/>
        <v/>
      </c>
      <c r="K238" s="62" t="e">
        <f>(VLOOKUP($J238,Herbicide_Data!$A$1:$L$61,9,TRUE))</f>
        <v>#N/A</v>
      </c>
      <c r="L238" s="62" t="e">
        <f>VLOOKUP($J238,Herbicide_Data!$A$1:$L$61,12,TRUE)</f>
        <v>#N/A</v>
      </c>
      <c r="M238" s="16" t="e">
        <f t="shared" si="38"/>
        <v>#N/A</v>
      </c>
      <c r="N238" s="62" t="str">
        <f t="shared" si="44"/>
        <v/>
      </c>
      <c r="O238" s="63" t="e">
        <f>VLOOKUP($N238,Herbicide_Data!$A$1:$L$61,9)</f>
        <v>#N/A</v>
      </c>
      <c r="P238" s="62" t="e">
        <f>VLOOKUP($N238,Herbicide_Data!$A$1:$P$61,13)</f>
        <v>#N/A</v>
      </c>
      <c r="Q238" s="16" t="e">
        <f t="shared" si="39"/>
        <v>#N/A</v>
      </c>
      <c r="R238" s="62" t="str">
        <f t="shared" si="45"/>
        <v/>
      </c>
      <c r="S238" s="63" t="e">
        <f>VLOOKUP($R238,Herbicide_Data!$A$1:$L$61,9)</f>
        <v>#N/A</v>
      </c>
      <c r="T238" s="62" t="e">
        <f>VLOOKUP($R238,Herbicide_Data!$A$1:$Q$61,13)</f>
        <v>#N/A</v>
      </c>
      <c r="U238" s="16" t="e">
        <f t="shared" si="40"/>
        <v>#N/A</v>
      </c>
      <c r="V238" s="62" t="b">
        <f t="shared" si="46"/>
        <v>0</v>
      </c>
      <c r="W238" s="63" t="e">
        <f>VLOOKUP($V238,Herbicide_Data!$A$1:$L$17,9)</f>
        <v>#N/A</v>
      </c>
      <c r="X238" s="62" t="e">
        <f>VLOOKUP($V238,Herbicide_Data!$A$1:$L$17,12)</f>
        <v>#N/A</v>
      </c>
      <c r="Y238" s="16" t="e">
        <f t="shared" si="41"/>
        <v>#N/A</v>
      </c>
      <c r="Z238" s="15"/>
      <c r="AA238" s="13"/>
      <c r="AB238" s="17"/>
      <c r="AC238" s="3"/>
      <c r="AD238" s="10"/>
      <c r="AE238" s="3"/>
      <c r="AF238" s="10"/>
      <c r="AG238" s="15"/>
      <c r="AH238" s="62" t="str">
        <f t="shared" si="47"/>
        <v/>
      </c>
      <c r="AI238" s="62" t="e">
        <f>VLOOKUP($AH238,Herbicide_Data!$A$1:$Q$61,13)</f>
        <v>#N/A</v>
      </c>
      <c r="AJ238" s="16" t="e">
        <f t="shared" si="42"/>
        <v>#N/A</v>
      </c>
      <c r="AK238" s="3"/>
      <c r="AL238" s="3"/>
      <c r="AM238" s="3"/>
      <c r="AN238" s="3"/>
      <c r="AO238" s="3"/>
      <c r="AP238" s="3"/>
      <c r="AQ238" s="18"/>
      <c r="AR238" s="19"/>
      <c r="AS238" s="19"/>
      <c r="AT238" s="20"/>
      <c r="AU238" s="20"/>
      <c r="AV238" s="21"/>
      <c r="AW238" s="22"/>
      <c r="AX238" s="19"/>
      <c r="AY238" s="19"/>
      <c r="AZ238" s="19"/>
      <c r="BA238" s="23"/>
      <c r="BB238" s="19"/>
      <c r="BC238" s="19"/>
      <c r="BD238" s="19"/>
    </row>
    <row r="239" spans="1:56">
      <c r="A239" s="13"/>
      <c r="B239" s="11"/>
      <c r="C239" s="12"/>
      <c r="D239" s="12">
        <f t="shared" si="37"/>
        <v>2.0833299999999999E-2</v>
      </c>
      <c r="E239" s="10"/>
      <c r="F239" s="10" t="str">
        <f>IFERROR(VLOOKUP(E239,Data!A$2:B$5,2,TRUE), "")</f>
        <v/>
      </c>
      <c r="G239" s="3"/>
      <c r="H239" s="13" t="str">
        <f>IFERROR(VLOOKUP(A239,Customer_Data!$A$1:$P$114,8,TRUE),"")</f>
        <v/>
      </c>
      <c r="I239" s="13"/>
      <c r="J239" s="3" t="str">
        <f t="shared" si="43"/>
        <v/>
      </c>
      <c r="K239" s="62" t="e">
        <f>(VLOOKUP($J239,Herbicide_Data!$A$1:$L$61,9,TRUE))</f>
        <v>#N/A</v>
      </c>
      <c r="L239" s="62" t="e">
        <f>VLOOKUP($J239,Herbicide_Data!$A$1:$L$61,12,TRUE)</f>
        <v>#N/A</v>
      </c>
      <c r="M239" s="16" t="e">
        <f t="shared" si="38"/>
        <v>#N/A</v>
      </c>
      <c r="N239" s="62" t="str">
        <f t="shared" si="44"/>
        <v/>
      </c>
      <c r="O239" s="63" t="e">
        <f>VLOOKUP($N239,Herbicide_Data!$A$1:$L$61,9)</f>
        <v>#N/A</v>
      </c>
      <c r="P239" s="62" t="e">
        <f>VLOOKUP($N239,Herbicide_Data!$A$1:$P$61,13)</f>
        <v>#N/A</v>
      </c>
      <c r="Q239" s="16" t="e">
        <f t="shared" si="39"/>
        <v>#N/A</v>
      </c>
      <c r="R239" s="62" t="str">
        <f t="shared" si="45"/>
        <v/>
      </c>
      <c r="S239" s="63" t="e">
        <f>VLOOKUP($R239,Herbicide_Data!$A$1:$L$61,9)</f>
        <v>#N/A</v>
      </c>
      <c r="T239" s="62" t="e">
        <f>VLOOKUP($R239,Herbicide_Data!$A$1:$Q$61,13)</f>
        <v>#N/A</v>
      </c>
      <c r="U239" s="16" t="e">
        <f t="shared" si="40"/>
        <v>#N/A</v>
      </c>
      <c r="V239" s="62" t="b">
        <f t="shared" si="46"/>
        <v>0</v>
      </c>
      <c r="W239" s="63" t="e">
        <f>VLOOKUP($V239,Herbicide_Data!$A$1:$L$17,9)</f>
        <v>#N/A</v>
      </c>
      <c r="X239" s="62" t="e">
        <f>VLOOKUP($V239,Herbicide_Data!$A$1:$L$17,12)</f>
        <v>#N/A</v>
      </c>
      <c r="Y239" s="16" t="e">
        <f t="shared" si="41"/>
        <v>#N/A</v>
      </c>
      <c r="Z239" s="15"/>
      <c r="AA239" s="13"/>
      <c r="AB239" s="17"/>
      <c r="AC239" s="3"/>
      <c r="AD239" s="10"/>
      <c r="AE239" s="3"/>
      <c r="AF239" s="10"/>
      <c r="AG239" s="15"/>
      <c r="AH239" s="62" t="str">
        <f t="shared" si="47"/>
        <v/>
      </c>
      <c r="AI239" s="62" t="e">
        <f>VLOOKUP($AH239,Herbicide_Data!$A$1:$Q$61,13)</f>
        <v>#N/A</v>
      </c>
      <c r="AJ239" s="16" t="e">
        <f t="shared" si="42"/>
        <v>#N/A</v>
      </c>
      <c r="AK239" s="3"/>
      <c r="AL239" s="3"/>
      <c r="AM239" s="3"/>
      <c r="AN239" s="3"/>
      <c r="AO239" s="3"/>
      <c r="AP239" s="3"/>
      <c r="AQ239" s="18"/>
      <c r="AR239" s="19"/>
      <c r="AS239" s="19"/>
      <c r="AT239" s="20"/>
      <c r="AU239" s="20"/>
      <c r="AV239" s="21"/>
      <c r="AW239" s="22"/>
      <c r="AX239" s="19"/>
      <c r="AY239" s="19"/>
      <c r="AZ239" s="19"/>
      <c r="BA239" s="23"/>
      <c r="BB239" s="19"/>
      <c r="BC239" s="19"/>
      <c r="BD239" s="19"/>
    </row>
    <row r="240" spans="1:56">
      <c r="A240" s="13"/>
      <c r="B240" s="11"/>
      <c r="C240" s="12"/>
      <c r="D240" s="12">
        <f t="shared" si="37"/>
        <v>2.0833299999999999E-2</v>
      </c>
      <c r="E240" s="10"/>
      <c r="F240" s="10" t="str">
        <f>IFERROR(VLOOKUP(E240,Data!A$2:B$5,2,TRUE), "")</f>
        <v/>
      </c>
      <c r="G240" s="3"/>
      <c r="H240" s="13" t="str">
        <f>IFERROR(VLOOKUP(A240,Customer_Data!$A$1:$P$114,8,TRUE),"")</f>
        <v/>
      </c>
      <c r="I240" s="13"/>
      <c r="J240" s="3" t="str">
        <f t="shared" si="43"/>
        <v/>
      </c>
      <c r="K240" s="62" t="e">
        <f>(VLOOKUP($J240,Herbicide_Data!$A$1:$L$61,9,TRUE))</f>
        <v>#N/A</v>
      </c>
      <c r="L240" s="62" t="e">
        <f>VLOOKUP($J240,Herbicide_Data!$A$1:$L$61,12,TRUE)</f>
        <v>#N/A</v>
      </c>
      <c r="M240" s="16" t="e">
        <f t="shared" si="38"/>
        <v>#N/A</v>
      </c>
      <c r="N240" s="62" t="str">
        <f t="shared" si="44"/>
        <v/>
      </c>
      <c r="O240" s="63" t="e">
        <f>VLOOKUP($N240,Herbicide_Data!$A$1:$L$61,9)</f>
        <v>#N/A</v>
      </c>
      <c r="P240" s="62" t="e">
        <f>VLOOKUP($N240,Herbicide_Data!$A$1:$P$61,13)</f>
        <v>#N/A</v>
      </c>
      <c r="Q240" s="16" t="e">
        <f t="shared" si="39"/>
        <v>#N/A</v>
      </c>
      <c r="R240" s="62" t="str">
        <f t="shared" si="45"/>
        <v/>
      </c>
      <c r="S240" s="63" t="e">
        <f>VLOOKUP($R240,Herbicide_Data!$A$1:$L$61,9)</f>
        <v>#N/A</v>
      </c>
      <c r="T240" s="62" t="e">
        <f>VLOOKUP($R240,Herbicide_Data!$A$1:$Q$61,13)</f>
        <v>#N/A</v>
      </c>
      <c r="U240" s="16" t="e">
        <f t="shared" si="40"/>
        <v>#N/A</v>
      </c>
      <c r="V240" s="62" t="b">
        <f t="shared" si="46"/>
        <v>0</v>
      </c>
      <c r="W240" s="63" t="e">
        <f>VLOOKUP($V240,Herbicide_Data!$A$1:$L$17,9)</f>
        <v>#N/A</v>
      </c>
      <c r="X240" s="62" t="e">
        <f>VLOOKUP($V240,Herbicide_Data!$A$1:$L$17,12)</f>
        <v>#N/A</v>
      </c>
      <c r="Y240" s="16" t="e">
        <f t="shared" si="41"/>
        <v>#N/A</v>
      </c>
      <c r="Z240" s="15"/>
      <c r="AA240" s="13"/>
      <c r="AB240" s="17"/>
      <c r="AC240" s="3"/>
      <c r="AD240" s="10"/>
      <c r="AE240" s="3"/>
      <c r="AF240" s="10"/>
      <c r="AG240" s="15"/>
      <c r="AH240" s="62" t="str">
        <f t="shared" si="47"/>
        <v/>
      </c>
      <c r="AI240" s="62" t="e">
        <f>VLOOKUP($AH240,Herbicide_Data!$A$1:$Q$61,13)</f>
        <v>#N/A</v>
      </c>
      <c r="AJ240" s="16" t="e">
        <f t="shared" si="42"/>
        <v>#N/A</v>
      </c>
      <c r="AK240" s="3"/>
      <c r="AL240" s="3"/>
      <c r="AM240" s="3"/>
      <c r="AN240" s="3"/>
      <c r="AO240" s="3"/>
      <c r="AP240" s="3"/>
      <c r="AQ240" s="18"/>
      <c r="AR240" s="19"/>
      <c r="AS240" s="19"/>
      <c r="AT240" s="20"/>
      <c r="AU240" s="20"/>
      <c r="AV240" s="21"/>
      <c r="AW240" s="22"/>
      <c r="AX240" s="19"/>
      <c r="AY240" s="19"/>
      <c r="AZ240" s="19"/>
      <c r="BA240" s="23"/>
      <c r="BB240" s="19"/>
      <c r="BC240" s="19"/>
      <c r="BD240" s="19"/>
    </row>
    <row r="241" spans="1:56">
      <c r="A241" s="13"/>
      <c r="B241" s="11"/>
      <c r="C241" s="12"/>
      <c r="D241" s="12">
        <f t="shared" si="37"/>
        <v>2.0833299999999999E-2</v>
      </c>
      <c r="E241" s="10"/>
      <c r="F241" s="10" t="str">
        <f>IFERROR(VLOOKUP(E241,Data!A$2:B$5,2,TRUE), "")</f>
        <v/>
      </c>
      <c r="G241" s="3"/>
      <c r="H241" s="13" t="str">
        <f>IFERROR(VLOOKUP(A241,Customer_Data!$A$1:$P$114,8,TRUE),"")</f>
        <v/>
      </c>
      <c r="I241" s="13"/>
      <c r="J241" s="3" t="str">
        <f t="shared" si="43"/>
        <v/>
      </c>
      <c r="K241" s="62" t="e">
        <f>(VLOOKUP($J241,Herbicide_Data!$A$1:$L$61,9,TRUE))</f>
        <v>#N/A</v>
      </c>
      <c r="L241" s="62" t="e">
        <f>VLOOKUP($J241,Herbicide_Data!$A$1:$L$61,12,TRUE)</f>
        <v>#N/A</v>
      </c>
      <c r="M241" s="16" t="e">
        <f t="shared" si="38"/>
        <v>#N/A</v>
      </c>
      <c r="N241" s="62" t="str">
        <f t="shared" si="44"/>
        <v/>
      </c>
      <c r="O241" s="63" t="e">
        <f>VLOOKUP($N241,Herbicide_Data!$A$1:$L$61,9)</f>
        <v>#N/A</v>
      </c>
      <c r="P241" s="62" t="e">
        <f>VLOOKUP($N241,Herbicide_Data!$A$1:$P$61,13)</f>
        <v>#N/A</v>
      </c>
      <c r="Q241" s="16" t="e">
        <f t="shared" si="39"/>
        <v>#N/A</v>
      </c>
      <c r="R241" s="62" t="str">
        <f t="shared" si="45"/>
        <v/>
      </c>
      <c r="S241" s="63" t="e">
        <f>VLOOKUP($R241,Herbicide_Data!$A$1:$L$61,9)</f>
        <v>#N/A</v>
      </c>
      <c r="T241" s="62" t="e">
        <f>VLOOKUP($R241,Herbicide_Data!$A$1:$Q$61,13)</f>
        <v>#N/A</v>
      </c>
      <c r="U241" s="16" t="e">
        <f t="shared" si="40"/>
        <v>#N/A</v>
      </c>
      <c r="V241" s="62" t="b">
        <f t="shared" si="46"/>
        <v>0</v>
      </c>
      <c r="W241" s="63" t="e">
        <f>VLOOKUP($V241,Herbicide_Data!$A$1:$L$17,9)</f>
        <v>#N/A</v>
      </c>
      <c r="X241" s="62" t="e">
        <f>VLOOKUP($V241,Herbicide_Data!$A$1:$L$17,12)</f>
        <v>#N/A</v>
      </c>
      <c r="Y241" s="16" t="e">
        <f t="shared" si="41"/>
        <v>#N/A</v>
      </c>
      <c r="Z241" s="15"/>
      <c r="AA241" s="13"/>
      <c r="AB241" s="17"/>
      <c r="AC241" s="3"/>
      <c r="AD241" s="10"/>
      <c r="AE241" s="3"/>
      <c r="AF241" s="10"/>
      <c r="AG241" s="15"/>
      <c r="AH241" s="62" t="str">
        <f t="shared" si="47"/>
        <v/>
      </c>
      <c r="AI241" s="62" t="e">
        <f>VLOOKUP($AH241,Herbicide_Data!$A$1:$Q$61,13)</f>
        <v>#N/A</v>
      </c>
      <c r="AJ241" s="16" t="e">
        <f t="shared" si="42"/>
        <v>#N/A</v>
      </c>
      <c r="AK241" s="3"/>
      <c r="AL241" s="3"/>
      <c r="AM241" s="3"/>
      <c r="AN241" s="3"/>
      <c r="AO241" s="3"/>
      <c r="AP241" s="3"/>
      <c r="AQ241" s="18"/>
      <c r="AR241" s="19"/>
      <c r="AS241" s="19"/>
      <c r="AT241" s="20"/>
      <c r="AU241" s="20"/>
      <c r="AV241" s="21"/>
      <c r="AW241" s="22"/>
      <c r="AX241" s="19"/>
      <c r="AY241" s="19"/>
      <c r="AZ241" s="19"/>
      <c r="BA241" s="23"/>
      <c r="BB241" s="19"/>
      <c r="BC241" s="19"/>
      <c r="BD241" s="19"/>
    </row>
    <row r="242" spans="1:56">
      <c r="A242" s="13"/>
      <c r="B242" s="11"/>
      <c r="C242" s="12"/>
      <c r="D242" s="12">
        <f t="shared" si="37"/>
        <v>2.0833299999999999E-2</v>
      </c>
      <c r="E242" s="10"/>
      <c r="F242" s="10" t="str">
        <f>IFERROR(VLOOKUP(E242,Data!A$2:B$5,2,TRUE), "")</f>
        <v/>
      </c>
      <c r="G242" s="3"/>
      <c r="H242" s="13" t="str">
        <f>IFERROR(VLOOKUP(A242,Customer_Data!$A$1:$P$114,8,TRUE),"")</f>
        <v/>
      </c>
      <c r="I242" s="13"/>
      <c r="J242" s="3" t="str">
        <f t="shared" si="43"/>
        <v/>
      </c>
      <c r="K242" s="62" t="e">
        <f>(VLOOKUP($J242,Herbicide_Data!$A$1:$L$61,9,TRUE))</f>
        <v>#N/A</v>
      </c>
      <c r="L242" s="62" t="e">
        <f>VLOOKUP($J242,Herbicide_Data!$A$1:$L$61,12,TRUE)</f>
        <v>#N/A</v>
      </c>
      <c r="M242" s="16" t="e">
        <f t="shared" si="38"/>
        <v>#N/A</v>
      </c>
      <c r="N242" s="62" t="str">
        <f t="shared" si="44"/>
        <v/>
      </c>
      <c r="O242" s="63" t="e">
        <f>VLOOKUP($N242,Herbicide_Data!$A$1:$L$61,9)</f>
        <v>#N/A</v>
      </c>
      <c r="P242" s="62" t="e">
        <f>VLOOKUP($N242,Herbicide_Data!$A$1:$P$61,13)</f>
        <v>#N/A</v>
      </c>
      <c r="Q242" s="16" t="e">
        <f t="shared" si="39"/>
        <v>#N/A</v>
      </c>
      <c r="R242" s="62" t="str">
        <f t="shared" si="45"/>
        <v/>
      </c>
      <c r="S242" s="63" t="e">
        <f>VLOOKUP($R242,Herbicide_Data!$A$1:$L$61,9)</f>
        <v>#N/A</v>
      </c>
      <c r="T242" s="62" t="e">
        <f>VLOOKUP($R242,Herbicide_Data!$A$1:$Q$61,13)</f>
        <v>#N/A</v>
      </c>
      <c r="U242" s="16" t="e">
        <f t="shared" si="40"/>
        <v>#N/A</v>
      </c>
      <c r="V242" s="62" t="b">
        <f t="shared" si="46"/>
        <v>0</v>
      </c>
      <c r="W242" s="63" t="e">
        <f>VLOOKUP($V242,Herbicide_Data!$A$1:$L$17,9)</f>
        <v>#N/A</v>
      </c>
      <c r="X242" s="62" t="e">
        <f>VLOOKUP($V242,Herbicide_Data!$A$1:$L$17,12)</f>
        <v>#N/A</v>
      </c>
      <c r="Y242" s="16" t="e">
        <f t="shared" si="41"/>
        <v>#N/A</v>
      </c>
      <c r="Z242" s="15"/>
      <c r="AA242" s="13"/>
      <c r="AB242" s="17"/>
      <c r="AC242" s="3"/>
      <c r="AD242" s="10"/>
      <c r="AE242" s="3"/>
      <c r="AF242" s="10"/>
      <c r="AG242" s="15"/>
      <c r="AH242" s="62" t="str">
        <f t="shared" si="47"/>
        <v/>
      </c>
      <c r="AI242" s="62" t="e">
        <f>VLOOKUP($AH242,Herbicide_Data!$A$1:$Q$61,13)</f>
        <v>#N/A</v>
      </c>
      <c r="AJ242" s="16" t="e">
        <f t="shared" si="42"/>
        <v>#N/A</v>
      </c>
      <c r="AK242" s="3"/>
      <c r="AL242" s="3"/>
      <c r="AM242" s="3"/>
      <c r="AN242" s="3"/>
      <c r="AO242" s="3"/>
      <c r="AP242" s="3"/>
      <c r="AQ242" s="18"/>
      <c r="AR242" s="19"/>
      <c r="AS242" s="19"/>
      <c r="AT242" s="20"/>
      <c r="AU242" s="20"/>
      <c r="AV242" s="21"/>
      <c r="AW242" s="22"/>
      <c r="AX242" s="19"/>
      <c r="AY242" s="19"/>
      <c r="AZ242" s="19"/>
      <c r="BA242" s="23"/>
      <c r="BB242" s="19"/>
      <c r="BC242" s="19"/>
      <c r="BD242" s="19"/>
    </row>
    <row r="243" spans="1:56">
      <c r="A243" s="13"/>
      <c r="B243" s="11"/>
      <c r="C243" s="12"/>
      <c r="D243" s="12">
        <f t="shared" si="37"/>
        <v>2.0833299999999999E-2</v>
      </c>
      <c r="E243" s="10"/>
      <c r="F243" s="10" t="str">
        <f>IFERROR(VLOOKUP(E243,Data!A$2:B$5,2,TRUE), "")</f>
        <v/>
      </c>
      <c r="G243" s="3"/>
      <c r="H243" s="13" t="str">
        <f>IFERROR(VLOOKUP(A243,Customer_Data!$A$1:$P$114,8,TRUE),"")</f>
        <v/>
      </c>
      <c r="I243" s="13"/>
      <c r="J243" s="3" t="str">
        <f t="shared" si="43"/>
        <v/>
      </c>
      <c r="K243" s="62" t="e">
        <f>(VLOOKUP($J243,Herbicide_Data!$A$1:$L$61,9,TRUE))</f>
        <v>#N/A</v>
      </c>
      <c r="L243" s="62" t="e">
        <f>VLOOKUP($J243,Herbicide_Data!$A$1:$L$61,12,TRUE)</f>
        <v>#N/A</v>
      </c>
      <c r="M243" s="16" t="e">
        <f t="shared" si="38"/>
        <v>#N/A</v>
      </c>
      <c r="N243" s="62" t="str">
        <f t="shared" si="44"/>
        <v/>
      </c>
      <c r="O243" s="63" t="e">
        <f>VLOOKUP($N243,Herbicide_Data!$A$1:$L$61,9)</f>
        <v>#N/A</v>
      </c>
      <c r="P243" s="62" t="e">
        <f>VLOOKUP($N243,Herbicide_Data!$A$1:$P$61,13)</f>
        <v>#N/A</v>
      </c>
      <c r="Q243" s="16" t="e">
        <f t="shared" si="39"/>
        <v>#N/A</v>
      </c>
      <c r="R243" s="62" t="str">
        <f t="shared" si="45"/>
        <v/>
      </c>
      <c r="S243" s="63" t="e">
        <f>VLOOKUP($R243,Herbicide_Data!$A$1:$L$61,9)</f>
        <v>#N/A</v>
      </c>
      <c r="T243" s="62" t="e">
        <f>VLOOKUP($R243,Herbicide_Data!$A$1:$Q$61,13)</f>
        <v>#N/A</v>
      </c>
      <c r="U243" s="16" t="e">
        <f t="shared" si="40"/>
        <v>#N/A</v>
      </c>
      <c r="V243" s="62" t="b">
        <f t="shared" si="46"/>
        <v>0</v>
      </c>
      <c r="W243" s="63" t="e">
        <f>VLOOKUP($V243,Herbicide_Data!$A$1:$L$17,9)</f>
        <v>#N/A</v>
      </c>
      <c r="X243" s="62" t="e">
        <f>VLOOKUP($V243,Herbicide_Data!$A$1:$L$17,12)</f>
        <v>#N/A</v>
      </c>
      <c r="Y243" s="16" t="e">
        <f t="shared" si="41"/>
        <v>#N/A</v>
      </c>
      <c r="Z243" s="15"/>
      <c r="AA243" s="13"/>
      <c r="AB243" s="17"/>
      <c r="AC243" s="3"/>
      <c r="AD243" s="10"/>
      <c r="AE243" s="3"/>
      <c r="AF243" s="10"/>
      <c r="AG243" s="15"/>
      <c r="AH243" s="62" t="str">
        <f t="shared" si="47"/>
        <v/>
      </c>
      <c r="AI243" s="62" t="e">
        <f>VLOOKUP($AH243,Herbicide_Data!$A$1:$Q$61,13)</f>
        <v>#N/A</v>
      </c>
      <c r="AJ243" s="16" t="e">
        <f t="shared" si="42"/>
        <v>#N/A</v>
      </c>
      <c r="AK243" s="3"/>
      <c r="AL243" s="3"/>
      <c r="AM243" s="3"/>
      <c r="AN243" s="3"/>
      <c r="AO243" s="3"/>
      <c r="AP243" s="3"/>
      <c r="AQ243" s="18"/>
      <c r="AR243" s="19"/>
      <c r="AS243" s="19"/>
      <c r="AT243" s="20"/>
      <c r="AU243" s="20"/>
      <c r="AV243" s="21"/>
      <c r="AW243" s="22"/>
      <c r="AX243" s="19"/>
      <c r="AY243" s="19"/>
      <c r="AZ243" s="19"/>
      <c r="BA243" s="23"/>
      <c r="BB243" s="19"/>
      <c r="BC243" s="19"/>
      <c r="BD243" s="19"/>
    </row>
    <row r="244" spans="1:56">
      <c r="A244" s="13"/>
      <c r="B244" s="11"/>
      <c r="C244" s="12"/>
      <c r="D244" s="12">
        <f t="shared" si="37"/>
        <v>2.0833299999999999E-2</v>
      </c>
      <c r="E244" s="10"/>
      <c r="F244" s="10" t="str">
        <f>IFERROR(VLOOKUP(E244,Data!A$2:B$5,2,TRUE), "")</f>
        <v/>
      </c>
      <c r="G244" s="3"/>
      <c r="H244" s="13" t="str">
        <f>IFERROR(VLOOKUP(A244,Customer_Data!$A$1:$P$114,8,TRUE),"")</f>
        <v/>
      </c>
      <c r="I244" s="13"/>
      <c r="J244" s="3" t="str">
        <f t="shared" si="43"/>
        <v/>
      </c>
      <c r="K244" s="62" t="e">
        <f>(VLOOKUP($J244,Herbicide_Data!$A$1:$L$61,9,TRUE))</f>
        <v>#N/A</v>
      </c>
      <c r="L244" s="62" t="e">
        <f>VLOOKUP($J244,Herbicide_Data!$A$1:$L$61,12,TRUE)</f>
        <v>#N/A</v>
      </c>
      <c r="M244" s="16" t="e">
        <f t="shared" si="38"/>
        <v>#N/A</v>
      </c>
      <c r="N244" s="62" t="str">
        <f t="shared" si="44"/>
        <v/>
      </c>
      <c r="O244" s="63" t="e">
        <f>VLOOKUP($N244,Herbicide_Data!$A$1:$L$61,9)</f>
        <v>#N/A</v>
      </c>
      <c r="P244" s="62" t="e">
        <f>VLOOKUP($N244,Herbicide_Data!$A$1:$P$61,13)</f>
        <v>#N/A</v>
      </c>
      <c r="Q244" s="16" t="e">
        <f t="shared" si="39"/>
        <v>#N/A</v>
      </c>
      <c r="R244" s="62" t="str">
        <f t="shared" si="45"/>
        <v/>
      </c>
      <c r="S244" s="63" t="e">
        <f>VLOOKUP($R244,Herbicide_Data!$A$1:$L$61,9)</f>
        <v>#N/A</v>
      </c>
      <c r="T244" s="62" t="e">
        <f>VLOOKUP($R244,Herbicide_Data!$A$1:$Q$61,13)</f>
        <v>#N/A</v>
      </c>
      <c r="U244" s="16" t="e">
        <f t="shared" si="40"/>
        <v>#N/A</v>
      </c>
      <c r="V244" s="62" t="b">
        <f t="shared" si="46"/>
        <v>0</v>
      </c>
      <c r="W244" s="63" t="e">
        <f>VLOOKUP($V244,Herbicide_Data!$A$1:$L$17,9)</f>
        <v>#N/A</v>
      </c>
      <c r="X244" s="62" t="e">
        <f>VLOOKUP($V244,Herbicide_Data!$A$1:$L$17,12)</f>
        <v>#N/A</v>
      </c>
      <c r="Y244" s="16" t="e">
        <f t="shared" si="41"/>
        <v>#N/A</v>
      </c>
      <c r="Z244" s="15"/>
      <c r="AA244" s="13"/>
      <c r="AB244" s="17"/>
      <c r="AC244" s="3"/>
      <c r="AD244" s="10"/>
      <c r="AE244" s="3"/>
      <c r="AF244" s="10"/>
      <c r="AG244" s="15"/>
      <c r="AH244" s="62" t="str">
        <f t="shared" si="47"/>
        <v/>
      </c>
      <c r="AI244" s="62" t="e">
        <f>VLOOKUP($AH244,Herbicide_Data!$A$1:$Q$61,13)</f>
        <v>#N/A</v>
      </c>
      <c r="AJ244" s="16" t="e">
        <f t="shared" si="42"/>
        <v>#N/A</v>
      </c>
      <c r="AK244" s="3"/>
      <c r="AL244" s="3"/>
      <c r="AM244" s="3"/>
      <c r="AN244" s="3"/>
      <c r="AO244" s="3"/>
      <c r="AP244" s="3"/>
      <c r="AQ244" s="18"/>
      <c r="AR244" s="19"/>
      <c r="AS244" s="19"/>
      <c r="AT244" s="20"/>
      <c r="AU244" s="20"/>
      <c r="AV244" s="21"/>
      <c r="AW244" s="22"/>
      <c r="AX244" s="19"/>
      <c r="AY244" s="19"/>
      <c r="AZ244" s="19"/>
      <c r="BA244" s="23"/>
      <c r="BB244" s="19"/>
      <c r="BC244" s="19"/>
      <c r="BD244" s="19"/>
    </row>
    <row r="245" spans="1:56">
      <c r="A245" s="13"/>
      <c r="B245" s="11"/>
      <c r="C245" s="12"/>
      <c r="D245" s="12">
        <f t="shared" si="37"/>
        <v>2.0833299999999999E-2</v>
      </c>
      <c r="E245" s="10"/>
      <c r="F245" s="10" t="str">
        <f>IFERROR(VLOOKUP(E245,Data!A$2:B$5,2,TRUE), "")</f>
        <v/>
      </c>
      <c r="G245" s="3"/>
      <c r="H245" s="13" t="str">
        <f>IFERROR(VLOOKUP(A245,Customer_Data!$A$1:$P$114,8,TRUE),"")</f>
        <v/>
      </c>
      <c r="I245" s="13"/>
      <c r="J245" s="3" t="str">
        <f t="shared" si="43"/>
        <v/>
      </c>
      <c r="K245" s="62" t="e">
        <f>(VLOOKUP($J245,Herbicide_Data!$A$1:$L$61,9,TRUE))</f>
        <v>#N/A</v>
      </c>
      <c r="L245" s="62" t="e">
        <f>VLOOKUP($J245,Herbicide_Data!$A$1:$L$61,12,TRUE)</f>
        <v>#N/A</v>
      </c>
      <c r="M245" s="16" t="e">
        <f t="shared" si="38"/>
        <v>#N/A</v>
      </c>
      <c r="N245" s="62" t="str">
        <f t="shared" si="44"/>
        <v/>
      </c>
      <c r="O245" s="63" t="e">
        <f>VLOOKUP($N245,Herbicide_Data!$A$1:$L$61,9)</f>
        <v>#N/A</v>
      </c>
      <c r="P245" s="62" t="e">
        <f>VLOOKUP($N245,Herbicide_Data!$A$1:$P$61,13)</f>
        <v>#N/A</v>
      </c>
      <c r="Q245" s="16" t="e">
        <f t="shared" si="39"/>
        <v>#N/A</v>
      </c>
      <c r="R245" s="62" t="str">
        <f t="shared" si="45"/>
        <v/>
      </c>
      <c r="S245" s="63" t="e">
        <f>VLOOKUP($R245,Herbicide_Data!$A$1:$L$61,9)</f>
        <v>#N/A</v>
      </c>
      <c r="T245" s="62" t="e">
        <f>VLOOKUP($R245,Herbicide_Data!$A$1:$Q$61,13)</f>
        <v>#N/A</v>
      </c>
      <c r="U245" s="16" t="e">
        <f t="shared" si="40"/>
        <v>#N/A</v>
      </c>
      <c r="V245" s="62" t="b">
        <f t="shared" si="46"/>
        <v>0</v>
      </c>
      <c r="W245" s="63" t="e">
        <f>VLOOKUP($V245,Herbicide_Data!$A$1:$L$17,9)</f>
        <v>#N/A</v>
      </c>
      <c r="X245" s="62" t="e">
        <f>VLOOKUP($V245,Herbicide_Data!$A$1:$L$17,12)</f>
        <v>#N/A</v>
      </c>
      <c r="Y245" s="16" t="e">
        <f t="shared" si="41"/>
        <v>#N/A</v>
      </c>
      <c r="Z245" s="15"/>
      <c r="AA245" s="13"/>
      <c r="AB245" s="17"/>
      <c r="AC245" s="3"/>
      <c r="AD245" s="10"/>
      <c r="AE245" s="3"/>
      <c r="AF245" s="10"/>
      <c r="AG245" s="15"/>
      <c r="AH245" s="62" t="str">
        <f t="shared" si="47"/>
        <v/>
      </c>
      <c r="AI245" s="62" t="e">
        <f>VLOOKUP($AH245,Herbicide_Data!$A$1:$Q$61,13)</f>
        <v>#N/A</v>
      </c>
      <c r="AJ245" s="16" t="e">
        <f t="shared" si="42"/>
        <v>#N/A</v>
      </c>
      <c r="AK245" s="3"/>
      <c r="AL245" s="3"/>
      <c r="AM245" s="3"/>
      <c r="AN245" s="3"/>
      <c r="AO245" s="3"/>
      <c r="AP245" s="3"/>
      <c r="AQ245" s="18"/>
      <c r="AR245" s="19"/>
      <c r="AS245" s="19"/>
      <c r="AT245" s="20"/>
      <c r="AU245" s="20"/>
      <c r="AV245" s="21"/>
      <c r="AW245" s="22"/>
      <c r="AX245" s="19"/>
      <c r="AY245" s="19"/>
      <c r="AZ245" s="19"/>
      <c r="BA245" s="23"/>
      <c r="BB245" s="19"/>
      <c r="BC245" s="19"/>
      <c r="BD245" s="19"/>
    </row>
    <row r="246" spans="1:56">
      <c r="A246" s="13"/>
      <c r="B246" s="11"/>
      <c r="C246" s="12"/>
      <c r="D246" s="12">
        <f t="shared" si="37"/>
        <v>2.0833299999999999E-2</v>
      </c>
      <c r="E246" s="10"/>
      <c r="F246" s="10" t="str">
        <f>IFERROR(VLOOKUP(E246,Data!A$2:B$5,2,TRUE), "")</f>
        <v/>
      </c>
      <c r="G246" s="3"/>
      <c r="H246" s="13" t="str">
        <f>IFERROR(VLOOKUP(A246,Customer_Data!$A$1:$P$114,8,TRUE),"")</f>
        <v/>
      </c>
      <c r="I246" s="13"/>
      <c r="J246" s="3" t="str">
        <f t="shared" si="43"/>
        <v/>
      </c>
      <c r="K246" s="62" t="e">
        <f>(VLOOKUP($J246,Herbicide_Data!$A$1:$L$61,9,TRUE))</f>
        <v>#N/A</v>
      </c>
      <c r="L246" s="62" t="e">
        <f>VLOOKUP($J246,Herbicide_Data!$A$1:$L$61,12,TRUE)</f>
        <v>#N/A</v>
      </c>
      <c r="M246" s="16" t="e">
        <f t="shared" si="38"/>
        <v>#N/A</v>
      </c>
      <c r="N246" s="62" t="str">
        <f t="shared" si="44"/>
        <v/>
      </c>
      <c r="O246" s="63" t="e">
        <f>VLOOKUP($N246,Herbicide_Data!$A$1:$L$61,9)</f>
        <v>#N/A</v>
      </c>
      <c r="P246" s="62" t="e">
        <f>VLOOKUP($N246,Herbicide_Data!$A$1:$P$61,13)</f>
        <v>#N/A</v>
      </c>
      <c r="Q246" s="16" t="e">
        <f t="shared" si="39"/>
        <v>#N/A</v>
      </c>
      <c r="R246" s="62" t="str">
        <f t="shared" si="45"/>
        <v/>
      </c>
      <c r="S246" s="63" t="e">
        <f>VLOOKUP($R246,Herbicide_Data!$A$1:$L$61,9)</f>
        <v>#N/A</v>
      </c>
      <c r="T246" s="62" t="e">
        <f>VLOOKUP($R246,Herbicide_Data!$A$1:$Q$61,13)</f>
        <v>#N/A</v>
      </c>
      <c r="U246" s="16" t="e">
        <f t="shared" si="40"/>
        <v>#N/A</v>
      </c>
      <c r="V246" s="62" t="b">
        <f t="shared" si="46"/>
        <v>0</v>
      </c>
      <c r="W246" s="63" t="e">
        <f>VLOOKUP($V246,Herbicide_Data!$A$1:$L$17,9)</f>
        <v>#N/A</v>
      </c>
      <c r="X246" s="62" t="e">
        <f>VLOOKUP($V246,Herbicide_Data!$A$1:$L$17,12)</f>
        <v>#N/A</v>
      </c>
      <c r="Y246" s="16" t="e">
        <f t="shared" si="41"/>
        <v>#N/A</v>
      </c>
      <c r="Z246" s="15"/>
      <c r="AA246" s="13"/>
      <c r="AB246" s="17"/>
      <c r="AC246" s="3"/>
      <c r="AD246" s="10"/>
      <c r="AE246" s="3"/>
      <c r="AF246" s="10"/>
      <c r="AG246" s="15"/>
      <c r="AH246" s="62" t="str">
        <f t="shared" si="47"/>
        <v/>
      </c>
      <c r="AI246" s="62" t="e">
        <f>VLOOKUP($AH246,Herbicide_Data!$A$1:$Q$61,13)</f>
        <v>#N/A</v>
      </c>
      <c r="AJ246" s="16" t="e">
        <f t="shared" si="42"/>
        <v>#N/A</v>
      </c>
      <c r="AK246" s="3"/>
      <c r="AL246" s="3"/>
      <c r="AM246" s="3"/>
      <c r="AN246" s="3"/>
      <c r="AO246" s="3"/>
      <c r="AP246" s="3"/>
      <c r="AQ246" s="18"/>
      <c r="AR246" s="19"/>
      <c r="AS246" s="19"/>
      <c r="AT246" s="20"/>
      <c r="AU246" s="20"/>
      <c r="AV246" s="21"/>
      <c r="AW246" s="22"/>
      <c r="AX246" s="19"/>
      <c r="AY246" s="19"/>
      <c r="AZ246" s="19"/>
      <c r="BA246" s="23"/>
      <c r="BB246" s="19"/>
      <c r="BC246" s="19"/>
      <c r="BD246" s="19"/>
    </row>
    <row r="247" spans="1:56">
      <c r="A247" s="13"/>
      <c r="B247" s="11"/>
      <c r="C247" s="12"/>
      <c r="D247" s="12">
        <f t="shared" si="37"/>
        <v>2.0833299999999999E-2</v>
      </c>
      <c r="E247" s="10"/>
      <c r="F247" s="10" t="str">
        <f>IFERROR(VLOOKUP(E247,Data!A$2:B$5,2,TRUE), "")</f>
        <v/>
      </c>
      <c r="G247" s="3"/>
      <c r="H247" s="13" t="str">
        <f>IFERROR(VLOOKUP(A247,Customer_Data!$A$1:$P$114,8,TRUE),"")</f>
        <v/>
      </c>
      <c r="I247" s="13"/>
      <c r="J247" s="3" t="str">
        <f t="shared" si="43"/>
        <v/>
      </c>
      <c r="K247" s="62" t="e">
        <f>(VLOOKUP($J247,Herbicide_Data!$A$1:$L$61,9,TRUE))</f>
        <v>#N/A</v>
      </c>
      <c r="L247" s="62" t="e">
        <f>VLOOKUP($J247,Herbicide_Data!$A$1:$L$61,12,TRUE)</f>
        <v>#N/A</v>
      </c>
      <c r="M247" s="16" t="e">
        <f t="shared" si="38"/>
        <v>#N/A</v>
      </c>
      <c r="N247" s="62" t="str">
        <f t="shared" si="44"/>
        <v/>
      </c>
      <c r="O247" s="63" t="e">
        <f>VLOOKUP($N247,Herbicide_Data!$A$1:$L$61,9)</f>
        <v>#N/A</v>
      </c>
      <c r="P247" s="62" t="e">
        <f>VLOOKUP($N247,Herbicide_Data!$A$1:$P$61,13)</f>
        <v>#N/A</v>
      </c>
      <c r="Q247" s="16" t="e">
        <f t="shared" si="39"/>
        <v>#N/A</v>
      </c>
      <c r="R247" s="62" t="str">
        <f t="shared" si="45"/>
        <v/>
      </c>
      <c r="S247" s="63" t="e">
        <f>VLOOKUP($R247,Herbicide_Data!$A$1:$L$61,9)</f>
        <v>#N/A</v>
      </c>
      <c r="T247" s="62" t="e">
        <f>VLOOKUP($R247,Herbicide_Data!$A$1:$Q$61,13)</f>
        <v>#N/A</v>
      </c>
      <c r="U247" s="16" t="e">
        <f t="shared" si="40"/>
        <v>#N/A</v>
      </c>
      <c r="V247" s="62" t="b">
        <f t="shared" si="46"/>
        <v>0</v>
      </c>
      <c r="W247" s="63" t="e">
        <f>VLOOKUP($V247,Herbicide_Data!$A$1:$L$17,9)</f>
        <v>#N/A</v>
      </c>
      <c r="X247" s="62" t="e">
        <f>VLOOKUP($V247,Herbicide_Data!$A$1:$L$17,12)</f>
        <v>#N/A</v>
      </c>
      <c r="Y247" s="16" t="e">
        <f t="shared" si="41"/>
        <v>#N/A</v>
      </c>
      <c r="Z247" s="15"/>
      <c r="AA247" s="13"/>
      <c r="AB247" s="17"/>
      <c r="AC247" s="3"/>
      <c r="AD247" s="10"/>
      <c r="AE247" s="3"/>
      <c r="AF247" s="10"/>
      <c r="AG247" s="15"/>
      <c r="AH247" s="62" t="str">
        <f t="shared" si="47"/>
        <v/>
      </c>
      <c r="AI247" s="62" t="e">
        <f>VLOOKUP($AH247,Herbicide_Data!$A$1:$Q$61,13)</f>
        <v>#N/A</v>
      </c>
      <c r="AJ247" s="16" t="e">
        <f t="shared" si="42"/>
        <v>#N/A</v>
      </c>
      <c r="AK247" s="3"/>
      <c r="AL247" s="3"/>
      <c r="AM247" s="3"/>
      <c r="AN247" s="3"/>
      <c r="AO247" s="3"/>
      <c r="AP247" s="3"/>
      <c r="AQ247" s="18"/>
      <c r="AR247" s="19"/>
      <c r="AS247" s="19"/>
      <c r="AT247" s="20"/>
      <c r="AU247" s="20"/>
      <c r="AV247" s="21"/>
      <c r="AW247" s="22"/>
      <c r="AX247" s="19"/>
      <c r="AY247" s="19"/>
      <c r="AZ247" s="19"/>
      <c r="BA247" s="23"/>
      <c r="BB247" s="19"/>
      <c r="BC247" s="19"/>
      <c r="BD247" s="19"/>
    </row>
    <row r="248" spans="1:56">
      <c r="A248" s="13"/>
      <c r="B248" s="11"/>
      <c r="C248" s="12"/>
      <c r="D248" s="12">
        <f t="shared" si="37"/>
        <v>2.0833299999999999E-2</v>
      </c>
      <c r="E248" s="10"/>
      <c r="F248" s="10" t="str">
        <f>IFERROR(VLOOKUP(E248,Data!A$2:B$5,2,TRUE), "")</f>
        <v/>
      </c>
      <c r="G248" s="3"/>
      <c r="H248" s="13" t="str">
        <f>IFERROR(VLOOKUP(A248,Customer_Data!$A$1:$P$114,8,TRUE),"")</f>
        <v/>
      </c>
      <c r="I248" s="13"/>
      <c r="J248" s="3" t="str">
        <f t="shared" si="43"/>
        <v/>
      </c>
      <c r="K248" s="62" t="e">
        <f>(VLOOKUP($J248,Herbicide_Data!$A$1:$L$61,9,TRUE))</f>
        <v>#N/A</v>
      </c>
      <c r="L248" s="62" t="e">
        <f>VLOOKUP($J248,Herbicide_Data!$A$1:$L$61,12,TRUE)</f>
        <v>#N/A</v>
      </c>
      <c r="M248" s="16" t="e">
        <f t="shared" si="38"/>
        <v>#N/A</v>
      </c>
      <c r="N248" s="62" t="str">
        <f t="shared" si="44"/>
        <v/>
      </c>
      <c r="O248" s="63" t="e">
        <f>VLOOKUP($N248,Herbicide_Data!$A$1:$L$61,9)</f>
        <v>#N/A</v>
      </c>
      <c r="P248" s="62" t="e">
        <f>VLOOKUP($N248,Herbicide_Data!$A$1:$P$61,13)</f>
        <v>#N/A</v>
      </c>
      <c r="Q248" s="16" t="e">
        <f t="shared" si="39"/>
        <v>#N/A</v>
      </c>
      <c r="R248" s="62" t="str">
        <f t="shared" si="45"/>
        <v/>
      </c>
      <c r="S248" s="63" t="e">
        <f>VLOOKUP($R248,Herbicide_Data!$A$1:$L$61,9)</f>
        <v>#N/A</v>
      </c>
      <c r="T248" s="62" t="e">
        <f>VLOOKUP($R248,Herbicide_Data!$A$1:$Q$61,13)</f>
        <v>#N/A</v>
      </c>
      <c r="U248" s="16" t="e">
        <f t="shared" si="40"/>
        <v>#N/A</v>
      </c>
      <c r="V248" s="62" t="b">
        <f t="shared" si="46"/>
        <v>0</v>
      </c>
      <c r="W248" s="63" t="e">
        <f>VLOOKUP($V248,Herbicide_Data!$A$1:$L$17,9)</f>
        <v>#N/A</v>
      </c>
      <c r="X248" s="62" t="e">
        <f>VLOOKUP($V248,Herbicide_Data!$A$1:$L$17,12)</f>
        <v>#N/A</v>
      </c>
      <c r="Y248" s="16" t="e">
        <f t="shared" si="41"/>
        <v>#N/A</v>
      </c>
      <c r="Z248" s="15"/>
      <c r="AA248" s="13"/>
      <c r="AB248" s="17"/>
      <c r="AC248" s="3"/>
      <c r="AD248" s="10"/>
      <c r="AE248" s="3"/>
      <c r="AF248" s="10"/>
      <c r="AG248" s="15"/>
      <c r="AH248" s="62" t="str">
        <f t="shared" si="47"/>
        <v/>
      </c>
      <c r="AI248" s="62" t="e">
        <f>VLOOKUP($AH248,Herbicide_Data!$A$1:$Q$61,13)</f>
        <v>#N/A</v>
      </c>
      <c r="AJ248" s="16" t="e">
        <f t="shared" si="42"/>
        <v>#N/A</v>
      </c>
      <c r="AK248" s="3"/>
      <c r="AL248" s="3"/>
      <c r="AM248" s="3"/>
      <c r="AN248" s="3"/>
      <c r="AO248" s="3"/>
      <c r="AP248" s="3"/>
      <c r="AQ248" s="18"/>
      <c r="AR248" s="19"/>
      <c r="AS248" s="19"/>
      <c r="AT248" s="20"/>
      <c r="AU248" s="20"/>
      <c r="AV248" s="21"/>
      <c r="AW248" s="22"/>
      <c r="AX248" s="19"/>
      <c r="AY248" s="19"/>
      <c r="AZ248" s="19"/>
      <c r="BA248" s="23"/>
      <c r="BB248" s="19"/>
      <c r="BC248" s="19"/>
      <c r="BD248" s="19"/>
    </row>
    <row r="249" spans="1:56">
      <c r="A249" s="13"/>
      <c r="B249" s="11"/>
      <c r="C249" s="12"/>
      <c r="D249" s="12">
        <f t="shared" si="37"/>
        <v>2.0833299999999999E-2</v>
      </c>
      <c r="E249" s="10"/>
      <c r="F249" s="10" t="str">
        <f>IFERROR(VLOOKUP(E249,Data!A$2:B$5,2,TRUE), "")</f>
        <v/>
      </c>
      <c r="G249" s="3"/>
      <c r="H249" s="13" t="str">
        <f>IFERROR(VLOOKUP(A249,Customer_Data!$A$1:$P$114,8,TRUE),"")</f>
        <v/>
      </c>
      <c r="I249" s="13"/>
      <c r="J249" s="3" t="str">
        <f t="shared" si="43"/>
        <v/>
      </c>
      <c r="K249" s="62" t="e">
        <f>(VLOOKUP($J249,Herbicide_Data!$A$1:$L$61,9,TRUE))</f>
        <v>#N/A</v>
      </c>
      <c r="L249" s="62" t="e">
        <f>VLOOKUP($J249,Herbicide_Data!$A$1:$L$61,12,TRUE)</f>
        <v>#N/A</v>
      </c>
      <c r="M249" s="16" t="e">
        <f t="shared" si="38"/>
        <v>#N/A</v>
      </c>
      <c r="N249" s="62" t="str">
        <f t="shared" si="44"/>
        <v/>
      </c>
      <c r="O249" s="63" t="e">
        <f>VLOOKUP($N249,Herbicide_Data!$A$1:$L$61,9)</f>
        <v>#N/A</v>
      </c>
      <c r="P249" s="62" t="e">
        <f>VLOOKUP($N249,Herbicide_Data!$A$1:$P$61,13)</f>
        <v>#N/A</v>
      </c>
      <c r="Q249" s="16" t="e">
        <f t="shared" si="39"/>
        <v>#N/A</v>
      </c>
      <c r="R249" s="62" t="str">
        <f t="shared" si="45"/>
        <v/>
      </c>
      <c r="S249" s="63" t="e">
        <f>VLOOKUP($R249,Herbicide_Data!$A$1:$L$61,9)</f>
        <v>#N/A</v>
      </c>
      <c r="T249" s="62" t="e">
        <f>VLOOKUP($R249,Herbicide_Data!$A$1:$Q$61,13)</f>
        <v>#N/A</v>
      </c>
      <c r="U249" s="16" t="e">
        <f t="shared" si="40"/>
        <v>#N/A</v>
      </c>
      <c r="V249" s="62" t="b">
        <f t="shared" si="46"/>
        <v>0</v>
      </c>
      <c r="W249" s="63" t="e">
        <f>VLOOKUP($V249,Herbicide_Data!$A$1:$L$17,9)</f>
        <v>#N/A</v>
      </c>
      <c r="X249" s="62" t="e">
        <f>VLOOKUP($V249,Herbicide_Data!$A$1:$L$17,12)</f>
        <v>#N/A</v>
      </c>
      <c r="Y249" s="16" t="e">
        <f t="shared" si="41"/>
        <v>#N/A</v>
      </c>
      <c r="Z249" s="15"/>
      <c r="AA249" s="13"/>
      <c r="AB249" s="17"/>
      <c r="AC249" s="3"/>
      <c r="AD249" s="10"/>
      <c r="AE249" s="3"/>
      <c r="AF249" s="10"/>
      <c r="AG249" s="15"/>
      <c r="AH249" s="62" t="str">
        <f t="shared" si="47"/>
        <v/>
      </c>
      <c r="AI249" s="62" t="e">
        <f>VLOOKUP($AH249,Herbicide_Data!$A$1:$Q$61,13)</f>
        <v>#N/A</v>
      </c>
      <c r="AJ249" s="16" t="e">
        <f t="shared" si="42"/>
        <v>#N/A</v>
      </c>
      <c r="AK249" s="3"/>
      <c r="AL249" s="3"/>
      <c r="AM249" s="3"/>
      <c r="AN249" s="3"/>
      <c r="AO249" s="3"/>
      <c r="AP249" s="3"/>
      <c r="AQ249" s="18"/>
      <c r="AR249" s="19"/>
      <c r="AS249" s="19"/>
      <c r="AT249" s="20"/>
      <c r="AU249" s="20"/>
      <c r="AV249" s="21"/>
      <c r="AW249" s="22"/>
      <c r="AX249" s="19"/>
      <c r="AY249" s="19"/>
      <c r="AZ249" s="19"/>
      <c r="BA249" s="23"/>
      <c r="BB249" s="19"/>
      <c r="BC249" s="19"/>
      <c r="BD249" s="19"/>
    </row>
    <row r="250" spans="1:56">
      <c r="A250" s="13"/>
      <c r="B250" s="11"/>
      <c r="C250" s="12"/>
      <c r="D250" s="12">
        <f t="shared" si="37"/>
        <v>2.0833299999999999E-2</v>
      </c>
      <c r="E250" s="10"/>
      <c r="F250" s="10" t="str">
        <f>IFERROR(VLOOKUP(E250,Data!A$2:B$5,2,TRUE), "")</f>
        <v/>
      </c>
      <c r="G250" s="3"/>
      <c r="H250" s="13" t="str">
        <f>IFERROR(VLOOKUP(A250,Customer_Data!$A$1:$P$114,8,TRUE),"")</f>
        <v/>
      </c>
      <c r="I250" s="13"/>
      <c r="J250" s="3" t="str">
        <f t="shared" si="43"/>
        <v/>
      </c>
      <c r="K250" s="62" t="e">
        <f>(VLOOKUP($J250,Herbicide_Data!$A$1:$L$61,9,TRUE))</f>
        <v>#N/A</v>
      </c>
      <c r="L250" s="62" t="e">
        <f>VLOOKUP($J250,Herbicide_Data!$A$1:$L$61,12,TRUE)</f>
        <v>#N/A</v>
      </c>
      <c r="M250" s="16" t="e">
        <f t="shared" si="38"/>
        <v>#N/A</v>
      </c>
      <c r="N250" s="62" t="str">
        <f t="shared" si="44"/>
        <v/>
      </c>
      <c r="O250" s="63" t="e">
        <f>VLOOKUP($N250,Herbicide_Data!$A$1:$L$61,9)</f>
        <v>#N/A</v>
      </c>
      <c r="P250" s="62" t="e">
        <f>VLOOKUP($N250,Herbicide_Data!$A$1:$P$61,13)</f>
        <v>#N/A</v>
      </c>
      <c r="Q250" s="16" t="e">
        <f t="shared" si="39"/>
        <v>#N/A</v>
      </c>
      <c r="R250" s="62" t="str">
        <f t="shared" si="45"/>
        <v/>
      </c>
      <c r="S250" s="63" t="e">
        <f>VLOOKUP($R250,Herbicide_Data!$A$1:$L$61,9)</f>
        <v>#N/A</v>
      </c>
      <c r="T250" s="62" t="e">
        <f>VLOOKUP($R250,Herbicide_Data!$A$1:$Q$61,13)</f>
        <v>#N/A</v>
      </c>
      <c r="U250" s="16" t="e">
        <f t="shared" si="40"/>
        <v>#N/A</v>
      </c>
      <c r="V250" s="62" t="b">
        <f t="shared" si="46"/>
        <v>0</v>
      </c>
      <c r="W250" s="63" t="e">
        <f>VLOOKUP($V250,Herbicide_Data!$A$1:$L$17,9)</f>
        <v>#N/A</v>
      </c>
      <c r="X250" s="62" t="e">
        <f>VLOOKUP($V250,Herbicide_Data!$A$1:$L$17,12)</f>
        <v>#N/A</v>
      </c>
      <c r="Y250" s="16" t="e">
        <f t="shared" si="41"/>
        <v>#N/A</v>
      </c>
      <c r="Z250" s="15"/>
      <c r="AA250" s="13"/>
      <c r="AB250" s="17"/>
      <c r="AC250" s="3"/>
      <c r="AD250" s="10"/>
      <c r="AE250" s="3"/>
      <c r="AF250" s="10"/>
      <c r="AG250" s="15"/>
      <c r="AH250" s="62" t="str">
        <f t="shared" si="47"/>
        <v/>
      </c>
      <c r="AI250" s="62" t="e">
        <f>VLOOKUP($AH250,Herbicide_Data!$A$1:$Q$61,13)</f>
        <v>#N/A</v>
      </c>
      <c r="AJ250" s="16" t="e">
        <f t="shared" si="42"/>
        <v>#N/A</v>
      </c>
      <c r="AK250" s="3"/>
      <c r="AL250" s="3"/>
      <c r="AM250" s="3"/>
      <c r="AN250" s="3"/>
      <c r="AO250" s="3"/>
      <c r="AP250" s="3"/>
      <c r="AQ250" s="18"/>
      <c r="AR250" s="19"/>
      <c r="AS250" s="19"/>
      <c r="AT250" s="20"/>
      <c r="AU250" s="20"/>
      <c r="AV250" s="21"/>
      <c r="AW250" s="22"/>
      <c r="AX250" s="19"/>
      <c r="AY250" s="19"/>
      <c r="AZ250" s="19"/>
      <c r="BA250" s="23"/>
      <c r="BB250" s="19"/>
      <c r="BC250" s="19"/>
      <c r="BD250" s="19"/>
    </row>
    <row r="251" spans="1:56">
      <c r="A251" s="13"/>
      <c r="B251" s="11"/>
      <c r="C251" s="12"/>
      <c r="D251" s="12">
        <f t="shared" si="37"/>
        <v>2.0833299999999999E-2</v>
      </c>
      <c r="E251" s="10"/>
      <c r="F251" s="10" t="str">
        <f>IFERROR(VLOOKUP(E251,Data!A$2:B$5,2,TRUE), "")</f>
        <v/>
      </c>
      <c r="G251" s="3"/>
      <c r="H251" s="13" t="str">
        <f>IFERROR(VLOOKUP(A251,Customer_Data!$A$1:$P$114,8,TRUE),"")</f>
        <v/>
      </c>
      <c r="I251" s="13"/>
      <c r="J251" s="3" t="str">
        <f t="shared" si="43"/>
        <v/>
      </c>
      <c r="K251" s="62" t="e">
        <f>(VLOOKUP($J251,Herbicide_Data!$A$1:$L$61,9,TRUE))</f>
        <v>#N/A</v>
      </c>
      <c r="L251" s="62" t="e">
        <f>VLOOKUP($J251,Herbicide_Data!$A$1:$L$61,12,TRUE)</f>
        <v>#N/A</v>
      </c>
      <c r="M251" s="16" t="e">
        <f t="shared" si="38"/>
        <v>#N/A</v>
      </c>
      <c r="N251" s="62" t="str">
        <f t="shared" si="44"/>
        <v/>
      </c>
      <c r="O251" s="63" t="e">
        <f>VLOOKUP($N251,Herbicide_Data!$A$1:$L$61,9)</f>
        <v>#N/A</v>
      </c>
      <c r="P251" s="62" t="e">
        <f>VLOOKUP($N251,Herbicide_Data!$A$1:$P$61,13)</f>
        <v>#N/A</v>
      </c>
      <c r="Q251" s="16" t="e">
        <f t="shared" si="39"/>
        <v>#N/A</v>
      </c>
      <c r="R251" s="62" t="str">
        <f t="shared" si="45"/>
        <v/>
      </c>
      <c r="S251" s="63" t="e">
        <f>VLOOKUP($R251,Herbicide_Data!$A$1:$L$61,9)</f>
        <v>#N/A</v>
      </c>
      <c r="T251" s="62" t="e">
        <f>VLOOKUP($R251,Herbicide_Data!$A$1:$Q$61,13)</f>
        <v>#N/A</v>
      </c>
      <c r="U251" s="16" t="e">
        <f t="shared" si="40"/>
        <v>#N/A</v>
      </c>
      <c r="V251" s="62" t="b">
        <f t="shared" si="46"/>
        <v>0</v>
      </c>
      <c r="W251" s="63" t="e">
        <f>VLOOKUP($V251,Herbicide_Data!$A$1:$L$17,9)</f>
        <v>#N/A</v>
      </c>
      <c r="X251" s="62" t="e">
        <f>VLOOKUP($V251,Herbicide_Data!$A$1:$L$17,12)</f>
        <v>#N/A</v>
      </c>
      <c r="Y251" s="16" t="e">
        <f t="shared" si="41"/>
        <v>#N/A</v>
      </c>
      <c r="Z251" s="15"/>
      <c r="AA251" s="13"/>
      <c r="AB251" s="17"/>
      <c r="AC251" s="3"/>
      <c r="AD251" s="10"/>
      <c r="AE251" s="3"/>
      <c r="AF251" s="10"/>
      <c r="AG251" s="15"/>
      <c r="AH251" s="62" t="str">
        <f t="shared" si="47"/>
        <v/>
      </c>
      <c r="AI251" s="62" t="e">
        <f>VLOOKUP($AH251,Herbicide_Data!$A$1:$Q$61,13)</f>
        <v>#N/A</v>
      </c>
      <c r="AJ251" s="16" t="e">
        <f t="shared" si="42"/>
        <v>#N/A</v>
      </c>
      <c r="AK251" s="3"/>
      <c r="AL251" s="3"/>
      <c r="AM251" s="3"/>
      <c r="AN251" s="3"/>
      <c r="AO251" s="3"/>
      <c r="AP251" s="3"/>
      <c r="AQ251" s="18"/>
      <c r="AR251" s="19"/>
      <c r="AS251" s="19"/>
      <c r="AT251" s="20"/>
      <c r="AU251" s="20"/>
      <c r="AV251" s="21"/>
      <c r="AW251" s="22"/>
      <c r="AX251" s="19"/>
      <c r="AY251" s="19"/>
      <c r="AZ251" s="19"/>
      <c r="BA251" s="23"/>
      <c r="BB251" s="19"/>
      <c r="BC251" s="19"/>
      <c r="BD251" s="19"/>
    </row>
    <row r="252" spans="1:56">
      <c r="A252" s="13"/>
      <c r="B252" s="11"/>
      <c r="C252" s="12"/>
      <c r="D252" s="12">
        <f t="shared" si="37"/>
        <v>2.0833299999999999E-2</v>
      </c>
      <c r="E252" s="10"/>
      <c r="F252" s="10" t="str">
        <f>IFERROR(VLOOKUP(E252,Data!A$2:B$5,2,TRUE), "")</f>
        <v/>
      </c>
      <c r="G252" s="3"/>
      <c r="H252" s="13" t="str">
        <f>IFERROR(VLOOKUP(A252,Customer_Data!$A$1:$P$114,8,TRUE),"")</f>
        <v/>
      </c>
      <c r="I252" s="13"/>
      <c r="J252" s="3" t="str">
        <f t="shared" si="43"/>
        <v/>
      </c>
      <c r="K252" s="62" t="e">
        <f>(VLOOKUP($J252,Herbicide_Data!$A$1:$L$61,9,TRUE))</f>
        <v>#N/A</v>
      </c>
      <c r="L252" s="62" t="e">
        <f>VLOOKUP($J252,Herbicide_Data!$A$1:$L$61,12,TRUE)</f>
        <v>#N/A</v>
      </c>
      <c r="M252" s="16" t="e">
        <f t="shared" si="38"/>
        <v>#N/A</v>
      </c>
      <c r="N252" s="62" t="str">
        <f t="shared" si="44"/>
        <v/>
      </c>
      <c r="O252" s="63" t="e">
        <f>VLOOKUP($N252,Herbicide_Data!$A$1:$L$61,9)</f>
        <v>#N/A</v>
      </c>
      <c r="P252" s="62" t="e">
        <f>VLOOKUP($N252,Herbicide_Data!$A$1:$P$61,13)</f>
        <v>#N/A</v>
      </c>
      <c r="Q252" s="16" t="e">
        <f t="shared" si="39"/>
        <v>#N/A</v>
      </c>
      <c r="R252" s="62" t="str">
        <f t="shared" si="45"/>
        <v/>
      </c>
      <c r="S252" s="63" t="e">
        <f>VLOOKUP($R252,Herbicide_Data!$A$1:$L$61,9)</f>
        <v>#N/A</v>
      </c>
      <c r="T252" s="62" t="e">
        <f>VLOOKUP($R252,Herbicide_Data!$A$1:$Q$61,13)</f>
        <v>#N/A</v>
      </c>
      <c r="U252" s="16" t="e">
        <f t="shared" si="40"/>
        <v>#N/A</v>
      </c>
      <c r="V252" s="62" t="b">
        <f t="shared" si="46"/>
        <v>0</v>
      </c>
      <c r="W252" s="63" t="e">
        <f>VLOOKUP($V252,Herbicide_Data!$A$1:$L$17,9)</f>
        <v>#N/A</v>
      </c>
      <c r="X252" s="62" t="e">
        <f>VLOOKUP($V252,Herbicide_Data!$A$1:$L$17,12)</f>
        <v>#N/A</v>
      </c>
      <c r="Y252" s="16" t="e">
        <f t="shared" si="41"/>
        <v>#N/A</v>
      </c>
      <c r="Z252" s="15"/>
      <c r="AA252" s="13"/>
      <c r="AB252" s="17"/>
      <c r="AC252" s="3"/>
      <c r="AD252" s="10"/>
      <c r="AE252" s="3"/>
      <c r="AF252" s="10"/>
      <c r="AG252" s="15"/>
      <c r="AH252" s="62" t="str">
        <f t="shared" si="47"/>
        <v/>
      </c>
      <c r="AI252" s="62" t="e">
        <f>VLOOKUP($AH252,Herbicide_Data!$A$1:$Q$61,13)</f>
        <v>#N/A</v>
      </c>
      <c r="AJ252" s="16" t="e">
        <f t="shared" si="42"/>
        <v>#N/A</v>
      </c>
      <c r="AK252" s="3"/>
      <c r="AL252" s="3"/>
      <c r="AM252" s="3"/>
      <c r="AN252" s="3"/>
      <c r="AO252" s="3"/>
      <c r="AP252" s="3"/>
      <c r="AQ252" s="18"/>
      <c r="AR252" s="19"/>
      <c r="AS252" s="19"/>
      <c r="AT252" s="20"/>
      <c r="AU252" s="20"/>
      <c r="AV252" s="21"/>
      <c r="AW252" s="22"/>
      <c r="AX252" s="19"/>
      <c r="AY252" s="19"/>
      <c r="AZ252" s="19"/>
      <c r="BA252" s="23"/>
      <c r="BB252" s="19"/>
      <c r="BC252" s="19"/>
      <c r="BD252" s="19"/>
    </row>
    <row r="253" spans="1:56">
      <c r="A253" s="13"/>
      <c r="B253" s="11"/>
      <c r="C253" s="12"/>
      <c r="D253" s="12">
        <f t="shared" si="37"/>
        <v>2.0833299999999999E-2</v>
      </c>
      <c r="E253" s="10"/>
      <c r="F253" s="10" t="str">
        <f>IFERROR(VLOOKUP(E253,Data!A$2:B$5,2,TRUE), "")</f>
        <v/>
      </c>
      <c r="G253" s="3"/>
      <c r="H253" s="13" t="str">
        <f>IFERROR(VLOOKUP(A253,Customer_Data!$A$1:$P$114,8,TRUE),"")</f>
        <v/>
      </c>
      <c r="I253" s="13"/>
      <c r="J253" s="3" t="str">
        <f t="shared" si="43"/>
        <v/>
      </c>
      <c r="K253" s="62" t="e">
        <f>(VLOOKUP($J253,Herbicide_Data!$A$1:$L$61,9,TRUE))</f>
        <v>#N/A</v>
      </c>
      <c r="L253" s="62" t="e">
        <f>VLOOKUP($J253,Herbicide_Data!$A$1:$L$61,12,TRUE)</f>
        <v>#N/A</v>
      </c>
      <c r="M253" s="16" t="e">
        <f t="shared" si="38"/>
        <v>#N/A</v>
      </c>
      <c r="N253" s="62" t="str">
        <f t="shared" si="44"/>
        <v/>
      </c>
      <c r="O253" s="63" t="e">
        <f>VLOOKUP($N253,Herbicide_Data!$A$1:$L$61,9)</f>
        <v>#N/A</v>
      </c>
      <c r="P253" s="62" t="e">
        <f>VLOOKUP($N253,Herbicide_Data!$A$1:$P$61,13)</f>
        <v>#N/A</v>
      </c>
      <c r="Q253" s="16" t="e">
        <f t="shared" si="39"/>
        <v>#N/A</v>
      </c>
      <c r="R253" s="62" t="str">
        <f t="shared" si="45"/>
        <v/>
      </c>
      <c r="S253" s="63" t="e">
        <f>VLOOKUP($R253,Herbicide_Data!$A$1:$L$61,9)</f>
        <v>#N/A</v>
      </c>
      <c r="T253" s="62" t="e">
        <f>VLOOKUP($R253,Herbicide_Data!$A$1:$Q$61,13)</f>
        <v>#N/A</v>
      </c>
      <c r="U253" s="16" t="e">
        <f t="shared" si="40"/>
        <v>#N/A</v>
      </c>
      <c r="V253" s="62" t="b">
        <f t="shared" si="46"/>
        <v>0</v>
      </c>
      <c r="W253" s="63" t="e">
        <f>VLOOKUP($V253,Herbicide_Data!$A$1:$L$17,9)</f>
        <v>#N/A</v>
      </c>
      <c r="X253" s="62" t="e">
        <f>VLOOKUP($V253,Herbicide_Data!$A$1:$L$17,12)</f>
        <v>#N/A</v>
      </c>
      <c r="Y253" s="16" t="e">
        <f t="shared" si="41"/>
        <v>#N/A</v>
      </c>
      <c r="Z253" s="15"/>
      <c r="AA253" s="13"/>
      <c r="AB253" s="17"/>
      <c r="AC253" s="3"/>
      <c r="AD253" s="10"/>
      <c r="AE253" s="3"/>
      <c r="AF253" s="10"/>
      <c r="AG253" s="15"/>
      <c r="AH253" s="62" t="str">
        <f t="shared" si="47"/>
        <v/>
      </c>
      <c r="AI253" s="62" t="e">
        <f>VLOOKUP($AH253,Herbicide_Data!$A$1:$Q$61,13)</f>
        <v>#N/A</v>
      </c>
      <c r="AJ253" s="16" t="e">
        <f t="shared" si="42"/>
        <v>#N/A</v>
      </c>
      <c r="AK253" s="3"/>
      <c r="AL253" s="3"/>
      <c r="AM253" s="3"/>
      <c r="AN253" s="3"/>
      <c r="AO253" s="3"/>
      <c r="AP253" s="3"/>
      <c r="AQ253" s="18"/>
      <c r="AR253" s="19"/>
      <c r="AS253" s="19"/>
      <c r="AT253" s="20"/>
      <c r="AU253" s="20"/>
      <c r="AV253" s="21"/>
      <c r="AW253" s="22"/>
      <c r="AX253" s="19"/>
      <c r="AY253" s="19"/>
      <c r="AZ253" s="19"/>
      <c r="BA253" s="23"/>
      <c r="BB253" s="19"/>
      <c r="BC253" s="19"/>
      <c r="BD253" s="19"/>
    </row>
    <row r="254" spans="1:56">
      <c r="A254" s="13"/>
      <c r="B254" s="11"/>
      <c r="C254" s="12"/>
      <c r="D254" s="12">
        <f t="shared" si="37"/>
        <v>2.0833299999999999E-2</v>
      </c>
      <c r="E254" s="10"/>
      <c r="F254" s="10" t="str">
        <f>IFERROR(VLOOKUP(E254,Data!A$2:B$5,2,TRUE), "")</f>
        <v/>
      </c>
      <c r="G254" s="3"/>
      <c r="H254" s="13" t="str">
        <f>IFERROR(VLOOKUP(A254,Customer_Data!$A$1:$P$114,8,TRUE),"")</f>
        <v/>
      </c>
      <c r="I254" s="13"/>
      <c r="J254" s="3" t="str">
        <f t="shared" si="43"/>
        <v/>
      </c>
      <c r="K254" s="62" t="e">
        <f>(VLOOKUP($J254,Herbicide_Data!$A$1:$L$61,9,TRUE))</f>
        <v>#N/A</v>
      </c>
      <c r="L254" s="62" t="e">
        <f>VLOOKUP($J254,Herbicide_Data!$A$1:$L$61,12,TRUE)</f>
        <v>#N/A</v>
      </c>
      <c r="M254" s="16" t="e">
        <f t="shared" si="38"/>
        <v>#N/A</v>
      </c>
      <c r="N254" s="62" t="str">
        <f t="shared" si="44"/>
        <v/>
      </c>
      <c r="O254" s="63" t="e">
        <f>VLOOKUP($N254,Herbicide_Data!$A$1:$L$61,9)</f>
        <v>#N/A</v>
      </c>
      <c r="P254" s="62" t="e">
        <f>VLOOKUP($N254,Herbicide_Data!$A$1:$P$61,13)</f>
        <v>#N/A</v>
      </c>
      <c r="Q254" s="16" t="e">
        <f t="shared" si="39"/>
        <v>#N/A</v>
      </c>
      <c r="R254" s="62" t="str">
        <f t="shared" si="45"/>
        <v/>
      </c>
      <c r="S254" s="63" t="e">
        <f>VLOOKUP($R254,Herbicide_Data!$A$1:$L$61,9)</f>
        <v>#N/A</v>
      </c>
      <c r="T254" s="62" t="e">
        <f>VLOOKUP($R254,Herbicide_Data!$A$1:$Q$61,13)</f>
        <v>#N/A</v>
      </c>
      <c r="U254" s="16" t="e">
        <f t="shared" si="40"/>
        <v>#N/A</v>
      </c>
      <c r="V254" s="62" t="b">
        <f t="shared" si="46"/>
        <v>0</v>
      </c>
      <c r="W254" s="63" t="e">
        <f>VLOOKUP($V254,Herbicide_Data!$A$1:$L$17,9)</f>
        <v>#N/A</v>
      </c>
      <c r="X254" s="62" t="e">
        <f>VLOOKUP($V254,Herbicide_Data!$A$1:$L$17,12)</f>
        <v>#N/A</v>
      </c>
      <c r="Y254" s="16" t="e">
        <f t="shared" si="41"/>
        <v>#N/A</v>
      </c>
      <c r="Z254" s="15"/>
      <c r="AA254" s="13"/>
      <c r="AB254" s="17"/>
      <c r="AC254" s="3"/>
      <c r="AD254" s="10"/>
      <c r="AE254" s="3"/>
      <c r="AF254" s="10"/>
      <c r="AG254" s="15"/>
      <c r="AH254" s="62" t="str">
        <f t="shared" si="47"/>
        <v/>
      </c>
      <c r="AI254" s="62" t="e">
        <f>VLOOKUP($AH254,Herbicide_Data!$A$1:$Q$61,13)</f>
        <v>#N/A</v>
      </c>
      <c r="AJ254" s="16" t="e">
        <f t="shared" si="42"/>
        <v>#N/A</v>
      </c>
      <c r="AK254" s="3"/>
      <c r="AL254" s="3"/>
      <c r="AM254" s="3"/>
      <c r="AN254" s="3"/>
      <c r="AO254" s="3"/>
      <c r="AP254" s="3"/>
      <c r="AQ254" s="18"/>
      <c r="AR254" s="19"/>
      <c r="AS254" s="19"/>
      <c r="AT254" s="20"/>
      <c r="AU254" s="20"/>
      <c r="AV254" s="21"/>
      <c r="AW254" s="22"/>
      <c r="AX254" s="19"/>
      <c r="AY254" s="19"/>
      <c r="AZ254" s="19"/>
      <c r="BA254" s="23"/>
      <c r="BB254" s="19"/>
      <c r="BC254" s="19"/>
      <c r="BD254" s="19"/>
    </row>
    <row r="255" spans="1:56">
      <c r="A255" s="13"/>
      <c r="B255" s="11"/>
      <c r="C255" s="12"/>
      <c r="D255" s="12">
        <f t="shared" si="37"/>
        <v>2.0833299999999999E-2</v>
      </c>
      <c r="E255" s="10"/>
      <c r="F255" s="10" t="str">
        <f>IFERROR(VLOOKUP(E255,Data!A$2:B$5,2,TRUE), "")</f>
        <v/>
      </c>
      <c r="G255" s="3"/>
      <c r="H255" s="13" t="str">
        <f>IFERROR(VLOOKUP(A255,Customer_Data!$A$1:$P$114,8,TRUE),"")</f>
        <v/>
      </c>
      <c r="I255" s="13"/>
      <c r="J255" s="3" t="str">
        <f t="shared" si="43"/>
        <v/>
      </c>
      <c r="K255" s="62" t="e">
        <f>(VLOOKUP($J255,Herbicide_Data!$A$1:$L$61,9,TRUE))</f>
        <v>#N/A</v>
      </c>
      <c r="L255" s="62" t="e">
        <f>VLOOKUP($J255,Herbicide_Data!$A$1:$L$61,12,TRUE)</f>
        <v>#N/A</v>
      </c>
      <c r="M255" s="16" t="e">
        <f t="shared" si="38"/>
        <v>#N/A</v>
      </c>
      <c r="N255" s="62" t="str">
        <f t="shared" si="44"/>
        <v/>
      </c>
      <c r="O255" s="63" t="e">
        <f>VLOOKUP($N255,Herbicide_Data!$A$1:$L$61,9)</f>
        <v>#N/A</v>
      </c>
      <c r="P255" s="62" t="e">
        <f>VLOOKUP($N255,Herbicide_Data!$A$1:$P$61,13)</f>
        <v>#N/A</v>
      </c>
      <c r="Q255" s="16" t="e">
        <f t="shared" si="39"/>
        <v>#N/A</v>
      </c>
      <c r="R255" s="62" t="str">
        <f t="shared" si="45"/>
        <v/>
      </c>
      <c r="S255" s="63" t="e">
        <f>VLOOKUP($R255,Herbicide_Data!$A$1:$L$61,9)</f>
        <v>#N/A</v>
      </c>
      <c r="T255" s="62" t="e">
        <f>VLOOKUP($R255,Herbicide_Data!$A$1:$Q$61,13)</f>
        <v>#N/A</v>
      </c>
      <c r="U255" s="16" t="e">
        <f t="shared" si="40"/>
        <v>#N/A</v>
      </c>
      <c r="V255" s="62" t="b">
        <f t="shared" si="46"/>
        <v>0</v>
      </c>
      <c r="W255" s="63" t="e">
        <f>VLOOKUP($V255,Herbicide_Data!$A$1:$L$17,9)</f>
        <v>#N/A</v>
      </c>
      <c r="X255" s="62" t="e">
        <f>VLOOKUP($V255,Herbicide_Data!$A$1:$L$17,12)</f>
        <v>#N/A</v>
      </c>
      <c r="Y255" s="16" t="e">
        <f t="shared" si="41"/>
        <v>#N/A</v>
      </c>
      <c r="Z255" s="15"/>
      <c r="AA255" s="13"/>
      <c r="AB255" s="17"/>
      <c r="AC255" s="3"/>
      <c r="AD255" s="10"/>
      <c r="AE255" s="3"/>
      <c r="AF255" s="10"/>
      <c r="AG255" s="15"/>
      <c r="AH255" s="62" t="str">
        <f t="shared" si="47"/>
        <v/>
      </c>
      <c r="AI255" s="62" t="e">
        <f>VLOOKUP($AH255,Herbicide_Data!$A$1:$Q$61,13)</f>
        <v>#N/A</v>
      </c>
      <c r="AJ255" s="16" t="e">
        <f t="shared" si="42"/>
        <v>#N/A</v>
      </c>
      <c r="AK255" s="3"/>
      <c r="AL255" s="3"/>
      <c r="AM255" s="3"/>
      <c r="AN255" s="3"/>
      <c r="AO255" s="3"/>
      <c r="AP255" s="3"/>
      <c r="AQ255" s="18"/>
      <c r="AR255" s="19"/>
      <c r="AS255" s="19"/>
      <c r="AT255" s="20"/>
      <c r="AU255" s="20"/>
      <c r="AV255" s="21"/>
      <c r="AW255" s="22"/>
      <c r="AX255" s="19"/>
      <c r="AY255" s="19"/>
      <c r="AZ255" s="19"/>
      <c r="BA255" s="23"/>
      <c r="BB255" s="19"/>
      <c r="BC255" s="19"/>
      <c r="BD255" s="19"/>
    </row>
    <row r="256" spans="1:56">
      <c r="A256" s="13"/>
      <c r="B256" s="11"/>
      <c r="C256" s="12"/>
      <c r="D256" s="12">
        <f t="shared" si="37"/>
        <v>2.0833299999999999E-2</v>
      </c>
      <c r="E256" s="10"/>
      <c r="F256" s="10" t="str">
        <f>IFERROR(VLOOKUP(E256,Data!A$2:B$5,2,TRUE), "")</f>
        <v/>
      </c>
      <c r="G256" s="3"/>
      <c r="H256" s="13" t="str">
        <f>IFERROR(VLOOKUP(A256,Customer_Data!$A$1:$P$114,8,TRUE),"")</f>
        <v/>
      </c>
      <c r="I256" s="13"/>
      <c r="J256" s="3" t="str">
        <f t="shared" si="43"/>
        <v/>
      </c>
      <c r="K256" s="62" t="e">
        <f>(VLOOKUP($J256,Herbicide_Data!$A$1:$L$61,9,TRUE))</f>
        <v>#N/A</v>
      </c>
      <c r="L256" s="62" t="e">
        <f>VLOOKUP($J256,Herbicide_Data!$A$1:$L$61,12,TRUE)</f>
        <v>#N/A</v>
      </c>
      <c r="M256" s="16" t="e">
        <f t="shared" si="38"/>
        <v>#N/A</v>
      </c>
      <c r="N256" s="62" t="str">
        <f t="shared" si="44"/>
        <v/>
      </c>
      <c r="O256" s="63" t="e">
        <f>VLOOKUP($N256,Herbicide_Data!$A$1:$L$61,9)</f>
        <v>#N/A</v>
      </c>
      <c r="P256" s="62" t="e">
        <f>VLOOKUP($N256,Herbicide_Data!$A$1:$P$61,13)</f>
        <v>#N/A</v>
      </c>
      <c r="Q256" s="16" t="e">
        <f t="shared" si="39"/>
        <v>#N/A</v>
      </c>
      <c r="R256" s="62" t="str">
        <f t="shared" si="45"/>
        <v/>
      </c>
      <c r="S256" s="63" t="e">
        <f>VLOOKUP($R256,Herbicide_Data!$A$1:$L$61,9)</f>
        <v>#N/A</v>
      </c>
      <c r="T256" s="62" t="e">
        <f>VLOOKUP($R256,Herbicide_Data!$A$1:$Q$61,13)</f>
        <v>#N/A</v>
      </c>
      <c r="U256" s="16" t="e">
        <f t="shared" si="40"/>
        <v>#N/A</v>
      </c>
      <c r="V256" s="62" t="b">
        <f t="shared" si="46"/>
        <v>0</v>
      </c>
      <c r="W256" s="63" t="e">
        <f>VLOOKUP($V256,Herbicide_Data!$A$1:$L$17,9)</f>
        <v>#N/A</v>
      </c>
      <c r="X256" s="62" t="e">
        <f>VLOOKUP($V256,Herbicide_Data!$A$1:$L$17,12)</f>
        <v>#N/A</v>
      </c>
      <c r="Y256" s="16" t="e">
        <f t="shared" si="41"/>
        <v>#N/A</v>
      </c>
      <c r="Z256" s="15"/>
      <c r="AA256" s="13"/>
      <c r="AB256" s="17"/>
      <c r="AC256" s="3"/>
      <c r="AD256" s="10"/>
      <c r="AE256" s="3"/>
      <c r="AF256" s="10"/>
      <c r="AG256" s="15"/>
      <c r="AH256" s="62" t="str">
        <f t="shared" si="47"/>
        <v/>
      </c>
      <c r="AI256" s="62" t="e">
        <f>VLOOKUP($AH256,Herbicide_Data!$A$1:$Q$61,13)</f>
        <v>#N/A</v>
      </c>
      <c r="AJ256" s="16" t="e">
        <f t="shared" si="42"/>
        <v>#N/A</v>
      </c>
      <c r="AK256" s="3"/>
      <c r="AL256" s="3"/>
      <c r="AM256" s="3"/>
      <c r="AN256" s="3"/>
      <c r="AO256" s="3"/>
      <c r="AP256" s="3"/>
      <c r="AQ256" s="18"/>
      <c r="AR256" s="19"/>
      <c r="AS256" s="19"/>
      <c r="AT256" s="20"/>
      <c r="AU256" s="20"/>
      <c r="AV256" s="21"/>
      <c r="AW256" s="22"/>
      <c r="AX256" s="19"/>
      <c r="AY256" s="19"/>
      <c r="AZ256" s="19"/>
      <c r="BA256" s="23"/>
      <c r="BB256" s="19"/>
      <c r="BC256" s="19"/>
      <c r="BD256" s="19"/>
    </row>
    <row r="257" spans="1:56">
      <c r="A257" s="13"/>
      <c r="B257" s="11"/>
      <c r="C257" s="12"/>
      <c r="D257" s="12">
        <f t="shared" si="37"/>
        <v>2.0833299999999999E-2</v>
      </c>
      <c r="E257" s="10"/>
      <c r="F257" s="10" t="str">
        <f>IFERROR(VLOOKUP(E257,Data!A$2:B$5,2,TRUE), "")</f>
        <v/>
      </c>
      <c r="G257" s="3"/>
      <c r="H257" s="13" t="str">
        <f>IFERROR(VLOOKUP(A257,Customer_Data!$A$1:$P$114,8,TRUE),"")</f>
        <v/>
      </c>
      <c r="I257" s="13"/>
      <c r="J257" s="3" t="str">
        <f t="shared" si="43"/>
        <v/>
      </c>
      <c r="K257" s="62" t="e">
        <f>(VLOOKUP($J257,Herbicide_Data!$A$1:$L$61,9,TRUE))</f>
        <v>#N/A</v>
      </c>
      <c r="L257" s="62" t="e">
        <f>VLOOKUP($J257,Herbicide_Data!$A$1:$L$61,12,TRUE)</f>
        <v>#N/A</v>
      </c>
      <c r="M257" s="16" t="e">
        <f t="shared" si="38"/>
        <v>#N/A</v>
      </c>
      <c r="N257" s="62" t="str">
        <f t="shared" si="44"/>
        <v/>
      </c>
      <c r="O257" s="63" t="e">
        <f>VLOOKUP($N257,Herbicide_Data!$A$1:$L$61,9)</f>
        <v>#N/A</v>
      </c>
      <c r="P257" s="62" t="e">
        <f>VLOOKUP($N257,Herbicide_Data!$A$1:$P$61,13)</f>
        <v>#N/A</v>
      </c>
      <c r="Q257" s="16" t="e">
        <f t="shared" si="39"/>
        <v>#N/A</v>
      </c>
      <c r="R257" s="62" t="str">
        <f t="shared" si="45"/>
        <v/>
      </c>
      <c r="S257" s="63" t="e">
        <f>VLOOKUP($R257,Herbicide_Data!$A$1:$L$61,9)</f>
        <v>#N/A</v>
      </c>
      <c r="T257" s="62" t="e">
        <f>VLOOKUP($R257,Herbicide_Data!$A$1:$Q$61,13)</f>
        <v>#N/A</v>
      </c>
      <c r="U257" s="16" t="e">
        <f t="shared" si="40"/>
        <v>#N/A</v>
      </c>
      <c r="V257" s="62" t="b">
        <f t="shared" si="46"/>
        <v>0</v>
      </c>
      <c r="W257" s="63" t="e">
        <f>VLOOKUP($V257,Herbicide_Data!$A$1:$L$17,9)</f>
        <v>#N/A</v>
      </c>
      <c r="X257" s="62" t="e">
        <f>VLOOKUP($V257,Herbicide_Data!$A$1:$L$17,12)</f>
        <v>#N/A</v>
      </c>
      <c r="Y257" s="16" t="e">
        <f t="shared" si="41"/>
        <v>#N/A</v>
      </c>
      <c r="Z257" s="15"/>
      <c r="AA257" s="13"/>
      <c r="AB257" s="17"/>
      <c r="AC257" s="3"/>
      <c r="AD257" s="10"/>
      <c r="AE257" s="3"/>
      <c r="AF257" s="10"/>
      <c r="AG257" s="15"/>
      <c r="AH257" s="62" t="str">
        <f t="shared" si="47"/>
        <v/>
      </c>
      <c r="AI257" s="62" t="e">
        <f>VLOOKUP($AH257,Herbicide_Data!$A$1:$Q$61,13)</f>
        <v>#N/A</v>
      </c>
      <c r="AJ257" s="16" t="e">
        <f t="shared" si="42"/>
        <v>#N/A</v>
      </c>
      <c r="AK257" s="3"/>
      <c r="AL257" s="3"/>
      <c r="AM257" s="3"/>
      <c r="AN257" s="3"/>
      <c r="AO257" s="3"/>
      <c r="AP257" s="3"/>
      <c r="AQ257" s="18"/>
      <c r="AR257" s="19"/>
      <c r="AS257" s="19"/>
      <c r="AT257" s="20"/>
      <c r="AU257" s="20"/>
      <c r="AV257" s="21"/>
      <c r="AW257" s="22"/>
      <c r="AX257" s="19"/>
      <c r="AY257" s="19"/>
      <c r="AZ257" s="19"/>
      <c r="BA257" s="23"/>
      <c r="BB257" s="19"/>
      <c r="BC257" s="19"/>
      <c r="BD257" s="19"/>
    </row>
    <row r="258" spans="1:56">
      <c r="A258" s="13"/>
      <c r="B258" s="11"/>
      <c r="C258" s="12"/>
      <c r="D258" s="12">
        <f t="shared" ref="D258:D321" si="48">C258+0.0208333</f>
        <v>2.0833299999999999E-2</v>
      </c>
      <c r="E258" s="10"/>
      <c r="F258" s="10" t="str">
        <f>IFERROR(VLOOKUP(E258,Data!A$2:B$5,2,TRUE), "")</f>
        <v/>
      </c>
      <c r="G258" s="3"/>
      <c r="H258" s="13" t="str">
        <f>IFERROR(VLOOKUP(A258,Customer_Data!$A$1:$P$114,8,TRUE),"")</f>
        <v/>
      </c>
      <c r="I258" s="13"/>
      <c r="J258" s="3" t="str">
        <f t="shared" si="43"/>
        <v/>
      </c>
      <c r="K258" s="62" t="e">
        <f>(VLOOKUP($J258,Herbicide_Data!$A$1:$L$61,9,TRUE))</f>
        <v>#N/A</v>
      </c>
      <c r="L258" s="62" t="e">
        <f>VLOOKUP($J258,Herbicide_Data!$A$1:$L$61,12,TRUE)</f>
        <v>#N/A</v>
      </c>
      <c r="M258" s="16" t="e">
        <f t="shared" ref="M258:M321" si="49">L258*(H258/43560)</f>
        <v>#N/A</v>
      </c>
      <c r="N258" s="62" t="str">
        <f t="shared" si="44"/>
        <v/>
      </c>
      <c r="O258" s="63" t="e">
        <f>VLOOKUP($N258,Herbicide_Data!$A$1:$L$61,9)</f>
        <v>#N/A</v>
      </c>
      <c r="P258" s="62" t="e">
        <f>VLOOKUP($N258,Herbicide_Data!$A$1:$P$61,13)</f>
        <v>#N/A</v>
      </c>
      <c r="Q258" s="16" t="e">
        <f t="shared" ref="Q258:Q321" si="50">P258*($H258/43560)</f>
        <v>#N/A</v>
      </c>
      <c r="R258" s="62" t="str">
        <f t="shared" si="45"/>
        <v/>
      </c>
      <c r="S258" s="63" t="e">
        <f>VLOOKUP($R258,Herbicide_Data!$A$1:$L$61,9)</f>
        <v>#N/A</v>
      </c>
      <c r="T258" s="62" t="e">
        <f>VLOOKUP($R258,Herbicide_Data!$A$1:$Q$61,13)</f>
        <v>#N/A</v>
      </c>
      <c r="U258" s="16" t="e">
        <f t="shared" ref="U258:U321" si="51">T258*($H258/43560)</f>
        <v>#N/A</v>
      </c>
      <c r="V258" s="62" t="b">
        <f t="shared" si="46"/>
        <v>0</v>
      </c>
      <c r="W258" s="63" t="e">
        <f>VLOOKUP($V258,Herbicide_Data!$A$1:$L$17,9)</f>
        <v>#N/A</v>
      </c>
      <c r="X258" s="62" t="e">
        <f>VLOOKUP($V258,Herbicide_Data!$A$1:$L$17,12)</f>
        <v>#N/A</v>
      </c>
      <c r="Y258" s="16" t="e">
        <f t="shared" ref="Y258:Y321" si="52">X258*($H258/43560)</f>
        <v>#N/A</v>
      </c>
      <c r="Z258" s="15"/>
      <c r="AA258" s="13"/>
      <c r="AB258" s="17"/>
      <c r="AC258" s="3"/>
      <c r="AD258" s="10"/>
      <c r="AE258" s="3"/>
      <c r="AF258" s="10"/>
      <c r="AG258" s="15"/>
      <c r="AH258" s="62" t="str">
        <f t="shared" si="47"/>
        <v/>
      </c>
      <c r="AI258" s="62" t="e">
        <f>VLOOKUP($AH258,Herbicide_Data!$A$1:$Q$61,13)</f>
        <v>#N/A</v>
      </c>
      <c r="AJ258" s="16" t="e">
        <f t="shared" ref="AJ258:AJ321" si="53">AI258*($H258/43560)</f>
        <v>#N/A</v>
      </c>
      <c r="AK258" s="3"/>
      <c r="AL258" s="3"/>
      <c r="AM258" s="3"/>
      <c r="AN258" s="3"/>
      <c r="AO258" s="3"/>
      <c r="AP258" s="3"/>
      <c r="AQ258" s="18"/>
      <c r="AR258" s="19"/>
      <c r="AS258" s="19"/>
      <c r="AT258" s="20"/>
      <c r="AU258" s="20"/>
      <c r="AV258" s="21"/>
      <c r="AW258" s="22"/>
      <c r="AX258" s="19"/>
      <c r="AY258" s="19"/>
      <c r="AZ258" s="19"/>
      <c r="BA258" s="23"/>
      <c r="BB258" s="19"/>
      <c r="BC258" s="19"/>
      <c r="BD258" s="19"/>
    </row>
    <row r="259" spans="1:56">
      <c r="A259" s="13"/>
      <c r="B259" s="11"/>
      <c r="C259" s="12"/>
      <c r="D259" s="12">
        <f t="shared" si="48"/>
        <v>2.0833299999999999E-2</v>
      </c>
      <c r="E259" s="10"/>
      <c r="F259" s="10" t="str">
        <f>IFERROR(VLOOKUP(E259,Data!A$2:B$5,2,TRUE), "")</f>
        <v/>
      </c>
      <c r="G259" s="3"/>
      <c r="H259" s="13" t="str">
        <f>IFERROR(VLOOKUP(A259,Customer_Data!$A$1:$P$114,8,TRUE),"")</f>
        <v/>
      </c>
      <c r="I259" s="13"/>
      <c r="J259" s="3" t="str">
        <f t="shared" ref="J259:J322" si="54">IF($G259=("Fall (pre/post emerge)"),"Princep Liquid (100-526)", IF($G259=("Fertilize"),"Harrell's 34-0-5",IF($G259=("Spot Treat"),"Outrider (59639-223)","")))</f>
        <v/>
      </c>
      <c r="K259" s="62" t="e">
        <f>(VLOOKUP($J259,Herbicide_Data!$A$1:$L$61,9,TRUE))</f>
        <v>#N/A</v>
      </c>
      <c r="L259" s="62" t="e">
        <f>VLOOKUP($J259,Herbicide_Data!$A$1:$L$61,12,TRUE)</f>
        <v>#N/A</v>
      </c>
      <c r="M259" s="16" t="e">
        <f t="shared" si="49"/>
        <v>#N/A</v>
      </c>
      <c r="N259" s="62" t="str">
        <f t="shared" ref="N259:N322" si="55">IF($G259=("Fall (pre/post emerge)"),"Triplet SF (3-Way) 228-312",IF($G259=("Spring Preemerge (Jan)"),"Triplet SF (3-Way) 228-312",IF($G259=("Spring Preemerge (Apr)"),"Triplet SF (3-Way) 228-312","")))</f>
        <v/>
      </c>
      <c r="O259" s="63" t="e">
        <f>VLOOKUP($N259,Herbicide_Data!$A$1:$L$61,9)</f>
        <v>#N/A</v>
      </c>
      <c r="P259" s="62" t="e">
        <f>VLOOKUP($N259,Herbicide_Data!$A$1:$P$61,13)</f>
        <v>#N/A</v>
      </c>
      <c r="Q259" s="16" t="e">
        <f t="shared" si="50"/>
        <v>#N/A</v>
      </c>
      <c r="R259" s="62" t="str">
        <f t="shared" ref="R259:R322" si="56">IF($G259=("Fall (pre/post emerge)"),"Resolute 4Fl (100-1139)",IF($G259=("Spring Preemerge (Jan)"),"Resolute 4Fl (100-1139)",IF($G259=("Spring Preemerge (Apr)"),"Certinty Turf 59639-226","")))</f>
        <v/>
      </c>
      <c r="S259" s="63" t="e">
        <f>VLOOKUP($R259,Herbicide_Data!$A$1:$L$61,9)</f>
        <v>#N/A</v>
      </c>
      <c r="T259" s="62" t="e">
        <f>VLOOKUP($R259,Herbicide_Data!$A$1:$Q$61,13)</f>
        <v>#N/A</v>
      </c>
      <c r="U259" s="16" t="e">
        <f t="shared" si="51"/>
        <v>#N/A</v>
      </c>
      <c r="V259" s="62" t="b">
        <f t="shared" ref="V259:V322" si="57">IF($G259 = ("Preemerge"),"MSM Turf 228-373")</f>
        <v>0</v>
      </c>
      <c r="W259" s="63" t="e">
        <f>VLOOKUP($V259,Herbicide_Data!$A$1:$L$17,9)</f>
        <v>#N/A</v>
      </c>
      <c r="X259" s="62" t="e">
        <f>VLOOKUP($V259,Herbicide_Data!$A$1:$L$17,12)</f>
        <v>#N/A</v>
      </c>
      <c r="Y259" s="16" t="e">
        <f t="shared" si="52"/>
        <v>#N/A</v>
      </c>
      <c r="Z259" s="15"/>
      <c r="AA259" s="13"/>
      <c r="AB259" s="17"/>
      <c r="AC259" s="3"/>
      <c r="AD259" s="10"/>
      <c r="AE259" s="3"/>
      <c r="AF259" s="10"/>
      <c r="AG259" s="15"/>
      <c r="AH259" s="62" t="str">
        <f t="shared" si="47"/>
        <v/>
      </c>
      <c r="AI259" s="62" t="e">
        <f>VLOOKUP($AH259,Herbicide_Data!$A$1:$Q$61,13)</f>
        <v>#N/A</v>
      </c>
      <c r="AJ259" s="16" t="e">
        <f t="shared" si="53"/>
        <v>#N/A</v>
      </c>
      <c r="AK259" s="3"/>
      <c r="AL259" s="3"/>
      <c r="AM259" s="3"/>
      <c r="AN259" s="3"/>
      <c r="AO259" s="3"/>
      <c r="AP259" s="3"/>
      <c r="AQ259" s="18"/>
      <c r="AR259" s="19"/>
      <c r="AS259" s="19"/>
      <c r="AT259" s="20"/>
      <c r="AU259" s="20"/>
      <c r="AV259" s="21"/>
      <c r="AW259" s="22"/>
      <c r="AX259" s="19"/>
      <c r="AY259" s="19"/>
      <c r="AZ259" s="19"/>
      <c r="BA259" s="23"/>
      <c r="BB259" s="19"/>
      <c r="BC259" s="19"/>
      <c r="BD259" s="19"/>
    </row>
    <row r="260" spans="1:56">
      <c r="A260" s="13"/>
      <c r="B260" s="11"/>
      <c r="C260" s="12"/>
      <c r="D260" s="12">
        <f t="shared" si="48"/>
        <v>2.0833299999999999E-2</v>
      </c>
      <c r="E260" s="10"/>
      <c r="F260" s="10" t="str">
        <f>IFERROR(VLOOKUP(E260,Data!A$2:B$5,2,TRUE), "")</f>
        <v/>
      </c>
      <c r="G260" s="3"/>
      <c r="H260" s="13" t="str">
        <f>IFERROR(VLOOKUP(A260,Customer_Data!$A$1:$P$114,8,TRUE),"")</f>
        <v/>
      </c>
      <c r="I260" s="13"/>
      <c r="J260" s="3" t="str">
        <f t="shared" si="54"/>
        <v/>
      </c>
      <c r="K260" s="62" t="e">
        <f>(VLOOKUP($J260,Herbicide_Data!$A$1:$L$61,9,TRUE))</f>
        <v>#N/A</v>
      </c>
      <c r="L260" s="62" t="e">
        <f>VLOOKUP($J260,Herbicide_Data!$A$1:$L$61,12,TRUE)</f>
        <v>#N/A</v>
      </c>
      <c r="M260" s="16" t="e">
        <f t="shared" si="49"/>
        <v>#N/A</v>
      </c>
      <c r="N260" s="62" t="str">
        <f t="shared" si="55"/>
        <v/>
      </c>
      <c r="O260" s="63" t="e">
        <f>VLOOKUP($N260,Herbicide_Data!$A$1:$L$61,9)</f>
        <v>#N/A</v>
      </c>
      <c r="P260" s="62" t="e">
        <f>VLOOKUP($N260,Herbicide_Data!$A$1:$P$61,13)</f>
        <v>#N/A</v>
      </c>
      <c r="Q260" s="16" t="e">
        <f t="shared" si="50"/>
        <v>#N/A</v>
      </c>
      <c r="R260" s="62" t="str">
        <f t="shared" si="56"/>
        <v/>
      </c>
      <c r="S260" s="63" t="e">
        <f>VLOOKUP($R260,Herbicide_Data!$A$1:$L$61,9)</f>
        <v>#N/A</v>
      </c>
      <c r="T260" s="62" t="e">
        <f>VLOOKUP($R260,Herbicide_Data!$A$1:$Q$61,13)</f>
        <v>#N/A</v>
      </c>
      <c r="U260" s="16" t="e">
        <f t="shared" si="51"/>
        <v>#N/A</v>
      </c>
      <c r="V260" s="62" t="b">
        <f t="shared" si="57"/>
        <v>0</v>
      </c>
      <c r="W260" s="63" t="e">
        <f>VLOOKUP($V260,Herbicide_Data!$A$1:$L$17,9)</f>
        <v>#N/A</v>
      </c>
      <c r="X260" s="62" t="e">
        <f>VLOOKUP($V260,Herbicide_Data!$A$1:$L$17,12)</f>
        <v>#N/A</v>
      </c>
      <c r="Y260" s="16" t="e">
        <f t="shared" si="52"/>
        <v>#N/A</v>
      </c>
      <c r="Z260" s="15"/>
      <c r="AA260" s="13"/>
      <c r="AB260" s="17"/>
      <c r="AC260" s="3"/>
      <c r="AD260" s="10"/>
      <c r="AE260" s="3"/>
      <c r="AF260" s="10"/>
      <c r="AG260" s="15"/>
      <c r="AH260" s="62" t="str">
        <f t="shared" si="47"/>
        <v/>
      </c>
      <c r="AI260" s="62" t="e">
        <f>VLOOKUP($AH260,Herbicide_Data!$A$1:$Q$61,13)</f>
        <v>#N/A</v>
      </c>
      <c r="AJ260" s="16" t="e">
        <f t="shared" si="53"/>
        <v>#N/A</v>
      </c>
      <c r="AK260" s="3"/>
      <c r="AL260" s="3"/>
      <c r="AM260" s="3"/>
      <c r="AN260" s="3"/>
      <c r="AO260" s="3"/>
      <c r="AP260" s="3"/>
      <c r="AQ260" s="18"/>
      <c r="AR260" s="19"/>
      <c r="AS260" s="19"/>
      <c r="AT260" s="20"/>
      <c r="AU260" s="20"/>
      <c r="AV260" s="21"/>
      <c r="AW260" s="22"/>
      <c r="AX260" s="19"/>
      <c r="AY260" s="19"/>
      <c r="AZ260" s="19"/>
      <c r="BA260" s="23"/>
      <c r="BB260" s="19"/>
      <c r="BC260" s="19"/>
      <c r="BD260" s="19"/>
    </row>
    <row r="261" spans="1:56">
      <c r="A261" s="13"/>
      <c r="B261" s="11"/>
      <c r="C261" s="12"/>
      <c r="D261" s="12">
        <f t="shared" si="48"/>
        <v>2.0833299999999999E-2</v>
      </c>
      <c r="E261" s="10"/>
      <c r="F261" s="10" t="str">
        <f>IFERROR(VLOOKUP(E261,Data!A$2:B$5,2,TRUE), "")</f>
        <v/>
      </c>
      <c r="G261" s="3"/>
      <c r="H261" s="13" t="str">
        <f>IFERROR(VLOOKUP(A261,Customer_Data!$A$1:$P$114,8,TRUE),"")</f>
        <v/>
      </c>
      <c r="I261" s="13"/>
      <c r="J261" s="3" t="str">
        <f t="shared" si="54"/>
        <v/>
      </c>
      <c r="K261" s="62" t="e">
        <f>(VLOOKUP($J261,Herbicide_Data!$A$1:$L$61,9,TRUE))</f>
        <v>#N/A</v>
      </c>
      <c r="L261" s="62" t="e">
        <f>VLOOKUP($J261,Herbicide_Data!$A$1:$L$61,12,TRUE)</f>
        <v>#N/A</v>
      </c>
      <c r="M261" s="16" t="e">
        <f t="shared" si="49"/>
        <v>#N/A</v>
      </c>
      <c r="N261" s="62" t="str">
        <f t="shared" si="55"/>
        <v/>
      </c>
      <c r="O261" s="63" t="e">
        <f>VLOOKUP($N261,Herbicide_Data!$A$1:$L$61,9)</f>
        <v>#N/A</v>
      </c>
      <c r="P261" s="62" t="e">
        <f>VLOOKUP($N261,Herbicide_Data!$A$1:$P$61,13)</f>
        <v>#N/A</v>
      </c>
      <c r="Q261" s="16" t="e">
        <f t="shared" si="50"/>
        <v>#N/A</v>
      </c>
      <c r="R261" s="62" t="str">
        <f t="shared" si="56"/>
        <v/>
      </c>
      <c r="S261" s="63" t="e">
        <f>VLOOKUP($R261,Herbicide_Data!$A$1:$L$61,9)</f>
        <v>#N/A</v>
      </c>
      <c r="T261" s="62" t="e">
        <f>VLOOKUP($R261,Herbicide_Data!$A$1:$Q$61,13)</f>
        <v>#N/A</v>
      </c>
      <c r="U261" s="16" t="e">
        <f t="shared" si="51"/>
        <v>#N/A</v>
      </c>
      <c r="V261" s="62" t="b">
        <f t="shared" si="57"/>
        <v>0</v>
      </c>
      <c r="W261" s="63" t="e">
        <f>VLOOKUP($V261,Herbicide_Data!$A$1:$L$17,9)</f>
        <v>#N/A</v>
      </c>
      <c r="X261" s="62" t="e">
        <f>VLOOKUP($V261,Herbicide_Data!$A$1:$L$17,12)</f>
        <v>#N/A</v>
      </c>
      <c r="Y261" s="16" t="e">
        <f t="shared" si="52"/>
        <v>#N/A</v>
      </c>
      <c r="Z261" s="15"/>
      <c r="AA261" s="13"/>
      <c r="AB261" s="17"/>
      <c r="AC261" s="3"/>
      <c r="AD261" s="10"/>
      <c r="AE261" s="3"/>
      <c r="AF261" s="10"/>
      <c r="AG261" s="15"/>
      <c r="AH261" s="62" t="str">
        <f t="shared" si="47"/>
        <v/>
      </c>
      <c r="AI261" s="62" t="e">
        <f>VLOOKUP($AH261,Herbicide_Data!$A$1:$Q$61,13)</f>
        <v>#N/A</v>
      </c>
      <c r="AJ261" s="16" t="e">
        <f t="shared" si="53"/>
        <v>#N/A</v>
      </c>
      <c r="AK261" s="3"/>
      <c r="AL261" s="3"/>
      <c r="AM261" s="3"/>
      <c r="AN261" s="3"/>
      <c r="AO261" s="3"/>
      <c r="AP261" s="3"/>
      <c r="AQ261" s="18"/>
      <c r="AR261" s="19"/>
      <c r="AS261" s="19"/>
      <c r="AT261" s="20"/>
      <c r="AU261" s="20"/>
      <c r="AV261" s="21"/>
      <c r="AW261" s="22"/>
      <c r="AX261" s="19"/>
      <c r="AY261" s="19"/>
      <c r="AZ261" s="19"/>
      <c r="BA261" s="23"/>
      <c r="BB261" s="19"/>
      <c r="BC261" s="19"/>
      <c r="BD261" s="19"/>
    </row>
    <row r="262" spans="1:56">
      <c r="A262" s="13"/>
      <c r="B262" s="11"/>
      <c r="C262" s="12"/>
      <c r="D262" s="12">
        <f t="shared" si="48"/>
        <v>2.0833299999999999E-2</v>
      </c>
      <c r="E262" s="10"/>
      <c r="F262" s="10" t="str">
        <f>IFERROR(VLOOKUP(E262,Data!A$2:B$5,2,TRUE), "")</f>
        <v/>
      </c>
      <c r="G262" s="3"/>
      <c r="H262" s="13" t="str">
        <f>IFERROR(VLOOKUP(A262,Customer_Data!$A$1:$P$114,8,TRUE),"")</f>
        <v/>
      </c>
      <c r="I262" s="13"/>
      <c r="J262" s="3" t="str">
        <f t="shared" si="54"/>
        <v/>
      </c>
      <c r="K262" s="62" t="e">
        <f>(VLOOKUP($J262,Herbicide_Data!$A$1:$L$61,9,TRUE))</f>
        <v>#N/A</v>
      </c>
      <c r="L262" s="62" t="e">
        <f>VLOOKUP($J262,Herbicide_Data!$A$1:$L$61,12,TRUE)</f>
        <v>#N/A</v>
      </c>
      <c r="M262" s="16" t="e">
        <f t="shared" si="49"/>
        <v>#N/A</v>
      </c>
      <c r="N262" s="62" t="str">
        <f t="shared" si="55"/>
        <v/>
      </c>
      <c r="O262" s="63" t="e">
        <f>VLOOKUP($N262,Herbicide_Data!$A$1:$L$61,9)</f>
        <v>#N/A</v>
      </c>
      <c r="P262" s="62" t="e">
        <f>VLOOKUP($N262,Herbicide_Data!$A$1:$P$61,13)</f>
        <v>#N/A</v>
      </c>
      <c r="Q262" s="16" t="e">
        <f t="shared" si="50"/>
        <v>#N/A</v>
      </c>
      <c r="R262" s="62" t="str">
        <f t="shared" si="56"/>
        <v/>
      </c>
      <c r="S262" s="63" t="e">
        <f>VLOOKUP($R262,Herbicide_Data!$A$1:$L$61,9)</f>
        <v>#N/A</v>
      </c>
      <c r="T262" s="62" t="e">
        <f>VLOOKUP($R262,Herbicide_Data!$A$1:$Q$61,13)</f>
        <v>#N/A</v>
      </c>
      <c r="U262" s="16" t="e">
        <f t="shared" si="51"/>
        <v>#N/A</v>
      </c>
      <c r="V262" s="62" t="b">
        <f t="shared" si="57"/>
        <v>0</v>
      </c>
      <c r="W262" s="63" t="e">
        <f>VLOOKUP($V262,Herbicide_Data!$A$1:$L$17,9)</f>
        <v>#N/A</v>
      </c>
      <c r="X262" s="62" t="e">
        <f>VLOOKUP($V262,Herbicide_Data!$A$1:$L$17,12)</f>
        <v>#N/A</v>
      </c>
      <c r="Y262" s="16" t="e">
        <f t="shared" si="52"/>
        <v>#N/A</v>
      </c>
      <c r="Z262" s="15"/>
      <c r="AA262" s="13"/>
      <c r="AB262" s="17"/>
      <c r="AC262" s="3"/>
      <c r="AD262" s="10"/>
      <c r="AE262" s="3"/>
      <c r="AF262" s="10"/>
      <c r="AG262" s="15"/>
      <c r="AH262" s="62" t="str">
        <f t="shared" si="47"/>
        <v/>
      </c>
      <c r="AI262" s="62" t="e">
        <f>VLOOKUP($AH262,Herbicide_Data!$A$1:$Q$61,13)</f>
        <v>#N/A</v>
      </c>
      <c r="AJ262" s="16" t="e">
        <f t="shared" si="53"/>
        <v>#N/A</v>
      </c>
      <c r="AK262" s="3"/>
      <c r="AL262" s="3"/>
      <c r="AM262" s="3"/>
      <c r="AN262" s="3"/>
      <c r="AO262" s="3"/>
      <c r="AP262" s="3"/>
      <c r="AQ262" s="18"/>
      <c r="AR262" s="19"/>
      <c r="AS262" s="19"/>
      <c r="AT262" s="20"/>
      <c r="AU262" s="20"/>
      <c r="AV262" s="21"/>
      <c r="AW262" s="22"/>
      <c r="AX262" s="19"/>
      <c r="AY262" s="19"/>
      <c r="AZ262" s="19"/>
      <c r="BA262" s="23"/>
      <c r="BB262" s="19"/>
      <c r="BC262" s="19"/>
      <c r="BD262" s="19"/>
    </row>
    <row r="263" spans="1:56">
      <c r="A263" s="13"/>
      <c r="B263" s="11"/>
      <c r="C263" s="12"/>
      <c r="D263" s="12">
        <f t="shared" si="48"/>
        <v>2.0833299999999999E-2</v>
      </c>
      <c r="E263" s="10"/>
      <c r="F263" s="10" t="str">
        <f>IFERROR(VLOOKUP(E263,Data!A$2:B$5,2,TRUE), "")</f>
        <v/>
      </c>
      <c r="G263" s="3"/>
      <c r="H263" s="13" t="str">
        <f>IFERROR(VLOOKUP(A263,Customer_Data!$A$1:$P$114,8,TRUE),"")</f>
        <v/>
      </c>
      <c r="I263" s="13"/>
      <c r="J263" s="3" t="str">
        <f t="shared" si="54"/>
        <v/>
      </c>
      <c r="K263" s="62" t="e">
        <f>(VLOOKUP($J263,Herbicide_Data!$A$1:$L$61,9,TRUE))</f>
        <v>#N/A</v>
      </c>
      <c r="L263" s="62" t="e">
        <f>VLOOKUP($J263,Herbicide_Data!$A$1:$L$61,12,TRUE)</f>
        <v>#N/A</v>
      </c>
      <c r="M263" s="16" t="e">
        <f t="shared" si="49"/>
        <v>#N/A</v>
      </c>
      <c r="N263" s="62" t="str">
        <f t="shared" si="55"/>
        <v/>
      </c>
      <c r="O263" s="63" t="e">
        <f>VLOOKUP($N263,Herbicide_Data!$A$1:$L$61,9)</f>
        <v>#N/A</v>
      </c>
      <c r="P263" s="62" t="e">
        <f>VLOOKUP($N263,Herbicide_Data!$A$1:$P$61,13)</f>
        <v>#N/A</v>
      </c>
      <c r="Q263" s="16" t="e">
        <f t="shared" si="50"/>
        <v>#N/A</v>
      </c>
      <c r="R263" s="62" t="str">
        <f t="shared" si="56"/>
        <v/>
      </c>
      <c r="S263" s="63" t="e">
        <f>VLOOKUP($R263,Herbicide_Data!$A$1:$L$61,9)</f>
        <v>#N/A</v>
      </c>
      <c r="T263" s="62" t="e">
        <f>VLOOKUP($R263,Herbicide_Data!$A$1:$Q$61,13)</f>
        <v>#N/A</v>
      </c>
      <c r="U263" s="16" t="e">
        <f t="shared" si="51"/>
        <v>#N/A</v>
      </c>
      <c r="V263" s="62" t="b">
        <f t="shared" si="57"/>
        <v>0</v>
      </c>
      <c r="W263" s="63" t="e">
        <f>VLOOKUP($V263,Herbicide_Data!$A$1:$L$17,9)</f>
        <v>#N/A</v>
      </c>
      <c r="X263" s="62" t="e">
        <f>VLOOKUP($V263,Herbicide_Data!$A$1:$L$17,12)</f>
        <v>#N/A</v>
      </c>
      <c r="Y263" s="16" t="e">
        <f t="shared" si="52"/>
        <v>#N/A</v>
      </c>
      <c r="Z263" s="15"/>
      <c r="AA263" s="13"/>
      <c r="AB263" s="17"/>
      <c r="AC263" s="3"/>
      <c r="AD263" s="10"/>
      <c r="AE263" s="3"/>
      <c r="AF263" s="10"/>
      <c r="AG263" s="15"/>
      <c r="AH263" s="62" t="str">
        <f t="shared" si="47"/>
        <v/>
      </c>
      <c r="AI263" s="62" t="e">
        <f>VLOOKUP($AH263,Herbicide_Data!$A$1:$Q$61,13)</f>
        <v>#N/A</v>
      </c>
      <c r="AJ263" s="16" t="e">
        <f t="shared" si="53"/>
        <v>#N/A</v>
      </c>
      <c r="AK263" s="3"/>
      <c r="AL263" s="3"/>
      <c r="AM263" s="3"/>
      <c r="AN263" s="3"/>
      <c r="AO263" s="3"/>
      <c r="AP263" s="3"/>
      <c r="AQ263" s="18"/>
      <c r="AR263" s="19"/>
      <c r="AS263" s="19"/>
      <c r="AT263" s="20"/>
      <c r="AU263" s="20"/>
      <c r="AV263" s="21"/>
      <c r="AW263" s="22"/>
      <c r="AX263" s="19"/>
      <c r="AY263" s="19"/>
      <c r="AZ263" s="19"/>
      <c r="BA263" s="23"/>
      <c r="BB263" s="19"/>
      <c r="BC263" s="19"/>
      <c r="BD263" s="19"/>
    </row>
    <row r="264" spans="1:56">
      <c r="A264" s="13"/>
      <c r="B264" s="11"/>
      <c r="C264" s="12"/>
      <c r="D264" s="12">
        <f t="shared" si="48"/>
        <v>2.0833299999999999E-2</v>
      </c>
      <c r="E264" s="10"/>
      <c r="F264" s="10" t="str">
        <f>IFERROR(VLOOKUP(E264,Data!A$2:B$5,2,TRUE), "")</f>
        <v/>
      </c>
      <c r="G264" s="3"/>
      <c r="H264" s="13" t="str">
        <f>IFERROR(VLOOKUP(A264,Customer_Data!$A$1:$P$114,8,TRUE),"")</f>
        <v/>
      </c>
      <c r="I264" s="13"/>
      <c r="J264" s="3" t="str">
        <f t="shared" si="54"/>
        <v/>
      </c>
      <c r="K264" s="62" t="e">
        <f>(VLOOKUP($J264,Herbicide_Data!$A$1:$L$61,9,TRUE))</f>
        <v>#N/A</v>
      </c>
      <c r="L264" s="62" t="e">
        <f>VLOOKUP($J264,Herbicide_Data!$A$1:$L$61,12,TRUE)</f>
        <v>#N/A</v>
      </c>
      <c r="M264" s="16" t="e">
        <f t="shared" si="49"/>
        <v>#N/A</v>
      </c>
      <c r="N264" s="62" t="str">
        <f t="shared" si="55"/>
        <v/>
      </c>
      <c r="O264" s="63" t="e">
        <f>VLOOKUP($N264,Herbicide_Data!$A$1:$L$61,9)</f>
        <v>#N/A</v>
      </c>
      <c r="P264" s="62" t="e">
        <f>VLOOKUP($N264,Herbicide_Data!$A$1:$P$61,13)</f>
        <v>#N/A</v>
      </c>
      <c r="Q264" s="16" t="e">
        <f t="shared" si="50"/>
        <v>#N/A</v>
      </c>
      <c r="R264" s="62" t="str">
        <f t="shared" si="56"/>
        <v/>
      </c>
      <c r="S264" s="63" t="e">
        <f>VLOOKUP($R264,Herbicide_Data!$A$1:$L$61,9)</f>
        <v>#N/A</v>
      </c>
      <c r="T264" s="62" t="e">
        <f>VLOOKUP($R264,Herbicide_Data!$A$1:$Q$61,13)</f>
        <v>#N/A</v>
      </c>
      <c r="U264" s="16" t="e">
        <f t="shared" si="51"/>
        <v>#N/A</v>
      </c>
      <c r="V264" s="62" t="b">
        <f t="shared" si="57"/>
        <v>0</v>
      </c>
      <c r="W264" s="63" t="e">
        <f>VLOOKUP($V264,Herbicide_Data!$A$1:$L$17,9)</f>
        <v>#N/A</v>
      </c>
      <c r="X264" s="62" t="e">
        <f>VLOOKUP($V264,Herbicide_Data!$A$1:$L$17,12)</f>
        <v>#N/A</v>
      </c>
      <c r="Y264" s="16" t="e">
        <f t="shared" si="52"/>
        <v>#N/A</v>
      </c>
      <c r="Z264" s="15"/>
      <c r="AA264" s="13"/>
      <c r="AB264" s="17"/>
      <c r="AC264" s="3"/>
      <c r="AD264" s="10"/>
      <c r="AE264" s="3"/>
      <c r="AF264" s="10"/>
      <c r="AG264" s="15"/>
      <c r="AH264" s="62" t="str">
        <f t="shared" si="47"/>
        <v/>
      </c>
      <c r="AI264" s="62" t="e">
        <f>VLOOKUP($AH264,Herbicide_Data!$A$1:$Q$61,13)</f>
        <v>#N/A</v>
      </c>
      <c r="AJ264" s="16" t="e">
        <f t="shared" si="53"/>
        <v>#N/A</v>
      </c>
      <c r="AK264" s="3"/>
      <c r="AL264" s="3"/>
      <c r="AM264" s="3"/>
      <c r="AN264" s="3"/>
      <c r="AO264" s="3"/>
      <c r="AP264" s="3"/>
      <c r="AQ264" s="18"/>
      <c r="AR264" s="19"/>
      <c r="AS264" s="19"/>
      <c r="AT264" s="20"/>
      <c r="AU264" s="20"/>
      <c r="AV264" s="21"/>
      <c r="AW264" s="22"/>
      <c r="AX264" s="19"/>
      <c r="AY264" s="19"/>
      <c r="AZ264" s="19"/>
      <c r="BA264" s="23"/>
      <c r="BB264" s="19"/>
      <c r="BC264" s="19"/>
      <c r="BD264" s="19"/>
    </row>
    <row r="265" spans="1:56">
      <c r="A265" s="13"/>
      <c r="B265" s="11"/>
      <c r="C265" s="12"/>
      <c r="D265" s="12">
        <f t="shared" si="48"/>
        <v>2.0833299999999999E-2</v>
      </c>
      <c r="E265" s="10"/>
      <c r="F265" s="10" t="str">
        <f>IFERROR(VLOOKUP(E265,Data!A$2:B$5,2,TRUE), "")</f>
        <v/>
      </c>
      <c r="G265" s="3"/>
      <c r="H265" s="13" t="str">
        <f>IFERROR(VLOOKUP(A265,Customer_Data!$A$1:$P$114,8,TRUE),"")</f>
        <v/>
      </c>
      <c r="I265" s="13"/>
      <c r="J265" s="3" t="str">
        <f t="shared" si="54"/>
        <v/>
      </c>
      <c r="K265" s="62" t="e">
        <f>(VLOOKUP($J265,Herbicide_Data!$A$1:$L$61,9,TRUE))</f>
        <v>#N/A</v>
      </c>
      <c r="L265" s="62" t="e">
        <f>VLOOKUP($J265,Herbicide_Data!$A$1:$L$61,12,TRUE)</f>
        <v>#N/A</v>
      </c>
      <c r="M265" s="16" t="e">
        <f t="shared" si="49"/>
        <v>#N/A</v>
      </c>
      <c r="N265" s="62" t="str">
        <f t="shared" si="55"/>
        <v/>
      </c>
      <c r="O265" s="63" t="e">
        <f>VLOOKUP($N265,Herbicide_Data!$A$1:$L$61,9)</f>
        <v>#N/A</v>
      </c>
      <c r="P265" s="62" t="e">
        <f>VLOOKUP($N265,Herbicide_Data!$A$1:$P$61,13)</f>
        <v>#N/A</v>
      </c>
      <c r="Q265" s="16" t="e">
        <f t="shared" si="50"/>
        <v>#N/A</v>
      </c>
      <c r="R265" s="62" t="str">
        <f t="shared" si="56"/>
        <v/>
      </c>
      <c r="S265" s="63" t="e">
        <f>VLOOKUP($R265,Herbicide_Data!$A$1:$L$61,9)</f>
        <v>#N/A</v>
      </c>
      <c r="T265" s="62" t="e">
        <f>VLOOKUP($R265,Herbicide_Data!$A$1:$Q$61,13)</f>
        <v>#N/A</v>
      </c>
      <c r="U265" s="16" t="e">
        <f t="shared" si="51"/>
        <v>#N/A</v>
      </c>
      <c r="V265" s="62" t="b">
        <f t="shared" si="57"/>
        <v>0</v>
      </c>
      <c r="W265" s="63" t="e">
        <f>VLOOKUP($V265,Herbicide_Data!$A$1:$L$17,9)</f>
        <v>#N/A</v>
      </c>
      <c r="X265" s="62" t="e">
        <f>VLOOKUP($V265,Herbicide_Data!$A$1:$L$17,12)</f>
        <v>#N/A</v>
      </c>
      <c r="Y265" s="16" t="e">
        <f t="shared" si="52"/>
        <v>#N/A</v>
      </c>
      <c r="Z265" s="15"/>
      <c r="AA265" s="13"/>
      <c r="AB265" s="17"/>
      <c r="AC265" s="3"/>
      <c r="AD265" s="10"/>
      <c r="AE265" s="3"/>
      <c r="AF265" s="10"/>
      <c r="AG265" s="15"/>
      <c r="AH265" s="62" t="str">
        <f t="shared" si="47"/>
        <v/>
      </c>
      <c r="AI265" s="62" t="e">
        <f>VLOOKUP($AH265,Herbicide_Data!$A$1:$Q$61,13)</f>
        <v>#N/A</v>
      </c>
      <c r="AJ265" s="16" t="e">
        <f t="shared" si="53"/>
        <v>#N/A</v>
      </c>
      <c r="AK265" s="3"/>
      <c r="AL265" s="3"/>
      <c r="AM265" s="3"/>
      <c r="AN265" s="3"/>
      <c r="AO265" s="3"/>
      <c r="AP265" s="3"/>
      <c r="AQ265" s="18"/>
      <c r="AR265" s="19"/>
      <c r="AS265" s="19"/>
      <c r="AT265" s="20"/>
      <c r="AU265" s="20"/>
      <c r="AV265" s="21"/>
      <c r="AW265" s="22"/>
      <c r="AX265" s="19"/>
      <c r="AY265" s="19"/>
      <c r="AZ265" s="19"/>
      <c r="BA265" s="23"/>
      <c r="BB265" s="19"/>
      <c r="BC265" s="19"/>
      <c r="BD265" s="19"/>
    </row>
    <row r="266" spans="1:56">
      <c r="A266" s="13"/>
      <c r="B266" s="11"/>
      <c r="C266" s="12"/>
      <c r="D266" s="12">
        <f t="shared" si="48"/>
        <v>2.0833299999999999E-2</v>
      </c>
      <c r="E266" s="10"/>
      <c r="F266" s="10" t="str">
        <f>IFERROR(VLOOKUP(E266,Data!A$2:B$5,2,TRUE), "")</f>
        <v/>
      </c>
      <c r="G266" s="3"/>
      <c r="H266" s="13" t="str">
        <f>IFERROR(VLOOKUP(A266,Customer_Data!$A$1:$P$114,8,TRUE),"")</f>
        <v/>
      </c>
      <c r="I266" s="13"/>
      <c r="J266" s="3" t="str">
        <f t="shared" si="54"/>
        <v/>
      </c>
      <c r="K266" s="62" t="e">
        <f>(VLOOKUP($J266,Herbicide_Data!$A$1:$L$61,9,TRUE))</f>
        <v>#N/A</v>
      </c>
      <c r="L266" s="62" t="e">
        <f>VLOOKUP($J266,Herbicide_Data!$A$1:$L$61,12,TRUE)</f>
        <v>#N/A</v>
      </c>
      <c r="M266" s="16" t="e">
        <f t="shared" si="49"/>
        <v>#N/A</v>
      </c>
      <c r="N266" s="62" t="str">
        <f t="shared" si="55"/>
        <v/>
      </c>
      <c r="O266" s="63" t="e">
        <f>VLOOKUP($N266,Herbicide_Data!$A$1:$L$61,9)</f>
        <v>#N/A</v>
      </c>
      <c r="P266" s="62" t="e">
        <f>VLOOKUP($N266,Herbicide_Data!$A$1:$P$61,13)</f>
        <v>#N/A</v>
      </c>
      <c r="Q266" s="16" t="e">
        <f t="shared" si="50"/>
        <v>#N/A</v>
      </c>
      <c r="R266" s="62" t="str">
        <f t="shared" si="56"/>
        <v/>
      </c>
      <c r="S266" s="63" t="e">
        <f>VLOOKUP($R266,Herbicide_Data!$A$1:$L$61,9)</f>
        <v>#N/A</v>
      </c>
      <c r="T266" s="62" t="e">
        <f>VLOOKUP($R266,Herbicide_Data!$A$1:$Q$61,13)</f>
        <v>#N/A</v>
      </c>
      <c r="U266" s="16" t="e">
        <f t="shared" si="51"/>
        <v>#N/A</v>
      </c>
      <c r="V266" s="62" t="b">
        <f t="shared" si="57"/>
        <v>0</v>
      </c>
      <c r="W266" s="63" t="e">
        <f>VLOOKUP($V266,Herbicide_Data!$A$1:$L$17,9)</f>
        <v>#N/A</v>
      </c>
      <c r="X266" s="62" t="e">
        <f>VLOOKUP($V266,Herbicide_Data!$A$1:$L$17,12)</f>
        <v>#N/A</v>
      </c>
      <c r="Y266" s="16" t="e">
        <f t="shared" si="52"/>
        <v>#N/A</v>
      </c>
      <c r="Z266" s="15"/>
      <c r="AA266" s="13"/>
      <c r="AB266" s="17"/>
      <c r="AC266" s="3"/>
      <c r="AD266" s="10"/>
      <c r="AE266" s="3"/>
      <c r="AF266" s="10"/>
      <c r="AG266" s="15"/>
      <c r="AH266" s="62" t="str">
        <f t="shared" si="47"/>
        <v/>
      </c>
      <c r="AI266" s="62" t="e">
        <f>VLOOKUP($AH266,Herbicide_Data!$A$1:$Q$61,13)</f>
        <v>#N/A</v>
      </c>
      <c r="AJ266" s="16" t="e">
        <f t="shared" si="53"/>
        <v>#N/A</v>
      </c>
      <c r="AK266" s="3"/>
      <c r="AL266" s="3"/>
      <c r="AM266" s="3"/>
      <c r="AN266" s="3"/>
      <c r="AO266" s="3"/>
      <c r="AP266" s="3"/>
      <c r="AQ266" s="18"/>
      <c r="AR266" s="19"/>
      <c r="AS266" s="19"/>
      <c r="AT266" s="20"/>
      <c r="AU266" s="20"/>
      <c r="AV266" s="21"/>
      <c r="AW266" s="22"/>
      <c r="AX266" s="19"/>
      <c r="AY266" s="19"/>
      <c r="AZ266" s="19"/>
      <c r="BA266" s="23"/>
      <c r="BB266" s="19"/>
      <c r="BC266" s="19"/>
      <c r="BD266" s="19"/>
    </row>
    <row r="267" spans="1:56">
      <c r="A267" s="13"/>
      <c r="B267" s="11"/>
      <c r="C267" s="12"/>
      <c r="D267" s="12">
        <f t="shared" si="48"/>
        <v>2.0833299999999999E-2</v>
      </c>
      <c r="E267" s="10"/>
      <c r="F267" s="10" t="str">
        <f>IFERROR(VLOOKUP(E267,Data!A$2:B$5,2,TRUE), "")</f>
        <v/>
      </c>
      <c r="G267" s="3"/>
      <c r="H267" s="13" t="str">
        <f>IFERROR(VLOOKUP(A267,Customer_Data!$A$1:$P$114,8,TRUE),"")</f>
        <v/>
      </c>
      <c r="I267" s="13"/>
      <c r="J267" s="3" t="str">
        <f t="shared" si="54"/>
        <v/>
      </c>
      <c r="K267" s="62" t="e">
        <f>(VLOOKUP($J267,Herbicide_Data!$A$1:$L$61,9,TRUE))</f>
        <v>#N/A</v>
      </c>
      <c r="L267" s="62" t="e">
        <f>VLOOKUP($J267,Herbicide_Data!$A$1:$L$61,12,TRUE)</f>
        <v>#N/A</v>
      </c>
      <c r="M267" s="16" t="e">
        <f t="shared" si="49"/>
        <v>#N/A</v>
      </c>
      <c r="N267" s="62" t="str">
        <f t="shared" si="55"/>
        <v/>
      </c>
      <c r="O267" s="63" t="e">
        <f>VLOOKUP($N267,Herbicide_Data!$A$1:$L$61,9)</f>
        <v>#N/A</v>
      </c>
      <c r="P267" s="62" t="e">
        <f>VLOOKUP($N267,Herbicide_Data!$A$1:$P$61,13)</f>
        <v>#N/A</v>
      </c>
      <c r="Q267" s="16" t="e">
        <f t="shared" si="50"/>
        <v>#N/A</v>
      </c>
      <c r="R267" s="62" t="str">
        <f t="shared" si="56"/>
        <v/>
      </c>
      <c r="S267" s="63" t="e">
        <f>VLOOKUP($R267,Herbicide_Data!$A$1:$L$61,9)</f>
        <v>#N/A</v>
      </c>
      <c r="T267" s="62" t="e">
        <f>VLOOKUP($R267,Herbicide_Data!$A$1:$Q$61,13)</f>
        <v>#N/A</v>
      </c>
      <c r="U267" s="16" t="e">
        <f t="shared" si="51"/>
        <v>#N/A</v>
      </c>
      <c r="V267" s="62" t="b">
        <f t="shared" si="57"/>
        <v>0</v>
      </c>
      <c r="W267" s="63" t="e">
        <f>VLOOKUP($V267,Herbicide_Data!$A$1:$L$17,9)</f>
        <v>#N/A</v>
      </c>
      <c r="X267" s="62" t="e">
        <f>VLOOKUP($V267,Herbicide_Data!$A$1:$L$17,12)</f>
        <v>#N/A</v>
      </c>
      <c r="Y267" s="16" t="e">
        <f t="shared" si="52"/>
        <v>#N/A</v>
      </c>
      <c r="Z267" s="15"/>
      <c r="AA267" s="13"/>
      <c r="AB267" s="17"/>
      <c r="AC267" s="3"/>
      <c r="AD267" s="10"/>
      <c r="AE267" s="3"/>
      <c r="AF267" s="10"/>
      <c r="AG267" s="15"/>
      <c r="AH267" s="62" t="str">
        <f t="shared" si="47"/>
        <v/>
      </c>
      <c r="AI267" s="62" t="e">
        <f>VLOOKUP($AH267,Herbicide_Data!$A$1:$Q$61,13)</f>
        <v>#N/A</v>
      </c>
      <c r="AJ267" s="16" t="e">
        <f t="shared" si="53"/>
        <v>#N/A</v>
      </c>
      <c r="AK267" s="3"/>
      <c r="AL267" s="3"/>
      <c r="AM267" s="3"/>
      <c r="AN267" s="3"/>
      <c r="AO267" s="3"/>
      <c r="AP267" s="3"/>
      <c r="AQ267" s="18"/>
      <c r="AR267" s="19"/>
      <c r="AS267" s="19"/>
      <c r="AT267" s="20"/>
      <c r="AU267" s="20"/>
      <c r="AV267" s="21"/>
      <c r="AW267" s="22"/>
      <c r="AX267" s="19"/>
      <c r="AY267" s="19"/>
      <c r="AZ267" s="19"/>
      <c r="BA267" s="23"/>
      <c r="BB267" s="19"/>
      <c r="BC267" s="19"/>
      <c r="BD267" s="19"/>
    </row>
    <row r="268" spans="1:56">
      <c r="A268" s="13"/>
      <c r="B268" s="11"/>
      <c r="C268" s="12"/>
      <c r="D268" s="12">
        <f t="shared" si="48"/>
        <v>2.0833299999999999E-2</v>
      </c>
      <c r="E268" s="10"/>
      <c r="F268" s="10" t="str">
        <f>IFERROR(VLOOKUP(E268,Data!A$2:B$5,2,TRUE), "")</f>
        <v/>
      </c>
      <c r="G268" s="3"/>
      <c r="H268" s="13" t="str">
        <f>IFERROR(VLOOKUP(A268,Customer_Data!$A$1:$P$114,8,TRUE),"")</f>
        <v/>
      </c>
      <c r="I268" s="13"/>
      <c r="J268" s="3" t="str">
        <f t="shared" si="54"/>
        <v/>
      </c>
      <c r="K268" s="62" t="e">
        <f>(VLOOKUP($J268,Herbicide_Data!$A$1:$L$61,9,TRUE))</f>
        <v>#N/A</v>
      </c>
      <c r="L268" s="62" t="e">
        <f>VLOOKUP($J268,Herbicide_Data!$A$1:$L$61,12,TRUE)</f>
        <v>#N/A</v>
      </c>
      <c r="M268" s="16" t="e">
        <f t="shared" si="49"/>
        <v>#N/A</v>
      </c>
      <c r="N268" s="62" t="str">
        <f t="shared" si="55"/>
        <v/>
      </c>
      <c r="O268" s="63" t="e">
        <f>VLOOKUP($N268,Herbicide_Data!$A$1:$L$61,9)</f>
        <v>#N/A</v>
      </c>
      <c r="P268" s="62" t="e">
        <f>VLOOKUP($N268,Herbicide_Data!$A$1:$P$61,13)</f>
        <v>#N/A</v>
      </c>
      <c r="Q268" s="16" t="e">
        <f t="shared" si="50"/>
        <v>#N/A</v>
      </c>
      <c r="R268" s="62" t="str">
        <f t="shared" si="56"/>
        <v/>
      </c>
      <c r="S268" s="63" t="e">
        <f>VLOOKUP($R268,Herbicide_Data!$A$1:$L$61,9)</f>
        <v>#N/A</v>
      </c>
      <c r="T268" s="62" t="e">
        <f>VLOOKUP($R268,Herbicide_Data!$A$1:$Q$61,13)</f>
        <v>#N/A</v>
      </c>
      <c r="U268" s="16" t="e">
        <f t="shared" si="51"/>
        <v>#N/A</v>
      </c>
      <c r="V268" s="62" t="b">
        <f t="shared" si="57"/>
        <v>0</v>
      </c>
      <c r="W268" s="63" t="e">
        <f>VLOOKUP($V268,Herbicide_Data!$A$1:$L$17,9)</f>
        <v>#N/A</v>
      </c>
      <c r="X268" s="62" t="e">
        <f>VLOOKUP($V268,Herbicide_Data!$A$1:$L$17,12)</f>
        <v>#N/A</v>
      </c>
      <c r="Y268" s="16" t="e">
        <f t="shared" si="52"/>
        <v>#N/A</v>
      </c>
      <c r="Z268" s="15"/>
      <c r="AA268" s="13"/>
      <c r="AB268" s="17"/>
      <c r="AC268" s="3"/>
      <c r="AD268" s="10"/>
      <c r="AE268" s="3"/>
      <c r="AF268" s="10"/>
      <c r="AG268" s="15"/>
      <c r="AH268" s="62" t="str">
        <f t="shared" si="47"/>
        <v/>
      </c>
      <c r="AI268" s="62" t="e">
        <f>VLOOKUP($AH268,Herbicide_Data!$A$1:$Q$61,13)</f>
        <v>#N/A</v>
      </c>
      <c r="AJ268" s="16" t="e">
        <f t="shared" si="53"/>
        <v>#N/A</v>
      </c>
      <c r="AK268" s="3"/>
      <c r="AL268" s="3"/>
      <c r="AM268" s="3"/>
      <c r="AN268" s="3"/>
      <c r="AO268" s="3"/>
      <c r="AP268" s="3"/>
      <c r="AQ268" s="18"/>
      <c r="AR268" s="19"/>
      <c r="AS268" s="19"/>
      <c r="AT268" s="20"/>
      <c r="AU268" s="20"/>
      <c r="AV268" s="21"/>
      <c r="AW268" s="22"/>
      <c r="AX268" s="19"/>
      <c r="AY268" s="19"/>
      <c r="AZ268" s="19"/>
      <c r="BA268" s="23"/>
      <c r="BB268" s="19"/>
      <c r="BC268" s="19"/>
      <c r="BD268" s="19"/>
    </row>
    <row r="269" spans="1:56">
      <c r="A269" s="13"/>
      <c r="B269" s="11"/>
      <c r="C269" s="12"/>
      <c r="D269" s="12">
        <f t="shared" si="48"/>
        <v>2.0833299999999999E-2</v>
      </c>
      <c r="E269" s="10"/>
      <c r="F269" s="10" t="str">
        <f>IFERROR(VLOOKUP(E269,Data!A$2:B$5,2,TRUE), "")</f>
        <v/>
      </c>
      <c r="G269" s="3"/>
      <c r="H269" s="13" t="str">
        <f>IFERROR(VLOOKUP(A269,Customer_Data!$A$1:$P$114,8,TRUE),"")</f>
        <v/>
      </c>
      <c r="I269" s="13"/>
      <c r="J269" s="3" t="str">
        <f t="shared" si="54"/>
        <v/>
      </c>
      <c r="K269" s="62" t="e">
        <f>(VLOOKUP($J269,Herbicide_Data!$A$1:$L$61,9,TRUE))</f>
        <v>#N/A</v>
      </c>
      <c r="L269" s="62" t="e">
        <f>VLOOKUP($J269,Herbicide_Data!$A$1:$L$61,12,TRUE)</f>
        <v>#N/A</v>
      </c>
      <c r="M269" s="16" t="e">
        <f t="shared" si="49"/>
        <v>#N/A</v>
      </c>
      <c r="N269" s="62" t="str">
        <f t="shared" si="55"/>
        <v/>
      </c>
      <c r="O269" s="63" t="e">
        <f>VLOOKUP($N269,Herbicide_Data!$A$1:$L$61,9)</f>
        <v>#N/A</v>
      </c>
      <c r="P269" s="62" t="e">
        <f>VLOOKUP($N269,Herbicide_Data!$A$1:$P$61,13)</f>
        <v>#N/A</v>
      </c>
      <c r="Q269" s="16" t="e">
        <f t="shared" si="50"/>
        <v>#N/A</v>
      </c>
      <c r="R269" s="62" t="str">
        <f t="shared" si="56"/>
        <v/>
      </c>
      <c r="S269" s="63" t="e">
        <f>VLOOKUP($R269,Herbicide_Data!$A$1:$L$61,9)</f>
        <v>#N/A</v>
      </c>
      <c r="T269" s="62" t="e">
        <f>VLOOKUP($R269,Herbicide_Data!$A$1:$Q$61,13)</f>
        <v>#N/A</v>
      </c>
      <c r="U269" s="16" t="e">
        <f t="shared" si="51"/>
        <v>#N/A</v>
      </c>
      <c r="V269" s="62" t="b">
        <f t="shared" si="57"/>
        <v>0</v>
      </c>
      <c r="W269" s="63" t="e">
        <f>VLOOKUP($V269,Herbicide_Data!$A$1:$L$17,9)</f>
        <v>#N/A</v>
      </c>
      <c r="X269" s="62" t="e">
        <f>VLOOKUP($V269,Herbicide_Data!$A$1:$L$17,12)</f>
        <v>#N/A</v>
      </c>
      <c r="Y269" s="16" t="e">
        <f t="shared" si="52"/>
        <v>#N/A</v>
      </c>
      <c r="Z269" s="15"/>
      <c r="AA269" s="13"/>
      <c r="AB269" s="17"/>
      <c r="AC269" s="3"/>
      <c r="AD269" s="10"/>
      <c r="AE269" s="3"/>
      <c r="AF269" s="10"/>
      <c r="AG269" s="15"/>
      <c r="AH269" s="62" t="str">
        <f t="shared" si="47"/>
        <v/>
      </c>
      <c r="AI269" s="62" t="e">
        <f>VLOOKUP($AH269,Herbicide_Data!$A$1:$Q$61,13)</f>
        <v>#N/A</v>
      </c>
      <c r="AJ269" s="16" t="e">
        <f t="shared" si="53"/>
        <v>#N/A</v>
      </c>
      <c r="AK269" s="3"/>
      <c r="AL269" s="3"/>
      <c r="AM269" s="3"/>
      <c r="AN269" s="3"/>
      <c r="AO269" s="3"/>
      <c r="AP269" s="3"/>
      <c r="AQ269" s="18"/>
      <c r="AR269" s="19"/>
      <c r="AS269" s="19"/>
      <c r="AT269" s="20"/>
      <c r="AU269" s="20"/>
      <c r="AV269" s="21"/>
      <c r="AW269" s="22"/>
      <c r="AX269" s="19"/>
      <c r="AY269" s="19"/>
      <c r="AZ269" s="19"/>
      <c r="BA269" s="23"/>
      <c r="BB269" s="19"/>
      <c r="BC269" s="19"/>
      <c r="BD269" s="19"/>
    </row>
    <row r="270" spans="1:56">
      <c r="A270" s="13"/>
      <c r="B270" s="11"/>
      <c r="C270" s="12"/>
      <c r="D270" s="12">
        <f t="shared" si="48"/>
        <v>2.0833299999999999E-2</v>
      </c>
      <c r="E270" s="10"/>
      <c r="F270" s="10" t="str">
        <f>IFERROR(VLOOKUP(E270,Data!A$2:B$5,2,TRUE), "")</f>
        <v/>
      </c>
      <c r="G270" s="3"/>
      <c r="H270" s="13" t="str">
        <f>IFERROR(VLOOKUP(A270,Customer_Data!$A$1:$P$114,8,TRUE),"")</f>
        <v/>
      </c>
      <c r="I270" s="13"/>
      <c r="J270" s="3" t="str">
        <f t="shared" si="54"/>
        <v/>
      </c>
      <c r="K270" s="62" t="e">
        <f>(VLOOKUP($J270,Herbicide_Data!$A$1:$L$61,9,TRUE))</f>
        <v>#N/A</v>
      </c>
      <c r="L270" s="62" t="e">
        <f>VLOOKUP($J270,Herbicide_Data!$A$1:$L$61,12,TRUE)</f>
        <v>#N/A</v>
      </c>
      <c r="M270" s="16" t="e">
        <f t="shared" si="49"/>
        <v>#N/A</v>
      </c>
      <c r="N270" s="62" t="str">
        <f t="shared" si="55"/>
        <v/>
      </c>
      <c r="O270" s="63" t="e">
        <f>VLOOKUP($N270,Herbicide_Data!$A$1:$L$61,9)</f>
        <v>#N/A</v>
      </c>
      <c r="P270" s="62" t="e">
        <f>VLOOKUP($N270,Herbicide_Data!$A$1:$P$61,13)</f>
        <v>#N/A</v>
      </c>
      <c r="Q270" s="16" t="e">
        <f t="shared" si="50"/>
        <v>#N/A</v>
      </c>
      <c r="R270" s="62" t="str">
        <f t="shared" si="56"/>
        <v/>
      </c>
      <c r="S270" s="63" t="e">
        <f>VLOOKUP($R270,Herbicide_Data!$A$1:$L$61,9)</f>
        <v>#N/A</v>
      </c>
      <c r="T270" s="62" t="e">
        <f>VLOOKUP($R270,Herbicide_Data!$A$1:$Q$61,13)</f>
        <v>#N/A</v>
      </c>
      <c r="U270" s="16" t="e">
        <f t="shared" si="51"/>
        <v>#N/A</v>
      </c>
      <c r="V270" s="62" t="b">
        <f t="shared" si="57"/>
        <v>0</v>
      </c>
      <c r="W270" s="63" t="e">
        <f>VLOOKUP($V270,Herbicide_Data!$A$1:$L$17,9)</f>
        <v>#N/A</v>
      </c>
      <c r="X270" s="62" t="e">
        <f>VLOOKUP($V270,Herbicide_Data!$A$1:$L$17,12)</f>
        <v>#N/A</v>
      </c>
      <c r="Y270" s="16" t="e">
        <f t="shared" si="52"/>
        <v>#N/A</v>
      </c>
      <c r="Z270" s="15"/>
      <c r="AA270" s="13"/>
      <c r="AB270" s="17"/>
      <c r="AC270" s="3"/>
      <c r="AD270" s="10"/>
      <c r="AE270" s="3"/>
      <c r="AF270" s="10"/>
      <c r="AG270" s="15"/>
      <c r="AH270" s="62" t="str">
        <f t="shared" si="47"/>
        <v/>
      </c>
      <c r="AI270" s="62" t="e">
        <f>VLOOKUP($AH270,Herbicide_Data!$A$1:$Q$61,13)</f>
        <v>#N/A</v>
      </c>
      <c r="AJ270" s="16" t="e">
        <f t="shared" si="53"/>
        <v>#N/A</v>
      </c>
      <c r="AK270" s="3"/>
      <c r="AL270" s="3"/>
      <c r="AM270" s="3"/>
      <c r="AN270" s="3"/>
      <c r="AO270" s="3"/>
      <c r="AP270" s="3"/>
      <c r="AQ270" s="18"/>
      <c r="AR270" s="19"/>
      <c r="AS270" s="19"/>
      <c r="AT270" s="20"/>
      <c r="AU270" s="20"/>
      <c r="AV270" s="21"/>
      <c r="AW270" s="22"/>
      <c r="AX270" s="19"/>
      <c r="AY270" s="19"/>
      <c r="AZ270" s="19"/>
      <c r="BA270" s="23"/>
      <c r="BB270" s="19"/>
      <c r="BC270" s="19"/>
      <c r="BD270" s="19"/>
    </row>
    <row r="271" spans="1:56">
      <c r="A271" s="13"/>
      <c r="B271" s="11"/>
      <c r="C271" s="12"/>
      <c r="D271" s="12">
        <f t="shared" si="48"/>
        <v>2.0833299999999999E-2</v>
      </c>
      <c r="E271" s="10"/>
      <c r="F271" s="10" t="str">
        <f>IFERROR(VLOOKUP(E271,Data!A$2:B$5,2,TRUE), "")</f>
        <v/>
      </c>
      <c r="G271" s="3"/>
      <c r="H271" s="13" t="str">
        <f>IFERROR(VLOOKUP(A271,Customer_Data!$A$1:$P$114,8,TRUE),"")</f>
        <v/>
      </c>
      <c r="I271" s="13"/>
      <c r="J271" s="3" t="str">
        <f t="shared" si="54"/>
        <v/>
      </c>
      <c r="K271" s="62" t="e">
        <f>(VLOOKUP($J271,Herbicide_Data!$A$1:$L$61,9,TRUE))</f>
        <v>#N/A</v>
      </c>
      <c r="L271" s="62" t="e">
        <f>VLOOKUP($J271,Herbicide_Data!$A$1:$L$61,12,TRUE)</f>
        <v>#N/A</v>
      </c>
      <c r="M271" s="16" t="e">
        <f t="shared" si="49"/>
        <v>#N/A</v>
      </c>
      <c r="N271" s="62" t="str">
        <f t="shared" si="55"/>
        <v/>
      </c>
      <c r="O271" s="63" t="e">
        <f>VLOOKUP($N271,Herbicide_Data!$A$1:$L$61,9)</f>
        <v>#N/A</v>
      </c>
      <c r="P271" s="62" t="e">
        <f>VLOOKUP($N271,Herbicide_Data!$A$1:$P$61,13)</f>
        <v>#N/A</v>
      </c>
      <c r="Q271" s="16" t="e">
        <f t="shared" si="50"/>
        <v>#N/A</v>
      </c>
      <c r="R271" s="62" t="str">
        <f t="shared" si="56"/>
        <v/>
      </c>
      <c r="S271" s="63" t="e">
        <f>VLOOKUP($R271,Herbicide_Data!$A$1:$L$61,9)</f>
        <v>#N/A</v>
      </c>
      <c r="T271" s="62" t="e">
        <f>VLOOKUP($R271,Herbicide_Data!$A$1:$Q$61,13)</f>
        <v>#N/A</v>
      </c>
      <c r="U271" s="16" t="e">
        <f t="shared" si="51"/>
        <v>#N/A</v>
      </c>
      <c r="V271" s="62" t="b">
        <f t="shared" si="57"/>
        <v>0</v>
      </c>
      <c r="W271" s="63" t="e">
        <f>VLOOKUP($V271,Herbicide_Data!$A$1:$L$17,9)</f>
        <v>#N/A</v>
      </c>
      <c r="X271" s="62" t="e">
        <f>VLOOKUP($V271,Herbicide_Data!$A$1:$L$17,12)</f>
        <v>#N/A</v>
      </c>
      <c r="Y271" s="16" t="e">
        <f t="shared" si="52"/>
        <v>#N/A</v>
      </c>
      <c r="Z271" s="15"/>
      <c r="AA271" s="13"/>
      <c r="AB271" s="17"/>
      <c r="AC271" s="3"/>
      <c r="AD271" s="10"/>
      <c r="AE271" s="3"/>
      <c r="AF271" s="10"/>
      <c r="AG271" s="15"/>
      <c r="AH271" s="62" t="str">
        <f t="shared" si="47"/>
        <v/>
      </c>
      <c r="AI271" s="62" t="e">
        <f>VLOOKUP($AH271,Herbicide_Data!$A$1:$Q$61,13)</f>
        <v>#N/A</v>
      </c>
      <c r="AJ271" s="16" t="e">
        <f t="shared" si="53"/>
        <v>#N/A</v>
      </c>
      <c r="AK271" s="3"/>
      <c r="AL271" s="3"/>
      <c r="AM271" s="3"/>
      <c r="AN271" s="3"/>
      <c r="AO271" s="3"/>
      <c r="AP271" s="3"/>
      <c r="AQ271" s="18"/>
      <c r="AR271" s="19"/>
      <c r="AS271" s="19"/>
      <c r="AT271" s="20"/>
      <c r="AU271" s="20"/>
      <c r="AV271" s="21"/>
      <c r="AW271" s="22"/>
      <c r="AX271" s="19"/>
      <c r="AY271" s="19"/>
      <c r="AZ271" s="19"/>
      <c r="BA271" s="23"/>
      <c r="BB271" s="19"/>
      <c r="BC271" s="19"/>
      <c r="BD271" s="19"/>
    </row>
    <row r="272" spans="1:56">
      <c r="A272" s="13"/>
      <c r="B272" s="11"/>
      <c r="C272" s="12"/>
      <c r="D272" s="12">
        <f t="shared" si="48"/>
        <v>2.0833299999999999E-2</v>
      </c>
      <c r="E272" s="10"/>
      <c r="F272" s="10" t="str">
        <f>IFERROR(VLOOKUP(E272,Data!A$2:B$5,2,TRUE), "")</f>
        <v/>
      </c>
      <c r="G272" s="3"/>
      <c r="H272" s="13" t="str">
        <f>IFERROR(VLOOKUP(A272,Customer_Data!$A$1:$P$114,8,TRUE),"")</f>
        <v/>
      </c>
      <c r="I272" s="13"/>
      <c r="J272" s="3" t="str">
        <f t="shared" si="54"/>
        <v/>
      </c>
      <c r="K272" s="62" t="e">
        <f>(VLOOKUP($J272,Herbicide_Data!$A$1:$L$61,9,TRUE))</f>
        <v>#N/A</v>
      </c>
      <c r="L272" s="62" t="e">
        <f>VLOOKUP($J272,Herbicide_Data!$A$1:$L$61,12,TRUE)</f>
        <v>#N/A</v>
      </c>
      <c r="M272" s="16" t="e">
        <f t="shared" si="49"/>
        <v>#N/A</v>
      </c>
      <c r="N272" s="62" t="str">
        <f t="shared" si="55"/>
        <v/>
      </c>
      <c r="O272" s="63" t="e">
        <f>VLOOKUP($N272,Herbicide_Data!$A$1:$L$61,9)</f>
        <v>#N/A</v>
      </c>
      <c r="P272" s="62" t="e">
        <f>VLOOKUP($N272,Herbicide_Data!$A$1:$P$61,13)</f>
        <v>#N/A</v>
      </c>
      <c r="Q272" s="16" t="e">
        <f t="shared" si="50"/>
        <v>#N/A</v>
      </c>
      <c r="R272" s="62" t="str">
        <f t="shared" si="56"/>
        <v/>
      </c>
      <c r="S272" s="63" t="e">
        <f>VLOOKUP($R272,Herbicide_Data!$A$1:$L$61,9)</f>
        <v>#N/A</v>
      </c>
      <c r="T272" s="62" t="e">
        <f>VLOOKUP($R272,Herbicide_Data!$A$1:$Q$61,13)</f>
        <v>#N/A</v>
      </c>
      <c r="U272" s="16" t="e">
        <f t="shared" si="51"/>
        <v>#N/A</v>
      </c>
      <c r="V272" s="62" t="b">
        <f t="shared" si="57"/>
        <v>0</v>
      </c>
      <c r="W272" s="63" t="e">
        <f>VLOOKUP($V272,Herbicide_Data!$A$1:$L$17,9)</f>
        <v>#N/A</v>
      </c>
      <c r="X272" s="62" t="e">
        <f>VLOOKUP($V272,Herbicide_Data!$A$1:$L$17,12)</f>
        <v>#N/A</v>
      </c>
      <c r="Y272" s="16" t="e">
        <f t="shared" si="52"/>
        <v>#N/A</v>
      </c>
      <c r="Z272" s="15"/>
      <c r="AA272" s="13"/>
      <c r="AB272" s="17"/>
      <c r="AC272" s="3"/>
      <c r="AD272" s="10"/>
      <c r="AE272" s="3"/>
      <c r="AF272" s="10"/>
      <c r="AG272" s="15"/>
      <c r="AH272" s="62" t="str">
        <f t="shared" si="47"/>
        <v/>
      </c>
      <c r="AI272" s="62" t="e">
        <f>VLOOKUP($AH272,Herbicide_Data!$A$1:$Q$61,13)</f>
        <v>#N/A</v>
      </c>
      <c r="AJ272" s="16" t="e">
        <f t="shared" si="53"/>
        <v>#N/A</v>
      </c>
      <c r="AK272" s="3"/>
      <c r="AL272" s="3"/>
      <c r="AM272" s="3"/>
      <c r="AN272" s="3"/>
      <c r="AO272" s="3"/>
      <c r="AP272" s="3"/>
      <c r="AQ272" s="18"/>
      <c r="AR272" s="19"/>
      <c r="AS272" s="19"/>
      <c r="AT272" s="20"/>
      <c r="AU272" s="20"/>
      <c r="AV272" s="21"/>
      <c r="AW272" s="22"/>
      <c r="AX272" s="19"/>
      <c r="AY272" s="19"/>
      <c r="AZ272" s="19"/>
      <c r="BA272" s="23"/>
      <c r="BB272" s="19"/>
      <c r="BC272" s="19"/>
      <c r="BD272" s="19"/>
    </row>
    <row r="273" spans="1:56">
      <c r="A273" s="13"/>
      <c r="B273" s="11"/>
      <c r="C273" s="12"/>
      <c r="D273" s="12">
        <f t="shared" si="48"/>
        <v>2.0833299999999999E-2</v>
      </c>
      <c r="E273" s="10"/>
      <c r="F273" s="10" t="str">
        <f>IFERROR(VLOOKUP(E273,Data!A$2:B$5,2,TRUE), "")</f>
        <v/>
      </c>
      <c r="G273" s="3"/>
      <c r="H273" s="13" t="str">
        <f>IFERROR(VLOOKUP(A273,Customer_Data!$A$1:$P$114,8,TRUE),"")</f>
        <v/>
      </c>
      <c r="I273" s="13"/>
      <c r="J273" s="3" t="str">
        <f t="shared" si="54"/>
        <v/>
      </c>
      <c r="K273" s="62" t="e">
        <f>(VLOOKUP($J273,Herbicide_Data!$A$1:$L$61,9,TRUE))</f>
        <v>#N/A</v>
      </c>
      <c r="L273" s="62" t="e">
        <f>VLOOKUP($J273,Herbicide_Data!$A$1:$L$61,12,TRUE)</f>
        <v>#N/A</v>
      </c>
      <c r="M273" s="16" t="e">
        <f t="shared" si="49"/>
        <v>#N/A</v>
      </c>
      <c r="N273" s="62" t="str">
        <f t="shared" si="55"/>
        <v/>
      </c>
      <c r="O273" s="63" t="e">
        <f>VLOOKUP($N273,Herbicide_Data!$A$1:$L$61,9)</f>
        <v>#N/A</v>
      </c>
      <c r="P273" s="62" t="e">
        <f>VLOOKUP($N273,Herbicide_Data!$A$1:$P$61,13)</f>
        <v>#N/A</v>
      </c>
      <c r="Q273" s="16" t="e">
        <f t="shared" si="50"/>
        <v>#N/A</v>
      </c>
      <c r="R273" s="62" t="str">
        <f t="shared" si="56"/>
        <v/>
      </c>
      <c r="S273" s="63" t="e">
        <f>VLOOKUP($R273,Herbicide_Data!$A$1:$L$61,9)</f>
        <v>#N/A</v>
      </c>
      <c r="T273" s="62" t="e">
        <f>VLOOKUP($R273,Herbicide_Data!$A$1:$Q$61,13)</f>
        <v>#N/A</v>
      </c>
      <c r="U273" s="16" t="e">
        <f t="shared" si="51"/>
        <v>#N/A</v>
      </c>
      <c r="V273" s="62" t="b">
        <f t="shared" si="57"/>
        <v>0</v>
      </c>
      <c r="W273" s="63" t="e">
        <f>VLOOKUP($V273,Herbicide_Data!$A$1:$L$17,9)</f>
        <v>#N/A</v>
      </c>
      <c r="X273" s="62" t="e">
        <f>VLOOKUP($V273,Herbicide_Data!$A$1:$L$17,12)</f>
        <v>#N/A</v>
      </c>
      <c r="Y273" s="16" t="e">
        <f t="shared" si="52"/>
        <v>#N/A</v>
      </c>
      <c r="Z273" s="15"/>
      <c r="AA273" s="13"/>
      <c r="AB273" s="17"/>
      <c r="AC273" s="3"/>
      <c r="AD273" s="10"/>
      <c r="AE273" s="3"/>
      <c r="AF273" s="10"/>
      <c r="AG273" s="15"/>
      <c r="AH273" s="62" t="str">
        <f t="shared" si="47"/>
        <v/>
      </c>
      <c r="AI273" s="62" t="e">
        <f>VLOOKUP($AH273,Herbicide_Data!$A$1:$Q$61,13)</f>
        <v>#N/A</v>
      </c>
      <c r="AJ273" s="16" t="e">
        <f t="shared" si="53"/>
        <v>#N/A</v>
      </c>
      <c r="AK273" s="3"/>
      <c r="AL273" s="3"/>
      <c r="AM273" s="3"/>
      <c r="AN273" s="3"/>
      <c r="AO273" s="3"/>
      <c r="AP273" s="3"/>
      <c r="AQ273" s="18"/>
      <c r="AR273" s="19"/>
      <c r="AS273" s="19"/>
      <c r="AT273" s="20"/>
      <c r="AU273" s="20"/>
      <c r="AV273" s="21"/>
      <c r="AW273" s="22"/>
      <c r="AX273" s="19"/>
      <c r="AY273" s="19"/>
      <c r="AZ273" s="19"/>
      <c r="BA273" s="23"/>
      <c r="BB273" s="19"/>
      <c r="BC273" s="19"/>
      <c r="BD273" s="19"/>
    </row>
    <row r="274" spans="1:56">
      <c r="A274" s="13"/>
      <c r="B274" s="11"/>
      <c r="C274" s="12"/>
      <c r="D274" s="12">
        <f t="shared" si="48"/>
        <v>2.0833299999999999E-2</v>
      </c>
      <c r="E274" s="10"/>
      <c r="F274" s="10" t="str">
        <f>IFERROR(VLOOKUP(E274,Data!A$2:B$5,2,TRUE), "")</f>
        <v/>
      </c>
      <c r="G274" s="3"/>
      <c r="H274" s="13" t="str">
        <f>IFERROR(VLOOKUP(A274,Customer_Data!$A$1:$P$114,8,TRUE),"")</f>
        <v/>
      </c>
      <c r="I274" s="13"/>
      <c r="J274" s="3" t="str">
        <f t="shared" si="54"/>
        <v/>
      </c>
      <c r="K274" s="62" t="e">
        <f>(VLOOKUP($J274,Herbicide_Data!$A$1:$L$61,9,TRUE))</f>
        <v>#N/A</v>
      </c>
      <c r="L274" s="62" t="e">
        <f>VLOOKUP($J274,Herbicide_Data!$A$1:$L$61,12,TRUE)</f>
        <v>#N/A</v>
      </c>
      <c r="M274" s="16" t="e">
        <f t="shared" si="49"/>
        <v>#N/A</v>
      </c>
      <c r="N274" s="62" t="str">
        <f t="shared" si="55"/>
        <v/>
      </c>
      <c r="O274" s="63" t="e">
        <f>VLOOKUP($N274,Herbicide_Data!$A$1:$L$61,9)</f>
        <v>#N/A</v>
      </c>
      <c r="P274" s="62" t="e">
        <f>VLOOKUP($N274,Herbicide_Data!$A$1:$P$61,13)</f>
        <v>#N/A</v>
      </c>
      <c r="Q274" s="16" t="e">
        <f t="shared" si="50"/>
        <v>#N/A</v>
      </c>
      <c r="R274" s="62" t="str">
        <f t="shared" si="56"/>
        <v/>
      </c>
      <c r="S274" s="63" t="e">
        <f>VLOOKUP($R274,Herbicide_Data!$A$1:$L$61,9)</f>
        <v>#N/A</v>
      </c>
      <c r="T274" s="62" t="e">
        <f>VLOOKUP($R274,Herbicide_Data!$A$1:$Q$61,13)</f>
        <v>#N/A</v>
      </c>
      <c r="U274" s="16" t="e">
        <f t="shared" si="51"/>
        <v>#N/A</v>
      </c>
      <c r="V274" s="62" t="b">
        <f t="shared" si="57"/>
        <v>0</v>
      </c>
      <c r="W274" s="63" t="e">
        <f>VLOOKUP($V274,Herbicide_Data!$A$1:$L$17,9)</f>
        <v>#N/A</v>
      </c>
      <c r="X274" s="62" t="e">
        <f>VLOOKUP($V274,Herbicide_Data!$A$1:$L$17,12)</f>
        <v>#N/A</v>
      </c>
      <c r="Y274" s="16" t="e">
        <f t="shared" si="52"/>
        <v>#N/A</v>
      </c>
      <c r="Z274" s="15"/>
      <c r="AA274" s="13"/>
      <c r="AB274" s="17"/>
      <c r="AC274" s="3"/>
      <c r="AD274" s="10"/>
      <c r="AE274" s="3"/>
      <c r="AF274" s="10"/>
      <c r="AG274" s="15"/>
      <c r="AH274" s="62" t="str">
        <f t="shared" si="47"/>
        <v/>
      </c>
      <c r="AI274" s="62" t="e">
        <f>VLOOKUP($AH274,Herbicide_Data!$A$1:$Q$61,13)</f>
        <v>#N/A</v>
      </c>
      <c r="AJ274" s="16" t="e">
        <f t="shared" si="53"/>
        <v>#N/A</v>
      </c>
      <c r="AK274" s="3"/>
      <c r="AL274" s="3"/>
      <c r="AM274" s="3"/>
      <c r="AN274" s="3"/>
      <c r="AO274" s="3"/>
      <c r="AP274" s="3"/>
      <c r="AQ274" s="18"/>
      <c r="AR274" s="19"/>
      <c r="AS274" s="19"/>
      <c r="AT274" s="20"/>
      <c r="AU274" s="20"/>
      <c r="AV274" s="21"/>
      <c r="AW274" s="22"/>
      <c r="AX274" s="19"/>
      <c r="AY274" s="19"/>
      <c r="AZ274" s="19"/>
      <c r="BA274" s="23"/>
      <c r="BB274" s="19"/>
      <c r="BC274" s="19"/>
      <c r="BD274" s="19"/>
    </row>
    <row r="275" spans="1:56">
      <c r="A275" s="13"/>
      <c r="B275" s="11"/>
      <c r="C275" s="12"/>
      <c r="D275" s="12">
        <f t="shared" si="48"/>
        <v>2.0833299999999999E-2</v>
      </c>
      <c r="E275" s="10"/>
      <c r="F275" s="10" t="str">
        <f>IFERROR(VLOOKUP(E275,Data!A$2:B$5,2,TRUE), "")</f>
        <v/>
      </c>
      <c r="G275" s="3"/>
      <c r="H275" s="13" t="str">
        <f>IFERROR(VLOOKUP(A275,Customer_Data!$A$1:$P$114,8,TRUE),"")</f>
        <v/>
      </c>
      <c r="I275" s="13"/>
      <c r="J275" s="3" t="str">
        <f t="shared" si="54"/>
        <v/>
      </c>
      <c r="K275" s="62" t="e">
        <f>(VLOOKUP($J275,Herbicide_Data!$A$1:$L$61,9,TRUE))</f>
        <v>#N/A</v>
      </c>
      <c r="L275" s="62" t="e">
        <f>VLOOKUP($J275,Herbicide_Data!$A$1:$L$61,12,TRUE)</f>
        <v>#N/A</v>
      </c>
      <c r="M275" s="16" t="e">
        <f t="shared" si="49"/>
        <v>#N/A</v>
      </c>
      <c r="N275" s="62" t="str">
        <f t="shared" si="55"/>
        <v/>
      </c>
      <c r="O275" s="63" t="e">
        <f>VLOOKUP($N275,Herbicide_Data!$A$1:$L$61,9)</f>
        <v>#N/A</v>
      </c>
      <c r="P275" s="62" t="e">
        <f>VLOOKUP($N275,Herbicide_Data!$A$1:$P$61,13)</f>
        <v>#N/A</v>
      </c>
      <c r="Q275" s="16" t="e">
        <f t="shared" si="50"/>
        <v>#N/A</v>
      </c>
      <c r="R275" s="62" t="str">
        <f t="shared" si="56"/>
        <v/>
      </c>
      <c r="S275" s="63" t="e">
        <f>VLOOKUP($R275,Herbicide_Data!$A$1:$L$61,9)</f>
        <v>#N/A</v>
      </c>
      <c r="T275" s="62" t="e">
        <f>VLOOKUP($R275,Herbicide_Data!$A$1:$Q$61,13)</f>
        <v>#N/A</v>
      </c>
      <c r="U275" s="16" t="e">
        <f t="shared" si="51"/>
        <v>#N/A</v>
      </c>
      <c r="V275" s="62" t="b">
        <f t="shared" si="57"/>
        <v>0</v>
      </c>
      <c r="W275" s="63" t="e">
        <f>VLOOKUP($V275,Herbicide_Data!$A$1:$L$17,9)</f>
        <v>#N/A</v>
      </c>
      <c r="X275" s="62" t="e">
        <f>VLOOKUP($V275,Herbicide_Data!$A$1:$L$17,12)</f>
        <v>#N/A</v>
      </c>
      <c r="Y275" s="16" t="e">
        <f t="shared" si="52"/>
        <v>#N/A</v>
      </c>
      <c r="Z275" s="15"/>
      <c r="AA275" s="13"/>
      <c r="AB275" s="17"/>
      <c r="AC275" s="3"/>
      <c r="AD275" s="10"/>
      <c r="AE275" s="3"/>
      <c r="AF275" s="10"/>
      <c r="AG275" s="15"/>
      <c r="AH275" s="62" t="str">
        <f t="shared" si="47"/>
        <v/>
      </c>
      <c r="AI275" s="62" t="e">
        <f>VLOOKUP($AH275,Herbicide_Data!$A$1:$Q$61,13)</f>
        <v>#N/A</v>
      </c>
      <c r="AJ275" s="16" t="e">
        <f t="shared" si="53"/>
        <v>#N/A</v>
      </c>
      <c r="AK275" s="3"/>
      <c r="AL275" s="3"/>
      <c r="AM275" s="3"/>
      <c r="AN275" s="3"/>
      <c r="AO275" s="3"/>
      <c r="AP275" s="3"/>
      <c r="AQ275" s="18"/>
      <c r="AR275" s="19"/>
      <c r="AS275" s="19"/>
      <c r="AT275" s="20"/>
      <c r="AU275" s="20"/>
      <c r="AV275" s="21"/>
      <c r="AW275" s="22"/>
      <c r="AX275" s="19"/>
      <c r="AY275" s="19"/>
      <c r="AZ275" s="19"/>
      <c r="BA275" s="23"/>
      <c r="BB275" s="19"/>
      <c r="BC275" s="19"/>
      <c r="BD275" s="19"/>
    </row>
    <row r="276" spans="1:56">
      <c r="A276" s="13"/>
      <c r="B276" s="11"/>
      <c r="C276" s="12"/>
      <c r="D276" s="12">
        <f t="shared" si="48"/>
        <v>2.0833299999999999E-2</v>
      </c>
      <c r="E276" s="10"/>
      <c r="F276" s="10" t="str">
        <f>IFERROR(VLOOKUP(E276,Data!A$2:B$5,2,TRUE), "")</f>
        <v/>
      </c>
      <c r="G276" s="3"/>
      <c r="H276" s="13" t="str">
        <f>IFERROR(VLOOKUP(A276,Customer_Data!$A$1:$P$114,8,TRUE),"")</f>
        <v/>
      </c>
      <c r="I276" s="13"/>
      <c r="J276" s="3" t="str">
        <f t="shared" si="54"/>
        <v/>
      </c>
      <c r="K276" s="62" t="e">
        <f>(VLOOKUP($J276,Herbicide_Data!$A$1:$L$61,9,TRUE))</f>
        <v>#N/A</v>
      </c>
      <c r="L276" s="62" t="e">
        <f>VLOOKUP($J276,Herbicide_Data!$A$1:$L$61,12,TRUE)</f>
        <v>#N/A</v>
      </c>
      <c r="M276" s="16" t="e">
        <f t="shared" si="49"/>
        <v>#N/A</v>
      </c>
      <c r="N276" s="62" t="str">
        <f t="shared" si="55"/>
        <v/>
      </c>
      <c r="O276" s="63" t="e">
        <f>VLOOKUP($N276,Herbicide_Data!$A$1:$L$61,9)</f>
        <v>#N/A</v>
      </c>
      <c r="P276" s="62" t="e">
        <f>VLOOKUP($N276,Herbicide_Data!$A$1:$P$61,13)</f>
        <v>#N/A</v>
      </c>
      <c r="Q276" s="16" t="e">
        <f t="shared" si="50"/>
        <v>#N/A</v>
      </c>
      <c r="R276" s="62" t="str">
        <f t="shared" si="56"/>
        <v/>
      </c>
      <c r="S276" s="63" t="e">
        <f>VLOOKUP($R276,Herbicide_Data!$A$1:$L$61,9)</f>
        <v>#N/A</v>
      </c>
      <c r="T276" s="62" t="e">
        <f>VLOOKUP($R276,Herbicide_Data!$A$1:$Q$61,13)</f>
        <v>#N/A</v>
      </c>
      <c r="U276" s="16" t="e">
        <f t="shared" si="51"/>
        <v>#N/A</v>
      </c>
      <c r="V276" s="62" t="b">
        <f t="shared" si="57"/>
        <v>0</v>
      </c>
      <c r="W276" s="63" t="e">
        <f>VLOOKUP($V276,Herbicide_Data!$A$1:$L$17,9)</f>
        <v>#N/A</v>
      </c>
      <c r="X276" s="62" t="e">
        <f>VLOOKUP($V276,Herbicide_Data!$A$1:$L$17,12)</f>
        <v>#N/A</v>
      </c>
      <c r="Y276" s="16" t="e">
        <f t="shared" si="52"/>
        <v>#N/A</v>
      </c>
      <c r="Z276" s="15"/>
      <c r="AA276" s="13"/>
      <c r="AB276" s="17"/>
      <c r="AC276" s="3"/>
      <c r="AD276" s="10"/>
      <c r="AE276" s="3"/>
      <c r="AF276" s="10"/>
      <c r="AG276" s="15"/>
      <c r="AH276" s="62" t="str">
        <f t="shared" si="47"/>
        <v/>
      </c>
      <c r="AI276" s="62" t="e">
        <f>VLOOKUP($AH276,Herbicide_Data!$A$1:$Q$61,13)</f>
        <v>#N/A</v>
      </c>
      <c r="AJ276" s="16" t="e">
        <f t="shared" si="53"/>
        <v>#N/A</v>
      </c>
      <c r="AK276" s="3"/>
      <c r="AL276" s="3"/>
      <c r="AM276" s="3"/>
      <c r="AN276" s="3"/>
      <c r="AO276" s="3"/>
      <c r="AP276" s="3"/>
      <c r="AQ276" s="18"/>
      <c r="AR276" s="19"/>
      <c r="AS276" s="19"/>
      <c r="AT276" s="20"/>
      <c r="AU276" s="20"/>
      <c r="AV276" s="21"/>
      <c r="AW276" s="22"/>
      <c r="AX276" s="19"/>
      <c r="AY276" s="19"/>
      <c r="AZ276" s="19"/>
      <c r="BA276" s="23"/>
      <c r="BB276" s="19"/>
      <c r="BC276" s="19"/>
      <c r="BD276" s="19"/>
    </row>
    <row r="277" spans="1:56">
      <c r="A277" s="13"/>
      <c r="B277" s="11"/>
      <c r="C277" s="12"/>
      <c r="D277" s="12">
        <f t="shared" si="48"/>
        <v>2.0833299999999999E-2</v>
      </c>
      <c r="E277" s="10"/>
      <c r="F277" s="10" t="str">
        <f>IFERROR(VLOOKUP(E277,Data!A$2:B$5,2,TRUE), "")</f>
        <v/>
      </c>
      <c r="G277" s="3"/>
      <c r="H277" s="13" t="str">
        <f>IFERROR(VLOOKUP(A277,Customer_Data!$A$1:$P$114,8,TRUE),"")</f>
        <v/>
      </c>
      <c r="I277" s="13"/>
      <c r="J277" s="3" t="str">
        <f t="shared" si="54"/>
        <v/>
      </c>
      <c r="K277" s="62" t="e">
        <f>(VLOOKUP($J277,Herbicide_Data!$A$1:$L$61,9,TRUE))</f>
        <v>#N/A</v>
      </c>
      <c r="L277" s="62" t="e">
        <f>VLOOKUP($J277,Herbicide_Data!$A$1:$L$61,12,TRUE)</f>
        <v>#N/A</v>
      </c>
      <c r="M277" s="16" t="e">
        <f t="shared" si="49"/>
        <v>#N/A</v>
      </c>
      <c r="N277" s="62" t="str">
        <f t="shared" si="55"/>
        <v/>
      </c>
      <c r="O277" s="63" t="e">
        <f>VLOOKUP($N277,Herbicide_Data!$A$1:$L$61,9)</f>
        <v>#N/A</v>
      </c>
      <c r="P277" s="62" t="e">
        <f>VLOOKUP($N277,Herbicide_Data!$A$1:$P$61,13)</f>
        <v>#N/A</v>
      </c>
      <c r="Q277" s="16" t="e">
        <f t="shared" si="50"/>
        <v>#N/A</v>
      </c>
      <c r="R277" s="62" t="str">
        <f t="shared" si="56"/>
        <v/>
      </c>
      <c r="S277" s="63" t="e">
        <f>VLOOKUP($R277,Herbicide_Data!$A$1:$L$61,9)</f>
        <v>#N/A</v>
      </c>
      <c r="T277" s="62" t="e">
        <f>VLOOKUP($R277,Herbicide_Data!$A$1:$Q$61,13)</f>
        <v>#N/A</v>
      </c>
      <c r="U277" s="16" t="e">
        <f t="shared" si="51"/>
        <v>#N/A</v>
      </c>
      <c r="V277" s="62" t="b">
        <f t="shared" si="57"/>
        <v>0</v>
      </c>
      <c r="W277" s="63" t="e">
        <f>VLOOKUP($V277,Herbicide_Data!$A$1:$L$17,9)</f>
        <v>#N/A</v>
      </c>
      <c r="X277" s="62" t="e">
        <f>VLOOKUP($V277,Herbicide_Data!$A$1:$L$17,12)</f>
        <v>#N/A</v>
      </c>
      <c r="Y277" s="16" t="e">
        <f t="shared" si="52"/>
        <v>#N/A</v>
      </c>
      <c r="Z277" s="15"/>
      <c r="AA277" s="13"/>
      <c r="AB277" s="17"/>
      <c r="AC277" s="3"/>
      <c r="AD277" s="10"/>
      <c r="AE277" s="3"/>
      <c r="AF277" s="10"/>
      <c r="AG277" s="15"/>
      <c r="AH277" s="62" t="str">
        <f t="shared" si="47"/>
        <v/>
      </c>
      <c r="AI277" s="62" t="e">
        <f>VLOOKUP($AH277,Herbicide_Data!$A$1:$Q$61,13)</f>
        <v>#N/A</v>
      </c>
      <c r="AJ277" s="16" t="e">
        <f t="shared" si="53"/>
        <v>#N/A</v>
      </c>
      <c r="AK277" s="3"/>
      <c r="AL277" s="3"/>
      <c r="AM277" s="3"/>
      <c r="AN277" s="3"/>
      <c r="AO277" s="3"/>
      <c r="AP277" s="3"/>
      <c r="AQ277" s="18"/>
      <c r="AR277" s="19"/>
      <c r="AS277" s="19"/>
      <c r="AT277" s="20"/>
      <c r="AU277" s="20"/>
      <c r="AV277" s="21"/>
      <c r="AW277" s="22"/>
      <c r="AX277" s="19"/>
      <c r="AY277" s="19"/>
      <c r="AZ277" s="19"/>
      <c r="BA277" s="23"/>
      <c r="BB277" s="19"/>
      <c r="BC277" s="19"/>
      <c r="BD277" s="19"/>
    </row>
    <row r="278" spans="1:56">
      <c r="A278" s="13"/>
      <c r="B278" s="11"/>
      <c r="C278" s="12"/>
      <c r="D278" s="12">
        <f t="shared" si="48"/>
        <v>2.0833299999999999E-2</v>
      </c>
      <c r="E278" s="10"/>
      <c r="F278" s="10" t="str">
        <f>IFERROR(VLOOKUP(E278,Data!A$2:B$5,2,TRUE), "")</f>
        <v/>
      </c>
      <c r="G278" s="3"/>
      <c r="H278" s="13" t="str">
        <f>IFERROR(VLOOKUP(A278,Customer_Data!$A$1:$P$114,8,TRUE),"")</f>
        <v/>
      </c>
      <c r="I278" s="13"/>
      <c r="J278" s="3" t="str">
        <f t="shared" si="54"/>
        <v/>
      </c>
      <c r="K278" s="62" t="e">
        <f>(VLOOKUP($J278,Herbicide_Data!$A$1:$L$61,9,TRUE))</f>
        <v>#N/A</v>
      </c>
      <c r="L278" s="62" t="e">
        <f>VLOOKUP($J278,Herbicide_Data!$A$1:$L$61,12,TRUE)</f>
        <v>#N/A</v>
      </c>
      <c r="M278" s="16" t="e">
        <f t="shared" si="49"/>
        <v>#N/A</v>
      </c>
      <c r="N278" s="62" t="str">
        <f t="shared" si="55"/>
        <v/>
      </c>
      <c r="O278" s="63" t="e">
        <f>VLOOKUP($N278,Herbicide_Data!$A$1:$L$61,9)</f>
        <v>#N/A</v>
      </c>
      <c r="P278" s="62" t="e">
        <f>VLOOKUP($N278,Herbicide_Data!$A$1:$P$61,13)</f>
        <v>#N/A</v>
      </c>
      <c r="Q278" s="16" t="e">
        <f t="shared" si="50"/>
        <v>#N/A</v>
      </c>
      <c r="R278" s="62" t="str">
        <f t="shared" si="56"/>
        <v/>
      </c>
      <c r="S278" s="63" t="e">
        <f>VLOOKUP($R278,Herbicide_Data!$A$1:$L$61,9)</f>
        <v>#N/A</v>
      </c>
      <c r="T278" s="62" t="e">
        <f>VLOOKUP($R278,Herbicide_Data!$A$1:$Q$61,13)</f>
        <v>#N/A</v>
      </c>
      <c r="U278" s="16" t="e">
        <f t="shared" si="51"/>
        <v>#N/A</v>
      </c>
      <c r="V278" s="62" t="b">
        <f t="shared" si="57"/>
        <v>0</v>
      </c>
      <c r="W278" s="63" t="e">
        <f>VLOOKUP($V278,Herbicide_Data!$A$1:$L$17,9)</f>
        <v>#N/A</v>
      </c>
      <c r="X278" s="62" t="e">
        <f>VLOOKUP($V278,Herbicide_Data!$A$1:$L$17,12)</f>
        <v>#N/A</v>
      </c>
      <c r="Y278" s="16" t="e">
        <f t="shared" si="52"/>
        <v>#N/A</v>
      </c>
      <c r="Z278" s="15"/>
      <c r="AA278" s="13"/>
      <c r="AB278" s="17"/>
      <c r="AC278" s="3"/>
      <c r="AD278" s="10"/>
      <c r="AE278" s="3"/>
      <c r="AF278" s="10"/>
      <c r="AG278" s="15"/>
      <c r="AH278" s="62" t="str">
        <f t="shared" si="47"/>
        <v/>
      </c>
      <c r="AI278" s="62" t="e">
        <f>VLOOKUP($AH278,Herbicide_Data!$A$1:$Q$61,13)</f>
        <v>#N/A</v>
      </c>
      <c r="AJ278" s="16" t="e">
        <f t="shared" si="53"/>
        <v>#N/A</v>
      </c>
      <c r="AK278" s="3"/>
      <c r="AL278" s="3"/>
      <c r="AM278" s="3"/>
      <c r="AN278" s="3"/>
      <c r="AO278" s="3"/>
      <c r="AP278" s="3"/>
      <c r="AQ278" s="18"/>
      <c r="AR278" s="19"/>
      <c r="AS278" s="19"/>
      <c r="AT278" s="20"/>
      <c r="AU278" s="20"/>
      <c r="AV278" s="21"/>
      <c r="AW278" s="22"/>
      <c r="AX278" s="19"/>
      <c r="AY278" s="19"/>
      <c r="AZ278" s="19"/>
      <c r="BA278" s="23"/>
      <c r="BB278" s="19"/>
      <c r="BC278" s="19"/>
      <c r="BD278" s="19"/>
    </row>
    <row r="279" spans="1:56">
      <c r="A279" s="13"/>
      <c r="B279" s="11"/>
      <c r="C279" s="12"/>
      <c r="D279" s="12">
        <f t="shared" si="48"/>
        <v>2.0833299999999999E-2</v>
      </c>
      <c r="E279" s="10"/>
      <c r="F279" s="10" t="str">
        <f>IFERROR(VLOOKUP(E279,Data!A$2:B$5,2,TRUE), "")</f>
        <v/>
      </c>
      <c r="G279" s="3"/>
      <c r="H279" s="13" t="str">
        <f>IFERROR(VLOOKUP(A279,Customer_Data!$A$1:$P$114,8,TRUE),"")</f>
        <v/>
      </c>
      <c r="I279" s="13"/>
      <c r="J279" s="3" t="str">
        <f t="shared" si="54"/>
        <v/>
      </c>
      <c r="K279" s="62" t="e">
        <f>(VLOOKUP($J279,Herbicide_Data!$A$1:$L$61,9,TRUE))</f>
        <v>#N/A</v>
      </c>
      <c r="L279" s="62" t="e">
        <f>VLOOKUP($J279,Herbicide_Data!$A$1:$L$61,12,TRUE)</f>
        <v>#N/A</v>
      </c>
      <c r="M279" s="16" t="e">
        <f t="shared" si="49"/>
        <v>#N/A</v>
      </c>
      <c r="N279" s="62" t="str">
        <f t="shared" si="55"/>
        <v/>
      </c>
      <c r="O279" s="63" t="e">
        <f>VLOOKUP($N279,Herbicide_Data!$A$1:$L$61,9)</f>
        <v>#N/A</v>
      </c>
      <c r="P279" s="62" t="e">
        <f>VLOOKUP($N279,Herbicide_Data!$A$1:$P$61,13)</f>
        <v>#N/A</v>
      </c>
      <c r="Q279" s="16" t="e">
        <f t="shared" si="50"/>
        <v>#N/A</v>
      </c>
      <c r="R279" s="62" t="str">
        <f t="shared" si="56"/>
        <v/>
      </c>
      <c r="S279" s="63" t="e">
        <f>VLOOKUP($R279,Herbicide_Data!$A$1:$L$61,9)</f>
        <v>#N/A</v>
      </c>
      <c r="T279" s="62" t="e">
        <f>VLOOKUP($R279,Herbicide_Data!$A$1:$Q$61,13)</f>
        <v>#N/A</v>
      </c>
      <c r="U279" s="16" t="e">
        <f t="shared" si="51"/>
        <v>#N/A</v>
      </c>
      <c r="V279" s="62" t="b">
        <f t="shared" si="57"/>
        <v>0</v>
      </c>
      <c r="W279" s="63" t="e">
        <f>VLOOKUP($V279,Herbicide_Data!$A$1:$L$17,9)</f>
        <v>#N/A</v>
      </c>
      <c r="X279" s="62" t="e">
        <f>VLOOKUP($V279,Herbicide_Data!$A$1:$L$17,12)</f>
        <v>#N/A</v>
      </c>
      <c r="Y279" s="16" t="e">
        <f t="shared" si="52"/>
        <v>#N/A</v>
      </c>
      <c r="Z279" s="15"/>
      <c r="AA279" s="13"/>
      <c r="AB279" s="17"/>
      <c r="AC279" s="3"/>
      <c r="AD279" s="10"/>
      <c r="AE279" s="3"/>
      <c r="AF279" s="10"/>
      <c r="AG279" s="15"/>
      <c r="AH279" s="62" t="str">
        <f t="shared" si="47"/>
        <v/>
      </c>
      <c r="AI279" s="62" t="e">
        <f>VLOOKUP($AH279,Herbicide_Data!$A$1:$Q$61,13)</f>
        <v>#N/A</v>
      </c>
      <c r="AJ279" s="16" t="e">
        <f t="shared" si="53"/>
        <v>#N/A</v>
      </c>
      <c r="AK279" s="3"/>
      <c r="AL279" s="3"/>
      <c r="AM279" s="3"/>
      <c r="AN279" s="3"/>
      <c r="AO279" s="3"/>
      <c r="AP279" s="3"/>
      <c r="AQ279" s="18"/>
      <c r="AR279" s="19"/>
      <c r="AS279" s="19"/>
      <c r="AT279" s="20"/>
      <c r="AU279" s="20"/>
      <c r="AV279" s="21"/>
      <c r="AW279" s="22"/>
      <c r="AX279" s="19"/>
      <c r="AY279" s="19"/>
      <c r="AZ279" s="19"/>
      <c r="BA279" s="23"/>
      <c r="BB279" s="19"/>
      <c r="BC279" s="19"/>
      <c r="BD279" s="19"/>
    </row>
    <row r="280" spans="1:56">
      <c r="A280" s="13"/>
      <c r="B280" s="11"/>
      <c r="C280" s="12"/>
      <c r="D280" s="12">
        <f t="shared" si="48"/>
        <v>2.0833299999999999E-2</v>
      </c>
      <c r="E280" s="10"/>
      <c r="F280" s="10" t="str">
        <f>IFERROR(VLOOKUP(E280,Data!A$2:B$5,2,TRUE), "")</f>
        <v/>
      </c>
      <c r="G280" s="3"/>
      <c r="H280" s="13" t="str">
        <f>IFERROR(VLOOKUP(A280,Customer_Data!$A$1:$P$114,8,TRUE),"")</f>
        <v/>
      </c>
      <c r="I280" s="13"/>
      <c r="J280" s="3" t="str">
        <f t="shared" si="54"/>
        <v/>
      </c>
      <c r="K280" s="62" t="e">
        <f>(VLOOKUP($J280,Herbicide_Data!$A$1:$L$61,9,TRUE))</f>
        <v>#N/A</v>
      </c>
      <c r="L280" s="62" t="e">
        <f>VLOOKUP($J280,Herbicide_Data!$A$1:$L$61,12,TRUE)</f>
        <v>#N/A</v>
      </c>
      <c r="M280" s="16" t="e">
        <f t="shared" si="49"/>
        <v>#N/A</v>
      </c>
      <c r="N280" s="62" t="str">
        <f t="shared" si="55"/>
        <v/>
      </c>
      <c r="O280" s="63" t="e">
        <f>VLOOKUP($N280,Herbicide_Data!$A$1:$L$61,9)</f>
        <v>#N/A</v>
      </c>
      <c r="P280" s="62" t="e">
        <f>VLOOKUP($N280,Herbicide_Data!$A$1:$P$61,13)</f>
        <v>#N/A</v>
      </c>
      <c r="Q280" s="16" t="e">
        <f t="shared" si="50"/>
        <v>#N/A</v>
      </c>
      <c r="R280" s="62" t="str">
        <f t="shared" si="56"/>
        <v/>
      </c>
      <c r="S280" s="63" t="e">
        <f>VLOOKUP($R280,Herbicide_Data!$A$1:$L$61,9)</f>
        <v>#N/A</v>
      </c>
      <c r="T280" s="62" t="e">
        <f>VLOOKUP($R280,Herbicide_Data!$A$1:$Q$61,13)</f>
        <v>#N/A</v>
      </c>
      <c r="U280" s="16" t="e">
        <f t="shared" si="51"/>
        <v>#N/A</v>
      </c>
      <c r="V280" s="62" t="b">
        <f t="shared" si="57"/>
        <v>0</v>
      </c>
      <c r="W280" s="63" t="e">
        <f>VLOOKUP($V280,Herbicide_Data!$A$1:$L$17,9)</f>
        <v>#N/A</v>
      </c>
      <c r="X280" s="62" t="e">
        <f>VLOOKUP($V280,Herbicide_Data!$A$1:$L$17,12)</f>
        <v>#N/A</v>
      </c>
      <c r="Y280" s="16" t="e">
        <f t="shared" si="52"/>
        <v>#N/A</v>
      </c>
      <c r="Z280" s="15"/>
      <c r="AA280" s="13"/>
      <c r="AB280" s="17"/>
      <c r="AC280" s="3"/>
      <c r="AD280" s="10"/>
      <c r="AE280" s="3"/>
      <c r="AF280" s="10"/>
      <c r="AG280" s="15"/>
      <c r="AH280" s="62" t="str">
        <f t="shared" si="47"/>
        <v/>
      </c>
      <c r="AI280" s="62" t="e">
        <f>VLOOKUP($AH280,Herbicide_Data!$A$1:$Q$61,13)</f>
        <v>#N/A</v>
      </c>
      <c r="AJ280" s="16" t="e">
        <f t="shared" si="53"/>
        <v>#N/A</v>
      </c>
      <c r="AK280" s="3"/>
      <c r="AL280" s="3"/>
      <c r="AM280" s="3"/>
      <c r="AN280" s="3"/>
      <c r="AO280" s="3"/>
      <c r="AP280" s="3"/>
      <c r="AQ280" s="18"/>
      <c r="AR280" s="19"/>
      <c r="AS280" s="19"/>
      <c r="AT280" s="20"/>
      <c r="AU280" s="20"/>
      <c r="AV280" s="21"/>
      <c r="AW280" s="22"/>
      <c r="AX280" s="19"/>
      <c r="AY280" s="19"/>
      <c r="AZ280" s="19"/>
      <c r="BA280" s="23"/>
      <c r="BB280" s="19"/>
      <c r="BC280" s="19"/>
      <c r="BD280" s="19"/>
    </row>
    <row r="281" spans="1:56">
      <c r="A281" s="13"/>
      <c r="B281" s="11"/>
      <c r="C281" s="12"/>
      <c r="D281" s="12">
        <f t="shared" si="48"/>
        <v>2.0833299999999999E-2</v>
      </c>
      <c r="E281" s="10"/>
      <c r="F281" s="10" t="str">
        <f>IFERROR(VLOOKUP(E281,Data!A$2:B$5,2,TRUE), "")</f>
        <v/>
      </c>
      <c r="G281" s="3"/>
      <c r="H281" s="13" t="str">
        <f>IFERROR(VLOOKUP(A281,Customer_Data!$A$1:$P$114,8,TRUE),"")</f>
        <v/>
      </c>
      <c r="I281" s="13"/>
      <c r="J281" s="3" t="str">
        <f t="shared" si="54"/>
        <v/>
      </c>
      <c r="K281" s="62" t="e">
        <f>(VLOOKUP($J281,Herbicide_Data!$A$1:$L$61,9,TRUE))</f>
        <v>#N/A</v>
      </c>
      <c r="L281" s="62" t="e">
        <f>VLOOKUP($J281,Herbicide_Data!$A$1:$L$61,12,TRUE)</f>
        <v>#N/A</v>
      </c>
      <c r="M281" s="16" t="e">
        <f t="shared" si="49"/>
        <v>#N/A</v>
      </c>
      <c r="N281" s="62" t="str">
        <f t="shared" si="55"/>
        <v/>
      </c>
      <c r="O281" s="63" t="e">
        <f>VLOOKUP($N281,Herbicide_Data!$A$1:$L$61,9)</f>
        <v>#N/A</v>
      </c>
      <c r="P281" s="62" t="e">
        <f>VLOOKUP($N281,Herbicide_Data!$A$1:$P$61,13)</f>
        <v>#N/A</v>
      </c>
      <c r="Q281" s="16" t="e">
        <f t="shared" si="50"/>
        <v>#N/A</v>
      </c>
      <c r="R281" s="62" t="str">
        <f t="shared" si="56"/>
        <v/>
      </c>
      <c r="S281" s="63" t="e">
        <f>VLOOKUP($R281,Herbicide_Data!$A$1:$L$61,9)</f>
        <v>#N/A</v>
      </c>
      <c r="T281" s="62" t="e">
        <f>VLOOKUP($R281,Herbicide_Data!$A$1:$Q$61,13)</f>
        <v>#N/A</v>
      </c>
      <c r="U281" s="16" t="e">
        <f t="shared" si="51"/>
        <v>#N/A</v>
      </c>
      <c r="V281" s="62" t="b">
        <f t="shared" si="57"/>
        <v>0</v>
      </c>
      <c r="W281" s="63" t="e">
        <f>VLOOKUP($V281,Herbicide_Data!$A$1:$L$17,9)</f>
        <v>#N/A</v>
      </c>
      <c r="X281" s="62" t="e">
        <f>VLOOKUP($V281,Herbicide_Data!$A$1:$L$17,12)</f>
        <v>#N/A</v>
      </c>
      <c r="Y281" s="16" t="e">
        <f t="shared" si="52"/>
        <v>#N/A</v>
      </c>
      <c r="Z281" s="15"/>
      <c r="AA281" s="13"/>
      <c r="AB281" s="17"/>
      <c r="AC281" s="3"/>
      <c r="AD281" s="10"/>
      <c r="AE281" s="3"/>
      <c r="AF281" s="10"/>
      <c r="AG281" s="15"/>
      <c r="AH281" s="62" t="str">
        <f t="shared" si="47"/>
        <v/>
      </c>
      <c r="AI281" s="62" t="e">
        <f>VLOOKUP($AH281,Herbicide_Data!$A$1:$Q$61,13)</f>
        <v>#N/A</v>
      </c>
      <c r="AJ281" s="16" t="e">
        <f t="shared" si="53"/>
        <v>#N/A</v>
      </c>
      <c r="AK281" s="3"/>
      <c r="AL281" s="3"/>
      <c r="AM281" s="3"/>
      <c r="AN281" s="3"/>
      <c r="AO281" s="3"/>
      <c r="AP281" s="3"/>
      <c r="AQ281" s="18"/>
      <c r="AR281" s="19"/>
      <c r="AS281" s="19"/>
      <c r="AT281" s="20"/>
      <c r="AU281" s="20"/>
      <c r="AV281" s="21"/>
      <c r="AW281" s="22"/>
      <c r="AX281" s="19"/>
      <c r="AY281" s="19"/>
      <c r="AZ281" s="19"/>
      <c r="BA281" s="23"/>
      <c r="BB281" s="19"/>
      <c r="BC281" s="19"/>
      <c r="BD281" s="19"/>
    </row>
    <row r="282" spans="1:56">
      <c r="A282" s="13"/>
      <c r="B282" s="11"/>
      <c r="C282" s="12"/>
      <c r="D282" s="12">
        <f t="shared" si="48"/>
        <v>2.0833299999999999E-2</v>
      </c>
      <c r="E282" s="10"/>
      <c r="F282" s="10" t="str">
        <f>IFERROR(VLOOKUP(E282,Data!A$2:B$5,2,TRUE), "")</f>
        <v/>
      </c>
      <c r="G282" s="3"/>
      <c r="H282" s="13" t="str">
        <f>IFERROR(VLOOKUP(A282,Customer_Data!$A$1:$P$114,8,TRUE),"")</f>
        <v/>
      </c>
      <c r="I282" s="13"/>
      <c r="J282" s="3" t="str">
        <f t="shared" si="54"/>
        <v/>
      </c>
      <c r="K282" s="62" t="e">
        <f>(VLOOKUP($J282,Herbicide_Data!$A$1:$L$61,9,TRUE))</f>
        <v>#N/A</v>
      </c>
      <c r="L282" s="62" t="e">
        <f>VLOOKUP($J282,Herbicide_Data!$A$1:$L$61,12,TRUE)</f>
        <v>#N/A</v>
      </c>
      <c r="M282" s="16" t="e">
        <f t="shared" si="49"/>
        <v>#N/A</v>
      </c>
      <c r="N282" s="62" t="str">
        <f t="shared" si="55"/>
        <v/>
      </c>
      <c r="O282" s="63" t="e">
        <f>VLOOKUP($N282,Herbicide_Data!$A$1:$L$61,9)</f>
        <v>#N/A</v>
      </c>
      <c r="P282" s="62" t="e">
        <f>VLOOKUP($N282,Herbicide_Data!$A$1:$P$61,13)</f>
        <v>#N/A</v>
      </c>
      <c r="Q282" s="16" t="e">
        <f t="shared" si="50"/>
        <v>#N/A</v>
      </c>
      <c r="R282" s="62" t="str">
        <f t="shared" si="56"/>
        <v/>
      </c>
      <c r="S282" s="63" t="e">
        <f>VLOOKUP($R282,Herbicide_Data!$A$1:$L$61,9)</f>
        <v>#N/A</v>
      </c>
      <c r="T282" s="62" t="e">
        <f>VLOOKUP($R282,Herbicide_Data!$A$1:$Q$61,13)</f>
        <v>#N/A</v>
      </c>
      <c r="U282" s="16" t="e">
        <f t="shared" si="51"/>
        <v>#N/A</v>
      </c>
      <c r="V282" s="62" t="b">
        <f t="shared" si="57"/>
        <v>0</v>
      </c>
      <c r="W282" s="63" t="e">
        <f>VLOOKUP($V282,Herbicide_Data!$A$1:$L$17,9)</f>
        <v>#N/A</v>
      </c>
      <c r="X282" s="62" t="e">
        <f>VLOOKUP($V282,Herbicide_Data!$A$1:$L$17,12)</f>
        <v>#N/A</v>
      </c>
      <c r="Y282" s="16" t="e">
        <f t="shared" si="52"/>
        <v>#N/A</v>
      </c>
      <c r="Z282" s="15"/>
      <c r="AA282" s="13"/>
      <c r="AB282" s="17"/>
      <c r="AC282" s="3"/>
      <c r="AD282" s="10"/>
      <c r="AE282" s="3"/>
      <c r="AF282" s="10"/>
      <c r="AG282" s="15"/>
      <c r="AH282" s="62" t="str">
        <f t="shared" si="47"/>
        <v/>
      </c>
      <c r="AI282" s="62" t="e">
        <f>VLOOKUP($AH282,Herbicide_Data!$A$1:$Q$61,13)</f>
        <v>#N/A</v>
      </c>
      <c r="AJ282" s="16" t="e">
        <f t="shared" si="53"/>
        <v>#N/A</v>
      </c>
      <c r="AK282" s="3"/>
      <c r="AL282" s="3"/>
      <c r="AM282" s="3"/>
      <c r="AN282" s="3"/>
      <c r="AO282" s="3"/>
      <c r="AP282" s="3"/>
      <c r="AQ282" s="18"/>
      <c r="AR282" s="19"/>
      <c r="AS282" s="19"/>
      <c r="AT282" s="20"/>
      <c r="AU282" s="20"/>
      <c r="AV282" s="21"/>
      <c r="AW282" s="22"/>
      <c r="AX282" s="19"/>
      <c r="AY282" s="19"/>
      <c r="AZ282" s="19"/>
      <c r="BA282" s="23"/>
      <c r="BB282" s="19"/>
      <c r="BC282" s="19"/>
      <c r="BD282" s="19"/>
    </row>
    <row r="283" spans="1:56">
      <c r="A283" s="13"/>
      <c r="B283" s="11"/>
      <c r="C283" s="12"/>
      <c r="D283" s="12">
        <f t="shared" si="48"/>
        <v>2.0833299999999999E-2</v>
      </c>
      <c r="E283" s="10"/>
      <c r="F283" s="10" t="str">
        <f>IFERROR(VLOOKUP(E283,Data!A$2:B$5,2,TRUE), "")</f>
        <v/>
      </c>
      <c r="G283" s="3"/>
      <c r="H283" s="13" t="str">
        <f>IFERROR(VLOOKUP(A283,Customer_Data!$A$1:$P$114,8,TRUE),"")</f>
        <v/>
      </c>
      <c r="I283" s="13"/>
      <c r="J283" s="3" t="str">
        <f t="shared" si="54"/>
        <v/>
      </c>
      <c r="K283" s="62" t="e">
        <f>(VLOOKUP($J283,Herbicide_Data!$A$1:$L$61,9,TRUE))</f>
        <v>#N/A</v>
      </c>
      <c r="L283" s="62" t="e">
        <f>VLOOKUP($J283,Herbicide_Data!$A$1:$L$61,12,TRUE)</f>
        <v>#N/A</v>
      </c>
      <c r="M283" s="16" t="e">
        <f t="shared" si="49"/>
        <v>#N/A</v>
      </c>
      <c r="N283" s="62" t="str">
        <f t="shared" si="55"/>
        <v/>
      </c>
      <c r="O283" s="63" t="e">
        <f>VLOOKUP($N283,Herbicide_Data!$A$1:$L$61,9)</f>
        <v>#N/A</v>
      </c>
      <c r="P283" s="62" t="e">
        <f>VLOOKUP($N283,Herbicide_Data!$A$1:$P$61,13)</f>
        <v>#N/A</v>
      </c>
      <c r="Q283" s="16" t="e">
        <f t="shared" si="50"/>
        <v>#N/A</v>
      </c>
      <c r="R283" s="62" t="str">
        <f t="shared" si="56"/>
        <v/>
      </c>
      <c r="S283" s="63" t="e">
        <f>VLOOKUP($R283,Herbicide_Data!$A$1:$L$61,9)</f>
        <v>#N/A</v>
      </c>
      <c r="T283" s="62" t="e">
        <f>VLOOKUP($R283,Herbicide_Data!$A$1:$Q$61,13)</f>
        <v>#N/A</v>
      </c>
      <c r="U283" s="16" t="e">
        <f t="shared" si="51"/>
        <v>#N/A</v>
      </c>
      <c r="V283" s="62" t="b">
        <f t="shared" si="57"/>
        <v>0</v>
      </c>
      <c r="W283" s="63" t="e">
        <f>VLOOKUP($V283,Herbicide_Data!$A$1:$L$17,9)</f>
        <v>#N/A</v>
      </c>
      <c r="X283" s="62" t="e">
        <f>VLOOKUP($V283,Herbicide_Data!$A$1:$L$17,12)</f>
        <v>#N/A</v>
      </c>
      <c r="Y283" s="16" t="e">
        <f t="shared" si="52"/>
        <v>#N/A</v>
      </c>
      <c r="Z283" s="15"/>
      <c r="AA283" s="13"/>
      <c r="AB283" s="17"/>
      <c r="AC283" s="3"/>
      <c r="AD283" s="10"/>
      <c r="AE283" s="3"/>
      <c r="AF283" s="10"/>
      <c r="AG283" s="15"/>
      <c r="AH283" s="62" t="str">
        <f t="shared" si="47"/>
        <v/>
      </c>
      <c r="AI283" s="62" t="e">
        <f>VLOOKUP($AH283,Herbicide_Data!$A$1:$Q$61,13)</f>
        <v>#N/A</v>
      </c>
      <c r="AJ283" s="16" t="e">
        <f t="shared" si="53"/>
        <v>#N/A</v>
      </c>
      <c r="AK283" s="3"/>
      <c r="AL283" s="3"/>
      <c r="AM283" s="3"/>
      <c r="AN283" s="3"/>
      <c r="AO283" s="3"/>
      <c r="AP283" s="3"/>
      <c r="AQ283" s="18"/>
      <c r="AR283" s="19"/>
      <c r="AS283" s="19"/>
      <c r="AT283" s="20"/>
      <c r="AU283" s="20"/>
      <c r="AV283" s="21"/>
      <c r="AW283" s="22"/>
      <c r="AX283" s="19"/>
      <c r="AY283" s="19"/>
      <c r="AZ283" s="19"/>
      <c r="BA283" s="23"/>
      <c r="BB283" s="19"/>
      <c r="BC283" s="19"/>
      <c r="BD283" s="19"/>
    </row>
    <row r="284" spans="1:56">
      <c r="A284" s="13"/>
      <c r="B284" s="11"/>
      <c r="C284" s="12"/>
      <c r="D284" s="12">
        <f t="shared" si="48"/>
        <v>2.0833299999999999E-2</v>
      </c>
      <c r="E284" s="10"/>
      <c r="F284" s="10" t="str">
        <f>IFERROR(VLOOKUP(E284,Data!A$2:B$5,2,TRUE), "")</f>
        <v/>
      </c>
      <c r="G284" s="3"/>
      <c r="H284" s="13" t="str">
        <f>IFERROR(VLOOKUP(A284,Customer_Data!$A$1:$P$114,8,TRUE),"")</f>
        <v/>
      </c>
      <c r="I284" s="13"/>
      <c r="J284" s="3" t="str">
        <f t="shared" si="54"/>
        <v/>
      </c>
      <c r="K284" s="62" t="e">
        <f>(VLOOKUP($J284,Herbicide_Data!$A$1:$L$61,9,TRUE))</f>
        <v>#N/A</v>
      </c>
      <c r="L284" s="62" t="e">
        <f>VLOOKUP($J284,Herbicide_Data!$A$1:$L$61,12,TRUE)</f>
        <v>#N/A</v>
      </c>
      <c r="M284" s="16" t="e">
        <f t="shared" si="49"/>
        <v>#N/A</v>
      </c>
      <c r="N284" s="62" t="str">
        <f t="shared" si="55"/>
        <v/>
      </c>
      <c r="O284" s="63" t="e">
        <f>VLOOKUP($N284,Herbicide_Data!$A$1:$L$61,9)</f>
        <v>#N/A</v>
      </c>
      <c r="P284" s="62" t="e">
        <f>VLOOKUP($N284,Herbicide_Data!$A$1:$P$61,13)</f>
        <v>#N/A</v>
      </c>
      <c r="Q284" s="16" t="e">
        <f t="shared" si="50"/>
        <v>#N/A</v>
      </c>
      <c r="R284" s="62" t="str">
        <f t="shared" si="56"/>
        <v/>
      </c>
      <c r="S284" s="63" t="e">
        <f>VLOOKUP($R284,Herbicide_Data!$A$1:$L$61,9)</f>
        <v>#N/A</v>
      </c>
      <c r="T284" s="62" t="e">
        <f>VLOOKUP($R284,Herbicide_Data!$A$1:$Q$61,13)</f>
        <v>#N/A</v>
      </c>
      <c r="U284" s="16" t="e">
        <f t="shared" si="51"/>
        <v>#N/A</v>
      </c>
      <c r="V284" s="62" t="b">
        <f t="shared" si="57"/>
        <v>0</v>
      </c>
      <c r="W284" s="63" t="e">
        <f>VLOOKUP($V284,Herbicide_Data!$A$1:$L$17,9)</f>
        <v>#N/A</v>
      </c>
      <c r="X284" s="62" t="e">
        <f>VLOOKUP($V284,Herbicide_Data!$A$1:$L$17,12)</f>
        <v>#N/A</v>
      </c>
      <c r="Y284" s="16" t="e">
        <f t="shared" si="52"/>
        <v>#N/A</v>
      </c>
      <c r="Z284" s="15"/>
      <c r="AA284" s="13"/>
      <c r="AB284" s="17"/>
      <c r="AC284" s="3"/>
      <c r="AD284" s="10"/>
      <c r="AE284" s="3"/>
      <c r="AF284" s="10"/>
      <c r="AG284" s="15"/>
      <c r="AH284" s="62" t="str">
        <f t="shared" si="47"/>
        <v/>
      </c>
      <c r="AI284" s="62" t="e">
        <f>VLOOKUP($AH284,Herbicide_Data!$A$1:$Q$61,13)</f>
        <v>#N/A</v>
      </c>
      <c r="AJ284" s="16" t="e">
        <f t="shared" si="53"/>
        <v>#N/A</v>
      </c>
      <c r="AK284" s="3"/>
      <c r="AL284" s="3"/>
      <c r="AM284" s="3"/>
      <c r="AN284" s="3"/>
      <c r="AO284" s="3"/>
      <c r="AP284" s="3"/>
      <c r="AQ284" s="18"/>
      <c r="AR284" s="19"/>
      <c r="AS284" s="19"/>
      <c r="AT284" s="20"/>
      <c r="AU284" s="20"/>
      <c r="AV284" s="21"/>
      <c r="AW284" s="22"/>
      <c r="AX284" s="19"/>
      <c r="AY284" s="19"/>
      <c r="AZ284" s="19"/>
      <c r="BA284" s="23"/>
      <c r="BB284" s="19"/>
      <c r="BC284" s="19"/>
      <c r="BD284" s="19"/>
    </row>
    <row r="285" spans="1:56">
      <c r="A285" s="13"/>
      <c r="B285" s="11"/>
      <c r="C285" s="12"/>
      <c r="D285" s="12">
        <f t="shared" si="48"/>
        <v>2.0833299999999999E-2</v>
      </c>
      <c r="E285" s="10"/>
      <c r="F285" s="10" t="str">
        <f>IFERROR(VLOOKUP(E285,Data!A$2:B$5,2,TRUE), "")</f>
        <v/>
      </c>
      <c r="G285" s="3"/>
      <c r="H285" s="13" t="str">
        <f>IFERROR(VLOOKUP(A285,Customer_Data!$A$1:$P$114,8,TRUE),"")</f>
        <v/>
      </c>
      <c r="I285" s="13"/>
      <c r="J285" s="3" t="str">
        <f t="shared" si="54"/>
        <v/>
      </c>
      <c r="K285" s="62" t="e">
        <f>(VLOOKUP($J285,Herbicide_Data!$A$1:$L$61,9,TRUE))</f>
        <v>#N/A</v>
      </c>
      <c r="L285" s="62" t="e">
        <f>VLOOKUP($J285,Herbicide_Data!$A$1:$L$61,12,TRUE)</f>
        <v>#N/A</v>
      </c>
      <c r="M285" s="16" t="e">
        <f t="shared" si="49"/>
        <v>#N/A</v>
      </c>
      <c r="N285" s="62" t="str">
        <f t="shared" si="55"/>
        <v/>
      </c>
      <c r="O285" s="63" t="e">
        <f>VLOOKUP($N285,Herbicide_Data!$A$1:$L$61,9)</f>
        <v>#N/A</v>
      </c>
      <c r="P285" s="62" t="e">
        <f>VLOOKUP($N285,Herbicide_Data!$A$1:$P$61,13)</f>
        <v>#N/A</v>
      </c>
      <c r="Q285" s="16" t="e">
        <f t="shared" si="50"/>
        <v>#N/A</v>
      </c>
      <c r="R285" s="62" t="str">
        <f t="shared" si="56"/>
        <v/>
      </c>
      <c r="S285" s="63" t="e">
        <f>VLOOKUP($R285,Herbicide_Data!$A$1:$L$61,9)</f>
        <v>#N/A</v>
      </c>
      <c r="T285" s="62" t="e">
        <f>VLOOKUP($R285,Herbicide_Data!$A$1:$Q$61,13)</f>
        <v>#N/A</v>
      </c>
      <c r="U285" s="16" t="e">
        <f t="shared" si="51"/>
        <v>#N/A</v>
      </c>
      <c r="V285" s="62" t="b">
        <f t="shared" si="57"/>
        <v>0</v>
      </c>
      <c r="W285" s="63" t="e">
        <f>VLOOKUP($V285,Herbicide_Data!$A$1:$L$17,9)</f>
        <v>#N/A</v>
      </c>
      <c r="X285" s="62" t="e">
        <f>VLOOKUP($V285,Herbicide_Data!$A$1:$L$17,12)</f>
        <v>#N/A</v>
      </c>
      <c r="Y285" s="16" t="e">
        <f t="shared" si="52"/>
        <v>#N/A</v>
      </c>
      <c r="Z285" s="15"/>
      <c r="AA285" s="13"/>
      <c r="AB285" s="17"/>
      <c r="AC285" s="3"/>
      <c r="AD285" s="10"/>
      <c r="AE285" s="3"/>
      <c r="AF285" s="10"/>
      <c r="AG285" s="15"/>
      <c r="AH285" s="62" t="str">
        <f t="shared" si="47"/>
        <v/>
      </c>
      <c r="AI285" s="62" t="e">
        <f>VLOOKUP($AH285,Herbicide_Data!$A$1:$Q$61,13)</f>
        <v>#N/A</v>
      </c>
      <c r="AJ285" s="16" t="e">
        <f t="shared" si="53"/>
        <v>#N/A</v>
      </c>
      <c r="AK285" s="3"/>
      <c r="AL285" s="3"/>
      <c r="AM285" s="3"/>
      <c r="AN285" s="3"/>
      <c r="AO285" s="3"/>
      <c r="AP285" s="3"/>
      <c r="AQ285" s="18"/>
      <c r="AR285" s="19"/>
      <c r="AS285" s="19"/>
      <c r="AT285" s="20"/>
      <c r="AU285" s="20"/>
      <c r="AV285" s="21"/>
      <c r="AW285" s="22"/>
      <c r="AX285" s="19"/>
      <c r="AY285" s="19"/>
      <c r="AZ285" s="19"/>
      <c r="BA285" s="23"/>
      <c r="BB285" s="19"/>
      <c r="BC285" s="19"/>
      <c r="BD285" s="19"/>
    </row>
    <row r="286" spans="1:56">
      <c r="A286" s="13"/>
      <c r="B286" s="11"/>
      <c r="C286" s="12"/>
      <c r="D286" s="12">
        <f t="shared" si="48"/>
        <v>2.0833299999999999E-2</v>
      </c>
      <c r="E286" s="10"/>
      <c r="F286" s="10" t="str">
        <f>IFERROR(VLOOKUP(E286,Data!A$2:B$5,2,TRUE), "")</f>
        <v/>
      </c>
      <c r="G286" s="3"/>
      <c r="H286" s="13" t="str">
        <f>IFERROR(VLOOKUP(A286,Customer_Data!$A$1:$P$114,8,TRUE),"")</f>
        <v/>
      </c>
      <c r="I286" s="13"/>
      <c r="J286" s="3" t="str">
        <f t="shared" si="54"/>
        <v/>
      </c>
      <c r="K286" s="62" t="e">
        <f>(VLOOKUP($J286,Herbicide_Data!$A$1:$L$61,9,TRUE))</f>
        <v>#N/A</v>
      </c>
      <c r="L286" s="62" t="e">
        <f>VLOOKUP($J286,Herbicide_Data!$A$1:$L$61,12,TRUE)</f>
        <v>#N/A</v>
      </c>
      <c r="M286" s="16" t="e">
        <f t="shared" si="49"/>
        <v>#N/A</v>
      </c>
      <c r="N286" s="62" t="str">
        <f t="shared" si="55"/>
        <v/>
      </c>
      <c r="O286" s="63" t="e">
        <f>VLOOKUP($N286,Herbicide_Data!$A$1:$L$61,9)</f>
        <v>#N/A</v>
      </c>
      <c r="P286" s="62" t="e">
        <f>VLOOKUP($N286,Herbicide_Data!$A$1:$P$61,13)</f>
        <v>#N/A</v>
      </c>
      <c r="Q286" s="16" t="e">
        <f t="shared" si="50"/>
        <v>#N/A</v>
      </c>
      <c r="R286" s="62" t="str">
        <f t="shared" si="56"/>
        <v/>
      </c>
      <c r="S286" s="63" t="e">
        <f>VLOOKUP($R286,Herbicide_Data!$A$1:$L$61,9)</f>
        <v>#N/A</v>
      </c>
      <c r="T286" s="62" t="e">
        <f>VLOOKUP($R286,Herbicide_Data!$A$1:$Q$61,13)</f>
        <v>#N/A</v>
      </c>
      <c r="U286" s="16" t="e">
        <f t="shared" si="51"/>
        <v>#N/A</v>
      </c>
      <c r="V286" s="62" t="b">
        <f t="shared" si="57"/>
        <v>0</v>
      </c>
      <c r="W286" s="63" t="e">
        <f>VLOOKUP($V286,Herbicide_Data!$A$1:$L$17,9)</f>
        <v>#N/A</v>
      </c>
      <c r="X286" s="62" t="e">
        <f>VLOOKUP($V286,Herbicide_Data!$A$1:$L$17,12)</f>
        <v>#N/A</v>
      </c>
      <c r="Y286" s="16" t="e">
        <f t="shared" si="52"/>
        <v>#N/A</v>
      </c>
      <c r="Z286" s="15"/>
      <c r="AA286" s="13"/>
      <c r="AB286" s="17"/>
      <c r="AC286" s="3"/>
      <c r="AD286" s="10"/>
      <c r="AE286" s="3"/>
      <c r="AF286" s="10"/>
      <c r="AG286" s="15"/>
      <c r="AH286" s="62" t="str">
        <f t="shared" si="47"/>
        <v/>
      </c>
      <c r="AI286" s="62" t="e">
        <f>VLOOKUP($AH286,Herbicide_Data!$A$1:$Q$61,13)</f>
        <v>#N/A</v>
      </c>
      <c r="AJ286" s="16" t="e">
        <f t="shared" si="53"/>
        <v>#N/A</v>
      </c>
      <c r="AK286" s="3"/>
      <c r="AL286" s="3"/>
      <c r="AM286" s="3"/>
      <c r="AN286" s="3"/>
      <c r="AO286" s="3"/>
      <c r="AP286" s="3"/>
      <c r="AQ286" s="18"/>
      <c r="AR286" s="19"/>
      <c r="AS286" s="19"/>
      <c r="AT286" s="20"/>
      <c r="AU286" s="20"/>
      <c r="AV286" s="21"/>
      <c r="AW286" s="22"/>
      <c r="AX286" s="19"/>
      <c r="AY286" s="19"/>
      <c r="AZ286" s="19"/>
      <c r="BA286" s="23"/>
      <c r="BB286" s="19"/>
      <c r="BC286" s="19"/>
      <c r="BD286" s="19"/>
    </row>
    <row r="287" spans="1:56">
      <c r="A287" s="13"/>
      <c r="B287" s="11"/>
      <c r="C287" s="12"/>
      <c r="D287" s="12">
        <f t="shared" si="48"/>
        <v>2.0833299999999999E-2</v>
      </c>
      <c r="E287" s="10"/>
      <c r="F287" s="10" t="str">
        <f>IFERROR(VLOOKUP(E287,Data!A$2:B$5,2,TRUE), "")</f>
        <v/>
      </c>
      <c r="G287" s="3"/>
      <c r="H287" s="13" t="str">
        <f>IFERROR(VLOOKUP(A287,Customer_Data!$A$1:$P$114,8,TRUE),"")</f>
        <v/>
      </c>
      <c r="I287" s="13"/>
      <c r="J287" s="3" t="str">
        <f t="shared" si="54"/>
        <v/>
      </c>
      <c r="K287" s="62" t="e">
        <f>(VLOOKUP($J287,Herbicide_Data!$A$1:$L$61,9,TRUE))</f>
        <v>#N/A</v>
      </c>
      <c r="L287" s="62" t="e">
        <f>VLOOKUP($J287,Herbicide_Data!$A$1:$L$61,12,TRUE)</f>
        <v>#N/A</v>
      </c>
      <c r="M287" s="16" t="e">
        <f t="shared" si="49"/>
        <v>#N/A</v>
      </c>
      <c r="N287" s="62" t="str">
        <f t="shared" si="55"/>
        <v/>
      </c>
      <c r="O287" s="63" t="e">
        <f>VLOOKUP($N287,Herbicide_Data!$A$1:$L$61,9)</f>
        <v>#N/A</v>
      </c>
      <c r="P287" s="62" t="e">
        <f>VLOOKUP($N287,Herbicide_Data!$A$1:$P$61,13)</f>
        <v>#N/A</v>
      </c>
      <c r="Q287" s="16" t="e">
        <f t="shared" si="50"/>
        <v>#N/A</v>
      </c>
      <c r="R287" s="62" t="str">
        <f t="shared" si="56"/>
        <v/>
      </c>
      <c r="S287" s="63" t="e">
        <f>VLOOKUP($R287,Herbicide_Data!$A$1:$L$61,9)</f>
        <v>#N/A</v>
      </c>
      <c r="T287" s="62" t="e">
        <f>VLOOKUP($R287,Herbicide_Data!$A$1:$Q$61,13)</f>
        <v>#N/A</v>
      </c>
      <c r="U287" s="16" t="e">
        <f t="shared" si="51"/>
        <v>#N/A</v>
      </c>
      <c r="V287" s="62" t="b">
        <f t="shared" si="57"/>
        <v>0</v>
      </c>
      <c r="W287" s="63" t="e">
        <f>VLOOKUP($V287,Herbicide_Data!$A$1:$L$17,9)</f>
        <v>#N/A</v>
      </c>
      <c r="X287" s="62" t="e">
        <f>VLOOKUP($V287,Herbicide_Data!$A$1:$L$17,12)</f>
        <v>#N/A</v>
      </c>
      <c r="Y287" s="16" t="e">
        <f t="shared" si="52"/>
        <v>#N/A</v>
      </c>
      <c r="Z287" s="15"/>
      <c r="AA287" s="13"/>
      <c r="AB287" s="17"/>
      <c r="AC287" s="3"/>
      <c r="AD287" s="10"/>
      <c r="AE287" s="3"/>
      <c r="AF287" s="10"/>
      <c r="AG287" s="15"/>
      <c r="AH287" s="62" t="str">
        <f t="shared" ref="AH287:AH350" si="58">IF($G287=("Spring Preemerge (Jan)"),"Surfactant",IF($G287=("Spring Preemerge (Apr)"),"Surfactant",""))</f>
        <v/>
      </c>
      <c r="AI287" s="62" t="e">
        <f>VLOOKUP($AH287,Herbicide_Data!$A$1:$Q$61,13)</f>
        <v>#N/A</v>
      </c>
      <c r="AJ287" s="16" t="e">
        <f t="shared" si="53"/>
        <v>#N/A</v>
      </c>
      <c r="AK287" s="3"/>
      <c r="AL287" s="3"/>
      <c r="AM287" s="3"/>
      <c r="AN287" s="3"/>
      <c r="AO287" s="3"/>
      <c r="AP287" s="3"/>
      <c r="AQ287" s="18"/>
      <c r="AR287" s="19"/>
      <c r="AS287" s="19"/>
      <c r="AT287" s="20"/>
      <c r="AU287" s="20"/>
      <c r="AV287" s="21"/>
      <c r="AW287" s="22"/>
      <c r="AX287" s="19"/>
      <c r="AY287" s="19"/>
      <c r="AZ287" s="19"/>
      <c r="BA287" s="23"/>
      <c r="BB287" s="19"/>
      <c r="BC287" s="19"/>
      <c r="BD287" s="19"/>
    </row>
    <row r="288" spans="1:56">
      <c r="A288" s="13"/>
      <c r="B288" s="11"/>
      <c r="C288" s="12"/>
      <c r="D288" s="12">
        <f t="shared" si="48"/>
        <v>2.0833299999999999E-2</v>
      </c>
      <c r="E288" s="10"/>
      <c r="F288" s="10" t="str">
        <f>IFERROR(VLOOKUP(E288,Data!A$2:B$5,2,TRUE), "")</f>
        <v/>
      </c>
      <c r="G288" s="3"/>
      <c r="H288" s="13" t="str">
        <f>IFERROR(VLOOKUP(A288,Customer_Data!$A$1:$P$114,8,TRUE),"")</f>
        <v/>
      </c>
      <c r="I288" s="13"/>
      <c r="J288" s="3" t="str">
        <f t="shared" si="54"/>
        <v/>
      </c>
      <c r="K288" s="62" t="e">
        <f>(VLOOKUP($J288,Herbicide_Data!$A$1:$L$61,9,TRUE))</f>
        <v>#N/A</v>
      </c>
      <c r="L288" s="62" t="e">
        <f>VLOOKUP($J288,Herbicide_Data!$A$1:$L$61,12,TRUE)</f>
        <v>#N/A</v>
      </c>
      <c r="M288" s="16" t="e">
        <f t="shared" si="49"/>
        <v>#N/A</v>
      </c>
      <c r="N288" s="62" t="str">
        <f t="shared" si="55"/>
        <v/>
      </c>
      <c r="O288" s="63" t="e">
        <f>VLOOKUP($N288,Herbicide_Data!$A$1:$L$61,9)</f>
        <v>#N/A</v>
      </c>
      <c r="P288" s="62" t="e">
        <f>VLOOKUP($N288,Herbicide_Data!$A$1:$P$61,13)</f>
        <v>#N/A</v>
      </c>
      <c r="Q288" s="16" t="e">
        <f t="shared" si="50"/>
        <v>#N/A</v>
      </c>
      <c r="R288" s="62" t="str">
        <f t="shared" si="56"/>
        <v/>
      </c>
      <c r="S288" s="63" t="e">
        <f>VLOOKUP($R288,Herbicide_Data!$A$1:$L$61,9)</f>
        <v>#N/A</v>
      </c>
      <c r="T288" s="62" t="e">
        <f>VLOOKUP($R288,Herbicide_Data!$A$1:$Q$61,13)</f>
        <v>#N/A</v>
      </c>
      <c r="U288" s="16" t="e">
        <f t="shared" si="51"/>
        <v>#N/A</v>
      </c>
      <c r="V288" s="62" t="b">
        <f t="shared" si="57"/>
        <v>0</v>
      </c>
      <c r="W288" s="63" t="e">
        <f>VLOOKUP($V288,Herbicide_Data!$A$1:$L$17,9)</f>
        <v>#N/A</v>
      </c>
      <c r="X288" s="62" t="e">
        <f>VLOOKUP($V288,Herbicide_Data!$A$1:$L$17,12)</f>
        <v>#N/A</v>
      </c>
      <c r="Y288" s="16" t="e">
        <f t="shared" si="52"/>
        <v>#N/A</v>
      </c>
      <c r="Z288" s="15"/>
      <c r="AA288" s="13"/>
      <c r="AB288" s="17"/>
      <c r="AC288" s="3"/>
      <c r="AD288" s="10"/>
      <c r="AE288" s="3"/>
      <c r="AF288" s="10"/>
      <c r="AG288" s="15"/>
      <c r="AH288" s="62" t="str">
        <f t="shared" si="58"/>
        <v/>
      </c>
      <c r="AI288" s="62" t="e">
        <f>VLOOKUP($AH288,Herbicide_Data!$A$1:$Q$61,13)</f>
        <v>#N/A</v>
      </c>
      <c r="AJ288" s="16" t="e">
        <f t="shared" si="53"/>
        <v>#N/A</v>
      </c>
      <c r="AK288" s="3"/>
      <c r="AL288" s="3"/>
      <c r="AM288" s="3"/>
      <c r="AN288" s="3"/>
      <c r="AO288" s="3"/>
      <c r="AP288" s="3"/>
      <c r="AQ288" s="18"/>
      <c r="AR288" s="19"/>
      <c r="AS288" s="19"/>
      <c r="AT288" s="20"/>
      <c r="AU288" s="20"/>
      <c r="AV288" s="21"/>
      <c r="AW288" s="22"/>
      <c r="AX288" s="19"/>
      <c r="AY288" s="19"/>
      <c r="AZ288" s="19"/>
      <c r="BA288" s="23"/>
      <c r="BB288" s="19"/>
      <c r="BC288" s="19"/>
      <c r="BD288" s="19"/>
    </row>
    <row r="289" spans="1:56">
      <c r="A289" s="13"/>
      <c r="B289" s="11"/>
      <c r="C289" s="12"/>
      <c r="D289" s="12">
        <f t="shared" si="48"/>
        <v>2.0833299999999999E-2</v>
      </c>
      <c r="E289" s="10"/>
      <c r="F289" s="10" t="str">
        <f>IFERROR(VLOOKUP(E289,Data!A$2:B$5,2,TRUE), "")</f>
        <v/>
      </c>
      <c r="G289" s="3"/>
      <c r="H289" s="13" t="str">
        <f>IFERROR(VLOOKUP(A289,Customer_Data!$A$1:$P$114,8,TRUE),"")</f>
        <v/>
      </c>
      <c r="I289" s="13"/>
      <c r="J289" s="3" t="str">
        <f t="shared" si="54"/>
        <v/>
      </c>
      <c r="K289" s="62" t="e">
        <f>(VLOOKUP($J289,Herbicide_Data!$A$1:$L$61,9,TRUE))</f>
        <v>#N/A</v>
      </c>
      <c r="L289" s="62" t="e">
        <f>VLOOKUP($J289,Herbicide_Data!$A$1:$L$61,12,TRUE)</f>
        <v>#N/A</v>
      </c>
      <c r="M289" s="16" t="e">
        <f t="shared" si="49"/>
        <v>#N/A</v>
      </c>
      <c r="N289" s="62" t="str">
        <f t="shared" si="55"/>
        <v/>
      </c>
      <c r="O289" s="63" t="e">
        <f>VLOOKUP($N289,Herbicide_Data!$A$1:$L$61,9)</f>
        <v>#N/A</v>
      </c>
      <c r="P289" s="62" t="e">
        <f>VLOOKUP($N289,Herbicide_Data!$A$1:$P$61,13)</f>
        <v>#N/A</v>
      </c>
      <c r="Q289" s="16" t="e">
        <f t="shared" si="50"/>
        <v>#N/A</v>
      </c>
      <c r="R289" s="62" t="str">
        <f t="shared" si="56"/>
        <v/>
      </c>
      <c r="S289" s="63" t="e">
        <f>VLOOKUP($R289,Herbicide_Data!$A$1:$L$61,9)</f>
        <v>#N/A</v>
      </c>
      <c r="T289" s="62" t="e">
        <f>VLOOKUP($R289,Herbicide_Data!$A$1:$Q$61,13)</f>
        <v>#N/A</v>
      </c>
      <c r="U289" s="16" t="e">
        <f t="shared" si="51"/>
        <v>#N/A</v>
      </c>
      <c r="V289" s="62" t="b">
        <f t="shared" si="57"/>
        <v>0</v>
      </c>
      <c r="W289" s="63" t="e">
        <f>VLOOKUP($V289,Herbicide_Data!$A$1:$L$17,9)</f>
        <v>#N/A</v>
      </c>
      <c r="X289" s="62" t="e">
        <f>VLOOKUP($V289,Herbicide_Data!$A$1:$L$17,12)</f>
        <v>#N/A</v>
      </c>
      <c r="Y289" s="16" t="e">
        <f t="shared" si="52"/>
        <v>#N/A</v>
      </c>
      <c r="Z289" s="15"/>
      <c r="AA289" s="13"/>
      <c r="AB289" s="17"/>
      <c r="AC289" s="3"/>
      <c r="AD289" s="10"/>
      <c r="AE289" s="3"/>
      <c r="AF289" s="10"/>
      <c r="AG289" s="15"/>
      <c r="AH289" s="62" t="str">
        <f t="shared" si="58"/>
        <v/>
      </c>
      <c r="AI289" s="62" t="e">
        <f>VLOOKUP($AH289,Herbicide_Data!$A$1:$Q$61,13)</f>
        <v>#N/A</v>
      </c>
      <c r="AJ289" s="16" t="e">
        <f t="shared" si="53"/>
        <v>#N/A</v>
      </c>
      <c r="AK289" s="3"/>
      <c r="AL289" s="3"/>
      <c r="AM289" s="3"/>
      <c r="AN289" s="3"/>
      <c r="AO289" s="3"/>
      <c r="AP289" s="3"/>
      <c r="AQ289" s="18"/>
      <c r="AR289" s="19"/>
      <c r="AS289" s="19"/>
      <c r="AT289" s="20"/>
      <c r="AU289" s="20"/>
      <c r="AV289" s="21"/>
      <c r="AW289" s="22"/>
      <c r="AX289" s="19"/>
      <c r="AY289" s="19"/>
      <c r="AZ289" s="19"/>
      <c r="BA289" s="23"/>
      <c r="BB289" s="19"/>
      <c r="BC289" s="19"/>
      <c r="BD289" s="19"/>
    </row>
    <row r="290" spans="1:56">
      <c r="A290" s="13"/>
      <c r="B290" s="11"/>
      <c r="C290" s="12"/>
      <c r="D290" s="12">
        <f t="shared" si="48"/>
        <v>2.0833299999999999E-2</v>
      </c>
      <c r="E290" s="10"/>
      <c r="F290" s="10" t="str">
        <f>IFERROR(VLOOKUP(E290,Data!A$2:B$5,2,TRUE), "")</f>
        <v/>
      </c>
      <c r="G290" s="3"/>
      <c r="H290" s="13" t="str">
        <f>IFERROR(VLOOKUP(A290,Customer_Data!$A$1:$P$114,8,TRUE),"")</f>
        <v/>
      </c>
      <c r="I290" s="13"/>
      <c r="J290" s="3" t="str">
        <f t="shared" si="54"/>
        <v/>
      </c>
      <c r="K290" s="62" t="e">
        <f>(VLOOKUP($J290,Herbicide_Data!$A$1:$L$61,9,TRUE))</f>
        <v>#N/A</v>
      </c>
      <c r="L290" s="62" t="e">
        <f>VLOOKUP($J290,Herbicide_Data!$A$1:$L$61,12,TRUE)</f>
        <v>#N/A</v>
      </c>
      <c r="M290" s="16" t="e">
        <f t="shared" si="49"/>
        <v>#N/A</v>
      </c>
      <c r="N290" s="62" t="str">
        <f t="shared" si="55"/>
        <v/>
      </c>
      <c r="O290" s="63" t="e">
        <f>VLOOKUP($N290,Herbicide_Data!$A$1:$L$61,9)</f>
        <v>#N/A</v>
      </c>
      <c r="P290" s="62" t="e">
        <f>VLOOKUP($N290,Herbicide_Data!$A$1:$P$61,13)</f>
        <v>#N/A</v>
      </c>
      <c r="Q290" s="16" t="e">
        <f t="shared" si="50"/>
        <v>#N/A</v>
      </c>
      <c r="R290" s="62" t="str">
        <f t="shared" si="56"/>
        <v/>
      </c>
      <c r="S290" s="63" t="e">
        <f>VLOOKUP($R290,Herbicide_Data!$A$1:$L$61,9)</f>
        <v>#N/A</v>
      </c>
      <c r="T290" s="62" t="e">
        <f>VLOOKUP($R290,Herbicide_Data!$A$1:$Q$61,13)</f>
        <v>#N/A</v>
      </c>
      <c r="U290" s="16" t="e">
        <f t="shared" si="51"/>
        <v>#N/A</v>
      </c>
      <c r="V290" s="62" t="b">
        <f t="shared" si="57"/>
        <v>0</v>
      </c>
      <c r="W290" s="63" t="e">
        <f>VLOOKUP($V290,Herbicide_Data!$A$1:$L$17,9)</f>
        <v>#N/A</v>
      </c>
      <c r="X290" s="62" t="e">
        <f>VLOOKUP($V290,Herbicide_Data!$A$1:$L$17,12)</f>
        <v>#N/A</v>
      </c>
      <c r="Y290" s="16" t="e">
        <f t="shared" si="52"/>
        <v>#N/A</v>
      </c>
      <c r="Z290" s="15"/>
      <c r="AA290" s="13"/>
      <c r="AB290" s="17"/>
      <c r="AC290" s="3"/>
      <c r="AD290" s="10"/>
      <c r="AE290" s="3"/>
      <c r="AF290" s="10"/>
      <c r="AG290" s="15"/>
      <c r="AH290" s="62" t="str">
        <f t="shared" si="58"/>
        <v/>
      </c>
      <c r="AI290" s="62" t="e">
        <f>VLOOKUP($AH290,Herbicide_Data!$A$1:$Q$61,13)</f>
        <v>#N/A</v>
      </c>
      <c r="AJ290" s="16" t="e">
        <f t="shared" si="53"/>
        <v>#N/A</v>
      </c>
      <c r="AK290" s="3"/>
      <c r="AL290" s="3"/>
      <c r="AM290" s="3"/>
      <c r="AN290" s="3"/>
      <c r="AO290" s="3"/>
      <c r="AP290" s="3"/>
      <c r="AQ290" s="18"/>
      <c r="AR290" s="19"/>
      <c r="AS290" s="19"/>
      <c r="AT290" s="20"/>
      <c r="AU290" s="20"/>
      <c r="AV290" s="21"/>
      <c r="AW290" s="22"/>
      <c r="AX290" s="19"/>
      <c r="AY290" s="19"/>
      <c r="AZ290" s="19"/>
      <c r="BA290" s="23"/>
      <c r="BB290" s="19"/>
      <c r="BC290" s="19"/>
      <c r="BD290" s="19"/>
    </row>
    <row r="291" spans="1:56">
      <c r="A291" s="13"/>
      <c r="B291" s="11"/>
      <c r="C291" s="12"/>
      <c r="D291" s="12">
        <f t="shared" si="48"/>
        <v>2.0833299999999999E-2</v>
      </c>
      <c r="E291" s="10"/>
      <c r="F291" s="10" t="str">
        <f>IFERROR(VLOOKUP(E291,Data!A$2:B$5,2,TRUE), "")</f>
        <v/>
      </c>
      <c r="G291" s="3"/>
      <c r="H291" s="13" t="str">
        <f>IFERROR(VLOOKUP(A291,Customer_Data!$A$1:$P$114,8,TRUE),"")</f>
        <v/>
      </c>
      <c r="I291" s="13"/>
      <c r="J291" s="3" t="str">
        <f t="shared" si="54"/>
        <v/>
      </c>
      <c r="K291" s="62" t="e">
        <f>(VLOOKUP($J291,Herbicide_Data!$A$1:$L$61,9,TRUE))</f>
        <v>#N/A</v>
      </c>
      <c r="L291" s="62" t="e">
        <f>VLOOKUP($J291,Herbicide_Data!$A$1:$L$61,12,TRUE)</f>
        <v>#N/A</v>
      </c>
      <c r="M291" s="16" t="e">
        <f t="shared" si="49"/>
        <v>#N/A</v>
      </c>
      <c r="N291" s="62" t="str">
        <f t="shared" si="55"/>
        <v/>
      </c>
      <c r="O291" s="63" t="e">
        <f>VLOOKUP($N291,Herbicide_Data!$A$1:$L$61,9)</f>
        <v>#N/A</v>
      </c>
      <c r="P291" s="62" t="e">
        <f>VLOOKUP($N291,Herbicide_Data!$A$1:$P$61,13)</f>
        <v>#N/A</v>
      </c>
      <c r="Q291" s="16" t="e">
        <f t="shared" si="50"/>
        <v>#N/A</v>
      </c>
      <c r="R291" s="62" t="str">
        <f t="shared" si="56"/>
        <v/>
      </c>
      <c r="S291" s="63" t="e">
        <f>VLOOKUP($R291,Herbicide_Data!$A$1:$L$61,9)</f>
        <v>#N/A</v>
      </c>
      <c r="T291" s="62" t="e">
        <f>VLOOKUP($R291,Herbicide_Data!$A$1:$Q$61,13)</f>
        <v>#N/A</v>
      </c>
      <c r="U291" s="16" t="e">
        <f t="shared" si="51"/>
        <v>#N/A</v>
      </c>
      <c r="V291" s="62" t="b">
        <f t="shared" si="57"/>
        <v>0</v>
      </c>
      <c r="W291" s="63" t="e">
        <f>VLOOKUP($V291,Herbicide_Data!$A$1:$L$17,9)</f>
        <v>#N/A</v>
      </c>
      <c r="X291" s="62" t="e">
        <f>VLOOKUP($V291,Herbicide_Data!$A$1:$L$17,12)</f>
        <v>#N/A</v>
      </c>
      <c r="Y291" s="16" t="e">
        <f t="shared" si="52"/>
        <v>#N/A</v>
      </c>
      <c r="Z291" s="15"/>
      <c r="AA291" s="13"/>
      <c r="AB291" s="17"/>
      <c r="AC291" s="3"/>
      <c r="AD291" s="10"/>
      <c r="AE291" s="3"/>
      <c r="AF291" s="10"/>
      <c r="AG291" s="15"/>
      <c r="AH291" s="62" t="str">
        <f t="shared" si="58"/>
        <v/>
      </c>
      <c r="AI291" s="62" t="e">
        <f>VLOOKUP($AH291,Herbicide_Data!$A$1:$Q$61,13)</f>
        <v>#N/A</v>
      </c>
      <c r="AJ291" s="16" t="e">
        <f t="shared" si="53"/>
        <v>#N/A</v>
      </c>
      <c r="AK291" s="3"/>
      <c r="AL291" s="3"/>
      <c r="AM291" s="3"/>
      <c r="AN291" s="3"/>
      <c r="AO291" s="3"/>
      <c r="AP291" s="3"/>
      <c r="AQ291" s="18"/>
      <c r="AR291" s="19"/>
      <c r="AS291" s="19"/>
      <c r="AT291" s="20"/>
      <c r="AU291" s="20"/>
      <c r="AV291" s="21"/>
      <c r="AW291" s="22"/>
      <c r="AX291" s="19"/>
      <c r="AY291" s="19"/>
      <c r="AZ291" s="19"/>
      <c r="BA291" s="23"/>
      <c r="BB291" s="19"/>
      <c r="BC291" s="19"/>
      <c r="BD291" s="19"/>
    </row>
    <row r="292" spans="1:56">
      <c r="A292" s="13"/>
      <c r="B292" s="11"/>
      <c r="C292" s="12"/>
      <c r="D292" s="12">
        <f t="shared" si="48"/>
        <v>2.0833299999999999E-2</v>
      </c>
      <c r="E292" s="10"/>
      <c r="F292" s="10" t="str">
        <f>IFERROR(VLOOKUP(E292,Data!A$2:B$5,2,TRUE), "")</f>
        <v/>
      </c>
      <c r="G292" s="3"/>
      <c r="H292" s="13" t="str">
        <f>IFERROR(VLOOKUP(A292,Customer_Data!$A$1:$P$114,8,TRUE),"")</f>
        <v/>
      </c>
      <c r="I292" s="13"/>
      <c r="J292" s="3" t="str">
        <f t="shared" si="54"/>
        <v/>
      </c>
      <c r="K292" s="62" t="e">
        <f>(VLOOKUP($J292,Herbicide_Data!$A$1:$L$61,9,TRUE))</f>
        <v>#N/A</v>
      </c>
      <c r="L292" s="62" t="e">
        <f>VLOOKUP($J292,Herbicide_Data!$A$1:$L$61,12,TRUE)</f>
        <v>#N/A</v>
      </c>
      <c r="M292" s="16" t="e">
        <f t="shared" si="49"/>
        <v>#N/A</v>
      </c>
      <c r="N292" s="62" t="str">
        <f t="shared" si="55"/>
        <v/>
      </c>
      <c r="O292" s="63" t="e">
        <f>VLOOKUP($N292,Herbicide_Data!$A$1:$L$61,9)</f>
        <v>#N/A</v>
      </c>
      <c r="P292" s="62" t="e">
        <f>VLOOKUP($N292,Herbicide_Data!$A$1:$P$61,13)</f>
        <v>#N/A</v>
      </c>
      <c r="Q292" s="16" t="e">
        <f t="shared" si="50"/>
        <v>#N/A</v>
      </c>
      <c r="R292" s="62" t="str">
        <f t="shared" si="56"/>
        <v/>
      </c>
      <c r="S292" s="63" t="e">
        <f>VLOOKUP($R292,Herbicide_Data!$A$1:$L$61,9)</f>
        <v>#N/A</v>
      </c>
      <c r="T292" s="62" t="e">
        <f>VLOOKUP($R292,Herbicide_Data!$A$1:$Q$61,13)</f>
        <v>#N/A</v>
      </c>
      <c r="U292" s="16" t="e">
        <f t="shared" si="51"/>
        <v>#N/A</v>
      </c>
      <c r="V292" s="62" t="b">
        <f t="shared" si="57"/>
        <v>0</v>
      </c>
      <c r="W292" s="63" t="e">
        <f>VLOOKUP($V292,Herbicide_Data!$A$1:$L$17,9)</f>
        <v>#N/A</v>
      </c>
      <c r="X292" s="62" t="e">
        <f>VLOOKUP($V292,Herbicide_Data!$A$1:$L$17,12)</f>
        <v>#N/A</v>
      </c>
      <c r="Y292" s="16" t="e">
        <f t="shared" si="52"/>
        <v>#N/A</v>
      </c>
      <c r="Z292" s="15"/>
      <c r="AA292" s="13"/>
      <c r="AB292" s="17"/>
      <c r="AC292" s="3"/>
      <c r="AD292" s="10"/>
      <c r="AE292" s="3"/>
      <c r="AF292" s="10"/>
      <c r="AG292" s="15"/>
      <c r="AH292" s="62" t="str">
        <f t="shared" si="58"/>
        <v/>
      </c>
      <c r="AI292" s="62" t="e">
        <f>VLOOKUP($AH292,Herbicide_Data!$A$1:$Q$61,13)</f>
        <v>#N/A</v>
      </c>
      <c r="AJ292" s="16" t="e">
        <f t="shared" si="53"/>
        <v>#N/A</v>
      </c>
      <c r="AK292" s="3"/>
      <c r="AL292" s="3"/>
      <c r="AM292" s="3"/>
      <c r="AN292" s="3"/>
      <c r="AO292" s="3"/>
      <c r="AP292" s="3"/>
      <c r="AQ292" s="18"/>
      <c r="AR292" s="19"/>
      <c r="AS292" s="19"/>
      <c r="AT292" s="20"/>
      <c r="AU292" s="20"/>
      <c r="AV292" s="21"/>
      <c r="AW292" s="22"/>
      <c r="AX292" s="19"/>
      <c r="AY292" s="19"/>
      <c r="AZ292" s="19"/>
      <c r="BA292" s="23"/>
      <c r="BB292" s="19"/>
      <c r="BC292" s="19"/>
      <c r="BD292" s="19"/>
    </row>
    <row r="293" spans="1:56">
      <c r="A293" s="13"/>
      <c r="B293" s="11"/>
      <c r="C293" s="12"/>
      <c r="D293" s="12">
        <f t="shared" si="48"/>
        <v>2.0833299999999999E-2</v>
      </c>
      <c r="E293" s="10"/>
      <c r="F293" s="10" t="str">
        <f>IFERROR(VLOOKUP(E293,Data!A$2:B$5,2,TRUE), "")</f>
        <v/>
      </c>
      <c r="G293" s="3"/>
      <c r="H293" s="13" t="str">
        <f>IFERROR(VLOOKUP(A293,Customer_Data!$A$1:$P$114,8,TRUE),"")</f>
        <v/>
      </c>
      <c r="I293" s="13"/>
      <c r="J293" s="3" t="str">
        <f t="shared" si="54"/>
        <v/>
      </c>
      <c r="K293" s="62" t="e">
        <f>(VLOOKUP($J293,Herbicide_Data!$A$1:$L$61,9,TRUE))</f>
        <v>#N/A</v>
      </c>
      <c r="L293" s="62" t="e">
        <f>VLOOKUP($J293,Herbicide_Data!$A$1:$L$61,12,TRUE)</f>
        <v>#N/A</v>
      </c>
      <c r="M293" s="16" t="e">
        <f t="shared" si="49"/>
        <v>#N/A</v>
      </c>
      <c r="N293" s="62" t="str">
        <f t="shared" si="55"/>
        <v/>
      </c>
      <c r="O293" s="63" t="e">
        <f>VLOOKUP($N293,Herbicide_Data!$A$1:$L$61,9)</f>
        <v>#N/A</v>
      </c>
      <c r="P293" s="62" t="e">
        <f>VLOOKUP($N293,Herbicide_Data!$A$1:$P$61,13)</f>
        <v>#N/A</v>
      </c>
      <c r="Q293" s="16" t="e">
        <f t="shared" si="50"/>
        <v>#N/A</v>
      </c>
      <c r="R293" s="62" t="str">
        <f t="shared" si="56"/>
        <v/>
      </c>
      <c r="S293" s="63" t="e">
        <f>VLOOKUP($R293,Herbicide_Data!$A$1:$L$61,9)</f>
        <v>#N/A</v>
      </c>
      <c r="T293" s="62" t="e">
        <f>VLOOKUP($R293,Herbicide_Data!$A$1:$Q$61,13)</f>
        <v>#N/A</v>
      </c>
      <c r="U293" s="16" t="e">
        <f t="shared" si="51"/>
        <v>#N/A</v>
      </c>
      <c r="V293" s="62" t="b">
        <f t="shared" si="57"/>
        <v>0</v>
      </c>
      <c r="W293" s="63" t="e">
        <f>VLOOKUP($V293,Herbicide_Data!$A$1:$L$17,9)</f>
        <v>#N/A</v>
      </c>
      <c r="X293" s="62" t="e">
        <f>VLOOKUP($V293,Herbicide_Data!$A$1:$L$17,12)</f>
        <v>#N/A</v>
      </c>
      <c r="Y293" s="16" t="e">
        <f t="shared" si="52"/>
        <v>#N/A</v>
      </c>
      <c r="Z293" s="15"/>
      <c r="AA293" s="13"/>
      <c r="AB293" s="17"/>
      <c r="AC293" s="3"/>
      <c r="AD293" s="10"/>
      <c r="AE293" s="3"/>
      <c r="AF293" s="10"/>
      <c r="AG293" s="15"/>
      <c r="AH293" s="62" t="str">
        <f t="shared" si="58"/>
        <v/>
      </c>
      <c r="AI293" s="62" t="e">
        <f>VLOOKUP($AH293,Herbicide_Data!$A$1:$Q$61,13)</f>
        <v>#N/A</v>
      </c>
      <c r="AJ293" s="16" t="e">
        <f t="shared" si="53"/>
        <v>#N/A</v>
      </c>
      <c r="AK293" s="3"/>
      <c r="AL293" s="3"/>
      <c r="AM293" s="3"/>
      <c r="AN293" s="3"/>
      <c r="AO293" s="3"/>
      <c r="AP293" s="3"/>
      <c r="AQ293" s="18"/>
      <c r="AR293" s="19"/>
      <c r="AS293" s="19"/>
      <c r="AT293" s="20"/>
      <c r="AU293" s="20"/>
      <c r="AV293" s="21"/>
      <c r="AW293" s="22"/>
      <c r="AX293" s="19"/>
      <c r="AY293" s="19"/>
      <c r="AZ293" s="19"/>
      <c r="BA293" s="23"/>
      <c r="BB293" s="19"/>
      <c r="BC293" s="19"/>
      <c r="BD293" s="19"/>
    </row>
    <row r="294" spans="1:56">
      <c r="A294" s="13"/>
      <c r="B294" s="11"/>
      <c r="C294" s="12"/>
      <c r="D294" s="12">
        <f t="shared" si="48"/>
        <v>2.0833299999999999E-2</v>
      </c>
      <c r="E294" s="10"/>
      <c r="F294" s="10" t="str">
        <f>IFERROR(VLOOKUP(E294,Data!A$2:B$5,2,TRUE), "")</f>
        <v/>
      </c>
      <c r="G294" s="3"/>
      <c r="H294" s="13" t="str">
        <f>IFERROR(VLOOKUP(A294,Customer_Data!$A$1:$P$114,8,TRUE),"")</f>
        <v/>
      </c>
      <c r="I294" s="13"/>
      <c r="J294" s="3" t="str">
        <f t="shared" si="54"/>
        <v/>
      </c>
      <c r="K294" s="62" t="e">
        <f>(VLOOKUP($J294,Herbicide_Data!$A$1:$L$61,9,TRUE))</f>
        <v>#N/A</v>
      </c>
      <c r="L294" s="62" t="e">
        <f>VLOOKUP($J294,Herbicide_Data!$A$1:$L$61,12,TRUE)</f>
        <v>#N/A</v>
      </c>
      <c r="M294" s="16" t="e">
        <f t="shared" si="49"/>
        <v>#N/A</v>
      </c>
      <c r="N294" s="62" t="str">
        <f t="shared" si="55"/>
        <v/>
      </c>
      <c r="O294" s="63" t="e">
        <f>VLOOKUP($N294,Herbicide_Data!$A$1:$L$61,9)</f>
        <v>#N/A</v>
      </c>
      <c r="P294" s="62" t="e">
        <f>VLOOKUP($N294,Herbicide_Data!$A$1:$P$61,13)</f>
        <v>#N/A</v>
      </c>
      <c r="Q294" s="16" t="e">
        <f t="shared" si="50"/>
        <v>#N/A</v>
      </c>
      <c r="R294" s="62" t="str">
        <f t="shared" si="56"/>
        <v/>
      </c>
      <c r="S294" s="63" t="e">
        <f>VLOOKUP($R294,Herbicide_Data!$A$1:$L$61,9)</f>
        <v>#N/A</v>
      </c>
      <c r="T294" s="62" t="e">
        <f>VLOOKUP($R294,Herbicide_Data!$A$1:$Q$61,13)</f>
        <v>#N/A</v>
      </c>
      <c r="U294" s="16" t="e">
        <f t="shared" si="51"/>
        <v>#N/A</v>
      </c>
      <c r="V294" s="62" t="b">
        <f t="shared" si="57"/>
        <v>0</v>
      </c>
      <c r="W294" s="63" t="e">
        <f>VLOOKUP($V294,Herbicide_Data!$A$1:$L$17,9)</f>
        <v>#N/A</v>
      </c>
      <c r="X294" s="62" t="e">
        <f>VLOOKUP($V294,Herbicide_Data!$A$1:$L$17,12)</f>
        <v>#N/A</v>
      </c>
      <c r="Y294" s="16" t="e">
        <f t="shared" si="52"/>
        <v>#N/A</v>
      </c>
      <c r="Z294" s="15"/>
      <c r="AA294" s="13"/>
      <c r="AB294" s="17"/>
      <c r="AC294" s="3"/>
      <c r="AD294" s="10"/>
      <c r="AE294" s="3"/>
      <c r="AF294" s="10"/>
      <c r="AG294" s="15"/>
      <c r="AH294" s="62" t="str">
        <f t="shared" si="58"/>
        <v/>
      </c>
      <c r="AI294" s="62" t="e">
        <f>VLOOKUP($AH294,Herbicide_Data!$A$1:$Q$61,13)</f>
        <v>#N/A</v>
      </c>
      <c r="AJ294" s="16" t="e">
        <f t="shared" si="53"/>
        <v>#N/A</v>
      </c>
      <c r="AK294" s="3"/>
      <c r="AL294" s="3"/>
      <c r="AM294" s="3"/>
      <c r="AN294" s="3"/>
      <c r="AO294" s="3"/>
      <c r="AP294" s="3"/>
      <c r="AQ294" s="18"/>
      <c r="AR294" s="19"/>
      <c r="AS294" s="19"/>
      <c r="AT294" s="20"/>
      <c r="AU294" s="20"/>
      <c r="AV294" s="21"/>
      <c r="AW294" s="22"/>
      <c r="AX294" s="19"/>
      <c r="AY294" s="19"/>
      <c r="AZ294" s="19"/>
      <c r="BA294" s="23"/>
      <c r="BB294" s="19"/>
      <c r="BC294" s="19"/>
      <c r="BD294" s="19"/>
    </row>
    <row r="295" spans="1:56">
      <c r="A295" s="13"/>
      <c r="B295" s="11"/>
      <c r="C295" s="12"/>
      <c r="D295" s="12">
        <f t="shared" si="48"/>
        <v>2.0833299999999999E-2</v>
      </c>
      <c r="E295" s="10"/>
      <c r="F295" s="10" t="str">
        <f>IFERROR(VLOOKUP(E295,Data!A$2:B$5,2,TRUE), "")</f>
        <v/>
      </c>
      <c r="G295" s="3"/>
      <c r="H295" s="13" t="str">
        <f>IFERROR(VLOOKUP(A295,Customer_Data!$A$1:$P$114,8,TRUE),"")</f>
        <v/>
      </c>
      <c r="I295" s="13"/>
      <c r="J295" s="3" t="str">
        <f t="shared" si="54"/>
        <v/>
      </c>
      <c r="K295" s="62" t="e">
        <f>(VLOOKUP($J295,Herbicide_Data!$A$1:$L$61,9,TRUE))</f>
        <v>#N/A</v>
      </c>
      <c r="L295" s="62" t="e">
        <f>VLOOKUP($J295,Herbicide_Data!$A$1:$L$61,12,TRUE)</f>
        <v>#N/A</v>
      </c>
      <c r="M295" s="16" t="e">
        <f t="shared" si="49"/>
        <v>#N/A</v>
      </c>
      <c r="N295" s="62" t="str">
        <f t="shared" si="55"/>
        <v/>
      </c>
      <c r="O295" s="63" t="e">
        <f>VLOOKUP($N295,Herbicide_Data!$A$1:$L$61,9)</f>
        <v>#N/A</v>
      </c>
      <c r="P295" s="62" t="e">
        <f>VLOOKUP($N295,Herbicide_Data!$A$1:$P$61,13)</f>
        <v>#N/A</v>
      </c>
      <c r="Q295" s="16" t="e">
        <f t="shared" si="50"/>
        <v>#N/A</v>
      </c>
      <c r="R295" s="62" t="str">
        <f t="shared" si="56"/>
        <v/>
      </c>
      <c r="S295" s="63" t="e">
        <f>VLOOKUP($R295,Herbicide_Data!$A$1:$L$61,9)</f>
        <v>#N/A</v>
      </c>
      <c r="T295" s="62" t="e">
        <f>VLOOKUP($R295,Herbicide_Data!$A$1:$Q$61,13)</f>
        <v>#N/A</v>
      </c>
      <c r="U295" s="16" t="e">
        <f t="shared" si="51"/>
        <v>#N/A</v>
      </c>
      <c r="V295" s="62" t="b">
        <f t="shared" si="57"/>
        <v>0</v>
      </c>
      <c r="W295" s="63" t="e">
        <f>VLOOKUP($V295,Herbicide_Data!$A$1:$L$17,9)</f>
        <v>#N/A</v>
      </c>
      <c r="X295" s="62" t="e">
        <f>VLOOKUP($V295,Herbicide_Data!$A$1:$L$17,12)</f>
        <v>#N/A</v>
      </c>
      <c r="Y295" s="16" t="e">
        <f t="shared" si="52"/>
        <v>#N/A</v>
      </c>
      <c r="Z295" s="15"/>
      <c r="AA295" s="13"/>
      <c r="AB295" s="17"/>
      <c r="AC295" s="3"/>
      <c r="AD295" s="10"/>
      <c r="AE295" s="3"/>
      <c r="AF295" s="10"/>
      <c r="AG295" s="15"/>
      <c r="AH295" s="62" t="str">
        <f t="shared" si="58"/>
        <v/>
      </c>
      <c r="AI295" s="62" t="e">
        <f>VLOOKUP($AH295,Herbicide_Data!$A$1:$Q$61,13)</f>
        <v>#N/A</v>
      </c>
      <c r="AJ295" s="16" t="e">
        <f t="shared" si="53"/>
        <v>#N/A</v>
      </c>
      <c r="AK295" s="3"/>
      <c r="AL295" s="3"/>
      <c r="AM295" s="3"/>
      <c r="AN295" s="3"/>
      <c r="AO295" s="3"/>
      <c r="AP295" s="3"/>
      <c r="AQ295" s="18"/>
      <c r="AR295" s="19"/>
      <c r="AS295" s="19"/>
      <c r="AT295" s="20"/>
      <c r="AU295" s="20"/>
      <c r="AV295" s="21"/>
      <c r="AW295" s="22"/>
      <c r="AX295" s="19"/>
      <c r="AY295" s="19"/>
      <c r="AZ295" s="19"/>
      <c r="BA295" s="23"/>
      <c r="BB295" s="19"/>
      <c r="BC295" s="19"/>
      <c r="BD295" s="19"/>
    </row>
    <row r="296" spans="1:56">
      <c r="A296" s="13"/>
      <c r="B296" s="11"/>
      <c r="C296" s="12"/>
      <c r="D296" s="12">
        <f t="shared" si="48"/>
        <v>2.0833299999999999E-2</v>
      </c>
      <c r="E296" s="10"/>
      <c r="F296" s="10" t="str">
        <f>IFERROR(VLOOKUP(E296,Data!A$2:B$5,2,TRUE), "")</f>
        <v/>
      </c>
      <c r="G296" s="3"/>
      <c r="H296" s="13" t="str">
        <f>IFERROR(VLOOKUP(A296,Customer_Data!$A$1:$P$114,8,TRUE),"")</f>
        <v/>
      </c>
      <c r="I296" s="13"/>
      <c r="J296" s="3" t="str">
        <f t="shared" si="54"/>
        <v/>
      </c>
      <c r="K296" s="62" t="e">
        <f>(VLOOKUP($J296,Herbicide_Data!$A$1:$L$61,9,TRUE))</f>
        <v>#N/A</v>
      </c>
      <c r="L296" s="62" t="e">
        <f>VLOOKUP($J296,Herbicide_Data!$A$1:$L$61,12,TRUE)</f>
        <v>#N/A</v>
      </c>
      <c r="M296" s="16" t="e">
        <f t="shared" si="49"/>
        <v>#N/A</v>
      </c>
      <c r="N296" s="62" t="str">
        <f t="shared" si="55"/>
        <v/>
      </c>
      <c r="O296" s="63" t="e">
        <f>VLOOKUP($N296,Herbicide_Data!$A$1:$L$61,9)</f>
        <v>#N/A</v>
      </c>
      <c r="P296" s="62" t="e">
        <f>VLOOKUP($N296,Herbicide_Data!$A$1:$P$61,13)</f>
        <v>#N/A</v>
      </c>
      <c r="Q296" s="16" t="e">
        <f t="shared" si="50"/>
        <v>#N/A</v>
      </c>
      <c r="R296" s="62" t="str">
        <f t="shared" si="56"/>
        <v/>
      </c>
      <c r="S296" s="63" t="e">
        <f>VLOOKUP($R296,Herbicide_Data!$A$1:$L$61,9)</f>
        <v>#N/A</v>
      </c>
      <c r="T296" s="62" t="e">
        <f>VLOOKUP($R296,Herbicide_Data!$A$1:$Q$61,13)</f>
        <v>#N/A</v>
      </c>
      <c r="U296" s="16" t="e">
        <f t="shared" si="51"/>
        <v>#N/A</v>
      </c>
      <c r="V296" s="62" t="b">
        <f t="shared" si="57"/>
        <v>0</v>
      </c>
      <c r="W296" s="63" t="e">
        <f>VLOOKUP($V296,Herbicide_Data!$A$1:$L$17,9)</f>
        <v>#N/A</v>
      </c>
      <c r="X296" s="62" t="e">
        <f>VLOOKUP($V296,Herbicide_Data!$A$1:$L$17,12)</f>
        <v>#N/A</v>
      </c>
      <c r="Y296" s="16" t="e">
        <f t="shared" si="52"/>
        <v>#N/A</v>
      </c>
      <c r="Z296" s="15"/>
      <c r="AA296" s="13"/>
      <c r="AB296" s="17"/>
      <c r="AC296" s="3"/>
      <c r="AD296" s="10"/>
      <c r="AE296" s="3"/>
      <c r="AF296" s="10"/>
      <c r="AG296" s="15"/>
      <c r="AH296" s="62" t="str">
        <f t="shared" si="58"/>
        <v/>
      </c>
      <c r="AI296" s="62" t="e">
        <f>VLOOKUP($AH296,Herbicide_Data!$A$1:$Q$61,13)</f>
        <v>#N/A</v>
      </c>
      <c r="AJ296" s="16" t="e">
        <f t="shared" si="53"/>
        <v>#N/A</v>
      </c>
      <c r="AK296" s="3"/>
      <c r="AL296" s="3"/>
      <c r="AM296" s="3"/>
      <c r="AN296" s="3"/>
      <c r="AO296" s="3"/>
      <c r="AP296" s="3"/>
      <c r="AQ296" s="18"/>
      <c r="AR296" s="19"/>
      <c r="AS296" s="19"/>
      <c r="AT296" s="20"/>
      <c r="AU296" s="20"/>
      <c r="AV296" s="21"/>
      <c r="AW296" s="22"/>
      <c r="AX296" s="19"/>
      <c r="AY296" s="19"/>
      <c r="AZ296" s="19"/>
      <c r="BA296" s="23"/>
      <c r="BB296" s="19"/>
      <c r="BC296" s="19"/>
      <c r="BD296" s="19"/>
    </row>
    <row r="297" spans="1:56">
      <c r="A297" s="13"/>
      <c r="B297" s="11"/>
      <c r="C297" s="12"/>
      <c r="D297" s="12">
        <f t="shared" si="48"/>
        <v>2.0833299999999999E-2</v>
      </c>
      <c r="E297" s="10"/>
      <c r="F297" s="10" t="str">
        <f>IFERROR(VLOOKUP(E297,Data!A$2:B$5,2,TRUE), "")</f>
        <v/>
      </c>
      <c r="G297" s="3"/>
      <c r="H297" s="13" t="str">
        <f>IFERROR(VLOOKUP(A297,Customer_Data!$A$1:$P$114,8,TRUE),"")</f>
        <v/>
      </c>
      <c r="I297" s="13"/>
      <c r="J297" s="3" t="str">
        <f t="shared" si="54"/>
        <v/>
      </c>
      <c r="K297" s="62" t="e">
        <f>(VLOOKUP($J297,Herbicide_Data!$A$1:$L$61,9,TRUE))</f>
        <v>#N/A</v>
      </c>
      <c r="L297" s="62" t="e">
        <f>VLOOKUP($J297,Herbicide_Data!$A$1:$L$61,12,TRUE)</f>
        <v>#N/A</v>
      </c>
      <c r="M297" s="16" t="e">
        <f t="shared" si="49"/>
        <v>#N/A</v>
      </c>
      <c r="N297" s="62" t="str">
        <f t="shared" si="55"/>
        <v/>
      </c>
      <c r="O297" s="63" t="e">
        <f>VLOOKUP($N297,Herbicide_Data!$A$1:$L$61,9)</f>
        <v>#N/A</v>
      </c>
      <c r="P297" s="62" t="e">
        <f>VLOOKUP($N297,Herbicide_Data!$A$1:$P$61,13)</f>
        <v>#N/A</v>
      </c>
      <c r="Q297" s="16" t="e">
        <f t="shared" si="50"/>
        <v>#N/A</v>
      </c>
      <c r="R297" s="62" t="str">
        <f t="shared" si="56"/>
        <v/>
      </c>
      <c r="S297" s="63" t="e">
        <f>VLOOKUP($R297,Herbicide_Data!$A$1:$L$61,9)</f>
        <v>#N/A</v>
      </c>
      <c r="T297" s="62" t="e">
        <f>VLOOKUP($R297,Herbicide_Data!$A$1:$Q$61,13)</f>
        <v>#N/A</v>
      </c>
      <c r="U297" s="16" t="e">
        <f t="shared" si="51"/>
        <v>#N/A</v>
      </c>
      <c r="V297" s="62" t="b">
        <f t="shared" si="57"/>
        <v>0</v>
      </c>
      <c r="W297" s="63" t="e">
        <f>VLOOKUP($V297,Herbicide_Data!$A$1:$L$17,9)</f>
        <v>#N/A</v>
      </c>
      <c r="X297" s="62" t="e">
        <f>VLOOKUP($V297,Herbicide_Data!$A$1:$L$17,12)</f>
        <v>#N/A</v>
      </c>
      <c r="Y297" s="16" t="e">
        <f t="shared" si="52"/>
        <v>#N/A</v>
      </c>
      <c r="Z297" s="15"/>
      <c r="AA297" s="13"/>
      <c r="AB297" s="17"/>
      <c r="AC297" s="3"/>
      <c r="AD297" s="10"/>
      <c r="AE297" s="3"/>
      <c r="AF297" s="10"/>
      <c r="AG297" s="15"/>
      <c r="AH297" s="62" t="str">
        <f t="shared" si="58"/>
        <v/>
      </c>
      <c r="AI297" s="62" t="e">
        <f>VLOOKUP($AH297,Herbicide_Data!$A$1:$Q$61,13)</f>
        <v>#N/A</v>
      </c>
      <c r="AJ297" s="16" t="e">
        <f t="shared" si="53"/>
        <v>#N/A</v>
      </c>
      <c r="AK297" s="3"/>
      <c r="AL297" s="3"/>
      <c r="AM297" s="3"/>
      <c r="AN297" s="3"/>
      <c r="AO297" s="3"/>
      <c r="AP297" s="3"/>
      <c r="AQ297" s="18"/>
      <c r="AR297" s="19"/>
      <c r="AS297" s="19"/>
      <c r="AT297" s="20"/>
      <c r="AU297" s="20"/>
      <c r="AV297" s="21"/>
      <c r="AW297" s="22"/>
      <c r="AX297" s="19"/>
      <c r="AY297" s="19"/>
      <c r="AZ297" s="19"/>
      <c r="BA297" s="23"/>
      <c r="BB297" s="19"/>
      <c r="BC297" s="19"/>
      <c r="BD297" s="19"/>
    </row>
    <row r="298" spans="1:56">
      <c r="A298" s="13"/>
      <c r="B298" s="11"/>
      <c r="C298" s="12"/>
      <c r="D298" s="12">
        <f t="shared" si="48"/>
        <v>2.0833299999999999E-2</v>
      </c>
      <c r="E298" s="10"/>
      <c r="F298" s="10" t="str">
        <f>IFERROR(VLOOKUP(E298,Data!A$2:B$5,2,TRUE), "")</f>
        <v/>
      </c>
      <c r="G298" s="3"/>
      <c r="H298" s="13" t="str">
        <f>IFERROR(VLOOKUP(A298,Customer_Data!$A$1:$P$114,8,TRUE),"")</f>
        <v/>
      </c>
      <c r="I298" s="13"/>
      <c r="J298" s="3" t="str">
        <f t="shared" si="54"/>
        <v/>
      </c>
      <c r="K298" s="62" t="e">
        <f>(VLOOKUP($J298,Herbicide_Data!$A$1:$L$61,9,TRUE))</f>
        <v>#N/A</v>
      </c>
      <c r="L298" s="62" t="e">
        <f>VLOOKUP($J298,Herbicide_Data!$A$1:$L$61,12,TRUE)</f>
        <v>#N/A</v>
      </c>
      <c r="M298" s="16" t="e">
        <f t="shared" si="49"/>
        <v>#N/A</v>
      </c>
      <c r="N298" s="62" t="str">
        <f t="shared" si="55"/>
        <v/>
      </c>
      <c r="O298" s="63" t="e">
        <f>VLOOKUP($N298,Herbicide_Data!$A$1:$L$61,9)</f>
        <v>#N/A</v>
      </c>
      <c r="P298" s="62" t="e">
        <f>VLOOKUP($N298,Herbicide_Data!$A$1:$P$61,13)</f>
        <v>#N/A</v>
      </c>
      <c r="Q298" s="16" t="e">
        <f t="shared" si="50"/>
        <v>#N/A</v>
      </c>
      <c r="R298" s="62" t="str">
        <f t="shared" si="56"/>
        <v/>
      </c>
      <c r="S298" s="63" t="e">
        <f>VLOOKUP($R298,Herbicide_Data!$A$1:$L$61,9)</f>
        <v>#N/A</v>
      </c>
      <c r="T298" s="62" t="e">
        <f>VLOOKUP($R298,Herbicide_Data!$A$1:$Q$61,13)</f>
        <v>#N/A</v>
      </c>
      <c r="U298" s="16" t="e">
        <f t="shared" si="51"/>
        <v>#N/A</v>
      </c>
      <c r="V298" s="62" t="b">
        <f t="shared" si="57"/>
        <v>0</v>
      </c>
      <c r="W298" s="63" t="e">
        <f>VLOOKUP($V298,Herbicide_Data!$A$1:$L$17,9)</f>
        <v>#N/A</v>
      </c>
      <c r="X298" s="62" t="e">
        <f>VLOOKUP($V298,Herbicide_Data!$A$1:$L$17,12)</f>
        <v>#N/A</v>
      </c>
      <c r="Y298" s="16" t="e">
        <f t="shared" si="52"/>
        <v>#N/A</v>
      </c>
      <c r="Z298" s="15"/>
      <c r="AA298" s="13"/>
      <c r="AB298" s="17"/>
      <c r="AC298" s="3"/>
      <c r="AD298" s="10"/>
      <c r="AE298" s="3"/>
      <c r="AF298" s="10"/>
      <c r="AG298" s="15"/>
      <c r="AH298" s="62" t="str">
        <f t="shared" si="58"/>
        <v/>
      </c>
      <c r="AI298" s="62" t="e">
        <f>VLOOKUP($AH298,Herbicide_Data!$A$1:$Q$61,13)</f>
        <v>#N/A</v>
      </c>
      <c r="AJ298" s="16" t="e">
        <f t="shared" si="53"/>
        <v>#N/A</v>
      </c>
      <c r="AK298" s="3"/>
      <c r="AL298" s="3"/>
      <c r="AM298" s="3"/>
      <c r="AN298" s="3"/>
      <c r="AO298" s="3"/>
      <c r="AP298" s="3"/>
      <c r="AQ298" s="18"/>
      <c r="AR298" s="19"/>
      <c r="AS298" s="19"/>
      <c r="AT298" s="20"/>
      <c r="AU298" s="20"/>
      <c r="AV298" s="21"/>
      <c r="AW298" s="22"/>
      <c r="AX298" s="19"/>
      <c r="AY298" s="19"/>
      <c r="AZ298" s="19"/>
      <c r="BA298" s="23"/>
      <c r="BB298" s="19"/>
      <c r="BC298" s="19"/>
      <c r="BD298" s="19"/>
    </row>
    <row r="299" spans="1:56">
      <c r="A299" s="13"/>
      <c r="B299" s="11"/>
      <c r="C299" s="12"/>
      <c r="D299" s="12">
        <f t="shared" si="48"/>
        <v>2.0833299999999999E-2</v>
      </c>
      <c r="E299" s="10"/>
      <c r="F299" s="10" t="str">
        <f>IFERROR(VLOOKUP(E299,Data!A$2:B$5,2,TRUE), "")</f>
        <v/>
      </c>
      <c r="G299" s="3"/>
      <c r="H299" s="13" t="str">
        <f>IFERROR(VLOOKUP(A299,Customer_Data!$A$1:$P$114,8,TRUE),"")</f>
        <v/>
      </c>
      <c r="I299" s="13"/>
      <c r="J299" s="3" t="str">
        <f t="shared" si="54"/>
        <v/>
      </c>
      <c r="K299" s="62" t="e">
        <f>(VLOOKUP($J299,Herbicide_Data!$A$1:$L$61,9,TRUE))</f>
        <v>#N/A</v>
      </c>
      <c r="L299" s="62" t="e">
        <f>VLOOKUP($J299,Herbicide_Data!$A$1:$L$61,12,TRUE)</f>
        <v>#N/A</v>
      </c>
      <c r="M299" s="16" t="e">
        <f t="shared" si="49"/>
        <v>#N/A</v>
      </c>
      <c r="N299" s="62" t="str">
        <f t="shared" si="55"/>
        <v/>
      </c>
      <c r="O299" s="63" t="e">
        <f>VLOOKUP($N299,Herbicide_Data!$A$1:$L$61,9)</f>
        <v>#N/A</v>
      </c>
      <c r="P299" s="62" t="e">
        <f>VLOOKUP($N299,Herbicide_Data!$A$1:$P$61,13)</f>
        <v>#N/A</v>
      </c>
      <c r="Q299" s="16" t="e">
        <f t="shared" si="50"/>
        <v>#N/A</v>
      </c>
      <c r="R299" s="62" t="str">
        <f t="shared" si="56"/>
        <v/>
      </c>
      <c r="S299" s="63" t="e">
        <f>VLOOKUP($R299,Herbicide_Data!$A$1:$L$61,9)</f>
        <v>#N/A</v>
      </c>
      <c r="T299" s="62" t="e">
        <f>VLOOKUP($R299,Herbicide_Data!$A$1:$Q$61,13)</f>
        <v>#N/A</v>
      </c>
      <c r="U299" s="16" t="e">
        <f t="shared" si="51"/>
        <v>#N/A</v>
      </c>
      <c r="V299" s="62" t="b">
        <f t="shared" si="57"/>
        <v>0</v>
      </c>
      <c r="W299" s="63" t="e">
        <f>VLOOKUP($V299,Herbicide_Data!$A$1:$L$17,9)</f>
        <v>#N/A</v>
      </c>
      <c r="X299" s="62" t="e">
        <f>VLOOKUP($V299,Herbicide_Data!$A$1:$L$17,12)</f>
        <v>#N/A</v>
      </c>
      <c r="Y299" s="16" t="e">
        <f t="shared" si="52"/>
        <v>#N/A</v>
      </c>
      <c r="Z299" s="15"/>
      <c r="AA299" s="13"/>
      <c r="AB299" s="17"/>
      <c r="AC299" s="3"/>
      <c r="AD299" s="10"/>
      <c r="AE299" s="3"/>
      <c r="AF299" s="10"/>
      <c r="AG299" s="15"/>
      <c r="AH299" s="62" t="str">
        <f t="shared" si="58"/>
        <v/>
      </c>
      <c r="AI299" s="62" t="e">
        <f>VLOOKUP($AH299,Herbicide_Data!$A$1:$Q$61,13)</f>
        <v>#N/A</v>
      </c>
      <c r="AJ299" s="16" t="e">
        <f t="shared" si="53"/>
        <v>#N/A</v>
      </c>
      <c r="AK299" s="3"/>
      <c r="AL299" s="3"/>
      <c r="AM299" s="3"/>
      <c r="AN299" s="3"/>
      <c r="AO299" s="3"/>
      <c r="AP299" s="3"/>
      <c r="AQ299" s="18"/>
      <c r="AR299" s="19"/>
      <c r="AS299" s="19"/>
      <c r="AT299" s="20"/>
      <c r="AU299" s="20"/>
      <c r="AV299" s="21"/>
      <c r="AW299" s="22"/>
      <c r="AX299" s="19"/>
      <c r="AY299" s="19"/>
      <c r="AZ299" s="19"/>
      <c r="BA299" s="23"/>
      <c r="BB299" s="19"/>
      <c r="BC299" s="19"/>
      <c r="BD299" s="19"/>
    </row>
    <row r="300" spans="1:56">
      <c r="A300" s="13"/>
      <c r="B300" s="11"/>
      <c r="C300" s="12"/>
      <c r="D300" s="12">
        <f t="shared" si="48"/>
        <v>2.0833299999999999E-2</v>
      </c>
      <c r="E300" s="10"/>
      <c r="F300" s="10" t="str">
        <f>IFERROR(VLOOKUP(E300,Data!A$2:B$5,2,TRUE), "")</f>
        <v/>
      </c>
      <c r="G300" s="3"/>
      <c r="H300" s="13" t="str">
        <f>IFERROR(VLOOKUP(A300,Customer_Data!$A$1:$P$114,8,TRUE),"")</f>
        <v/>
      </c>
      <c r="I300" s="13"/>
      <c r="J300" s="3" t="str">
        <f t="shared" si="54"/>
        <v/>
      </c>
      <c r="K300" s="62" t="e">
        <f>(VLOOKUP($J300,Herbicide_Data!$A$1:$L$61,9,TRUE))</f>
        <v>#N/A</v>
      </c>
      <c r="L300" s="62" t="e">
        <f>VLOOKUP($J300,Herbicide_Data!$A$1:$L$61,12,TRUE)</f>
        <v>#N/A</v>
      </c>
      <c r="M300" s="16" t="e">
        <f t="shared" si="49"/>
        <v>#N/A</v>
      </c>
      <c r="N300" s="62" t="str">
        <f t="shared" si="55"/>
        <v/>
      </c>
      <c r="O300" s="63" t="e">
        <f>VLOOKUP($N300,Herbicide_Data!$A$1:$L$61,9)</f>
        <v>#N/A</v>
      </c>
      <c r="P300" s="62" t="e">
        <f>VLOOKUP($N300,Herbicide_Data!$A$1:$P$61,13)</f>
        <v>#N/A</v>
      </c>
      <c r="Q300" s="16" t="e">
        <f t="shared" si="50"/>
        <v>#N/A</v>
      </c>
      <c r="R300" s="62" t="str">
        <f t="shared" si="56"/>
        <v/>
      </c>
      <c r="S300" s="63" t="e">
        <f>VLOOKUP($R300,Herbicide_Data!$A$1:$L$61,9)</f>
        <v>#N/A</v>
      </c>
      <c r="T300" s="62" t="e">
        <f>VLOOKUP($R300,Herbicide_Data!$A$1:$Q$61,13)</f>
        <v>#N/A</v>
      </c>
      <c r="U300" s="16" t="e">
        <f t="shared" si="51"/>
        <v>#N/A</v>
      </c>
      <c r="V300" s="62" t="b">
        <f t="shared" si="57"/>
        <v>0</v>
      </c>
      <c r="W300" s="63" t="e">
        <f>VLOOKUP($V300,Herbicide_Data!$A$1:$L$17,9)</f>
        <v>#N/A</v>
      </c>
      <c r="X300" s="62" t="e">
        <f>VLOOKUP($V300,Herbicide_Data!$A$1:$L$17,12)</f>
        <v>#N/A</v>
      </c>
      <c r="Y300" s="16" t="e">
        <f t="shared" si="52"/>
        <v>#N/A</v>
      </c>
      <c r="Z300" s="15"/>
      <c r="AA300" s="13"/>
      <c r="AB300" s="17"/>
      <c r="AC300" s="3"/>
      <c r="AD300" s="10"/>
      <c r="AE300" s="3"/>
      <c r="AF300" s="10"/>
      <c r="AG300" s="15"/>
      <c r="AH300" s="62" t="str">
        <f t="shared" si="58"/>
        <v/>
      </c>
      <c r="AI300" s="62" t="e">
        <f>VLOOKUP($AH300,Herbicide_Data!$A$1:$Q$61,13)</f>
        <v>#N/A</v>
      </c>
      <c r="AJ300" s="16" t="e">
        <f t="shared" si="53"/>
        <v>#N/A</v>
      </c>
      <c r="AK300" s="3"/>
      <c r="AL300" s="3"/>
      <c r="AM300" s="3"/>
      <c r="AN300" s="3"/>
      <c r="AO300" s="3"/>
      <c r="AP300" s="3"/>
      <c r="AQ300" s="18"/>
      <c r="AR300" s="19"/>
      <c r="AS300" s="19"/>
      <c r="AT300" s="20"/>
      <c r="AU300" s="20"/>
      <c r="AV300" s="21"/>
      <c r="AW300" s="22"/>
      <c r="AX300" s="19"/>
      <c r="AY300" s="19"/>
      <c r="AZ300" s="19"/>
      <c r="BA300" s="23"/>
      <c r="BB300" s="19"/>
      <c r="BC300" s="19"/>
      <c r="BD300" s="19"/>
    </row>
    <row r="301" spans="1:56">
      <c r="A301" s="13"/>
      <c r="B301" s="11"/>
      <c r="C301" s="12"/>
      <c r="D301" s="12">
        <f t="shared" si="48"/>
        <v>2.0833299999999999E-2</v>
      </c>
      <c r="E301" s="10"/>
      <c r="F301" s="10" t="str">
        <f>IFERROR(VLOOKUP(E301,Data!A$2:B$5,2,TRUE), "")</f>
        <v/>
      </c>
      <c r="G301" s="3"/>
      <c r="H301" s="13" t="str">
        <f>IFERROR(VLOOKUP(A301,Customer_Data!$A$1:$P$114,8,TRUE),"")</f>
        <v/>
      </c>
      <c r="I301" s="13"/>
      <c r="J301" s="3" t="str">
        <f t="shared" si="54"/>
        <v/>
      </c>
      <c r="K301" s="62" t="e">
        <f>(VLOOKUP($J301,Herbicide_Data!$A$1:$L$61,9,TRUE))</f>
        <v>#N/A</v>
      </c>
      <c r="L301" s="62" t="e">
        <f>VLOOKUP($J301,Herbicide_Data!$A$1:$L$61,12,TRUE)</f>
        <v>#N/A</v>
      </c>
      <c r="M301" s="16" t="e">
        <f t="shared" si="49"/>
        <v>#N/A</v>
      </c>
      <c r="N301" s="62" t="str">
        <f t="shared" si="55"/>
        <v/>
      </c>
      <c r="O301" s="63" t="e">
        <f>VLOOKUP($N301,Herbicide_Data!$A$1:$L$61,9)</f>
        <v>#N/A</v>
      </c>
      <c r="P301" s="62" t="e">
        <f>VLOOKUP($N301,Herbicide_Data!$A$1:$P$61,13)</f>
        <v>#N/A</v>
      </c>
      <c r="Q301" s="16" t="e">
        <f t="shared" si="50"/>
        <v>#N/A</v>
      </c>
      <c r="R301" s="62" t="str">
        <f t="shared" si="56"/>
        <v/>
      </c>
      <c r="S301" s="63" t="e">
        <f>VLOOKUP($R301,Herbicide_Data!$A$1:$L$61,9)</f>
        <v>#N/A</v>
      </c>
      <c r="T301" s="62" t="e">
        <f>VLOOKUP($R301,Herbicide_Data!$A$1:$Q$61,13)</f>
        <v>#N/A</v>
      </c>
      <c r="U301" s="16" t="e">
        <f t="shared" si="51"/>
        <v>#N/A</v>
      </c>
      <c r="V301" s="62" t="b">
        <f t="shared" si="57"/>
        <v>0</v>
      </c>
      <c r="W301" s="63" t="e">
        <f>VLOOKUP($V301,Herbicide_Data!$A$1:$L$17,9)</f>
        <v>#N/A</v>
      </c>
      <c r="X301" s="62" t="e">
        <f>VLOOKUP($V301,Herbicide_Data!$A$1:$L$17,12)</f>
        <v>#N/A</v>
      </c>
      <c r="Y301" s="16" t="e">
        <f t="shared" si="52"/>
        <v>#N/A</v>
      </c>
      <c r="Z301" s="15"/>
      <c r="AA301" s="13"/>
      <c r="AB301" s="17"/>
      <c r="AC301" s="3"/>
      <c r="AD301" s="10"/>
      <c r="AE301" s="3"/>
      <c r="AF301" s="10"/>
      <c r="AG301" s="15"/>
      <c r="AH301" s="62" t="str">
        <f t="shared" si="58"/>
        <v/>
      </c>
      <c r="AI301" s="62" t="e">
        <f>VLOOKUP($AH301,Herbicide_Data!$A$1:$Q$61,13)</f>
        <v>#N/A</v>
      </c>
      <c r="AJ301" s="16" t="e">
        <f t="shared" si="53"/>
        <v>#N/A</v>
      </c>
      <c r="AK301" s="3"/>
      <c r="AL301" s="3"/>
      <c r="AM301" s="3"/>
      <c r="AN301" s="3"/>
      <c r="AO301" s="3"/>
      <c r="AP301" s="3"/>
      <c r="AQ301" s="18"/>
      <c r="AR301" s="19"/>
      <c r="AS301" s="19"/>
      <c r="AT301" s="20"/>
      <c r="AU301" s="20"/>
      <c r="AV301" s="21"/>
      <c r="AW301" s="22"/>
      <c r="AX301" s="19"/>
      <c r="AY301" s="19"/>
      <c r="AZ301" s="19"/>
      <c r="BA301" s="23"/>
      <c r="BB301" s="19"/>
      <c r="BC301" s="19"/>
      <c r="BD301" s="19"/>
    </row>
    <row r="302" spans="1:56">
      <c r="A302" s="13"/>
      <c r="B302" s="11"/>
      <c r="C302" s="12"/>
      <c r="D302" s="12">
        <f t="shared" si="48"/>
        <v>2.0833299999999999E-2</v>
      </c>
      <c r="E302" s="10"/>
      <c r="F302" s="10" t="str">
        <f>IFERROR(VLOOKUP(E302,Data!A$2:B$5,2,TRUE), "")</f>
        <v/>
      </c>
      <c r="G302" s="3"/>
      <c r="H302" s="13" t="str">
        <f>IFERROR(VLOOKUP(A302,Customer_Data!$A$1:$P$114,8,TRUE),"")</f>
        <v/>
      </c>
      <c r="I302" s="13"/>
      <c r="J302" s="3" t="str">
        <f t="shared" si="54"/>
        <v/>
      </c>
      <c r="K302" s="62" t="e">
        <f>(VLOOKUP($J302,Herbicide_Data!$A$1:$L$61,9,TRUE))</f>
        <v>#N/A</v>
      </c>
      <c r="L302" s="62" t="e">
        <f>VLOOKUP($J302,Herbicide_Data!$A$1:$L$61,12,TRUE)</f>
        <v>#N/A</v>
      </c>
      <c r="M302" s="16" t="e">
        <f t="shared" si="49"/>
        <v>#N/A</v>
      </c>
      <c r="N302" s="62" t="str">
        <f t="shared" si="55"/>
        <v/>
      </c>
      <c r="O302" s="63" t="e">
        <f>VLOOKUP($N302,Herbicide_Data!$A$1:$L$61,9)</f>
        <v>#N/A</v>
      </c>
      <c r="P302" s="62" t="e">
        <f>VLOOKUP($N302,Herbicide_Data!$A$1:$P$61,13)</f>
        <v>#N/A</v>
      </c>
      <c r="Q302" s="16" t="e">
        <f t="shared" si="50"/>
        <v>#N/A</v>
      </c>
      <c r="R302" s="62" t="str">
        <f t="shared" si="56"/>
        <v/>
      </c>
      <c r="S302" s="63" t="e">
        <f>VLOOKUP($R302,Herbicide_Data!$A$1:$L$61,9)</f>
        <v>#N/A</v>
      </c>
      <c r="T302" s="62" t="e">
        <f>VLOOKUP($R302,Herbicide_Data!$A$1:$Q$61,13)</f>
        <v>#N/A</v>
      </c>
      <c r="U302" s="16" t="e">
        <f t="shared" si="51"/>
        <v>#N/A</v>
      </c>
      <c r="V302" s="62" t="b">
        <f t="shared" si="57"/>
        <v>0</v>
      </c>
      <c r="W302" s="63" t="e">
        <f>VLOOKUP($V302,Herbicide_Data!$A$1:$L$17,9)</f>
        <v>#N/A</v>
      </c>
      <c r="X302" s="62" t="e">
        <f>VLOOKUP($V302,Herbicide_Data!$A$1:$L$17,12)</f>
        <v>#N/A</v>
      </c>
      <c r="Y302" s="16" t="e">
        <f t="shared" si="52"/>
        <v>#N/A</v>
      </c>
      <c r="Z302" s="15"/>
      <c r="AA302" s="13"/>
      <c r="AB302" s="17"/>
      <c r="AC302" s="3"/>
      <c r="AD302" s="10"/>
      <c r="AE302" s="3"/>
      <c r="AF302" s="10"/>
      <c r="AG302" s="15"/>
      <c r="AH302" s="62" t="str">
        <f t="shared" si="58"/>
        <v/>
      </c>
      <c r="AI302" s="62" t="e">
        <f>VLOOKUP($AH302,Herbicide_Data!$A$1:$Q$61,13)</f>
        <v>#N/A</v>
      </c>
      <c r="AJ302" s="16" t="e">
        <f t="shared" si="53"/>
        <v>#N/A</v>
      </c>
      <c r="AK302" s="3"/>
      <c r="AL302" s="3"/>
      <c r="AM302" s="3"/>
      <c r="AN302" s="3"/>
      <c r="AO302" s="3"/>
      <c r="AP302" s="3"/>
      <c r="AQ302" s="18"/>
      <c r="AR302" s="19"/>
      <c r="AS302" s="19"/>
      <c r="AT302" s="20"/>
      <c r="AU302" s="20"/>
      <c r="AV302" s="21"/>
      <c r="AW302" s="22"/>
      <c r="AX302" s="19"/>
      <c r="AY302" s="19"/>
      <c r="AZ302" s="19"/>
      <c r="BA302" s="23"/>
      <c r="BB302" s="19"/>
      <c r="BC302" s="19"/>
      <c r="BD302" s="19"/>
    </row>
    <row r="303" spans="1:56">
      <c r="A303" s="13"/>
      <c r="B303" s="11"/>
      <c r="C303" s="12"/>
      <c r="D303" s="12">
        <f t="shared" si="48"/>
        <v>2.0833299999999999E-2</v>
      </c>
      <c r="E303" s="10"/>
      <c r="F303" s="10" t="str">
        <f>IFERROR(VLOOKUP(E303,Data!A$2:B$5,2,TRUE), "")</f>
        <v/>
      </c>
      <c r="G303" s="3"/>
      <c r="H303" s="13" t="str">
        <f>IFERROR(VLOOKUP(A303,Customer_Data!$A$1:$P$114,8,TRUE),"")</f>
        <v/>
      </c>
      <c r="I303" s="13"/>
      <c r="J303" s="3" t="str">
        <f t="shared" si="54"/>
        <v/>
      </c>
      <c r="K303" s="62" t="e">
        <f>(VLOOKUP($J303,Herbicide_Data!$A$1:$L$61,9,TRUE))</f>
        <v>#N/A</v>
      </c>
      <c r="L303" s="62" t="e">
        <f>VLOOKUP($J303,Herbicide_Data!$A$1:$L$61,12,TRUE)</f>
        <v>#N/A</v>
      </c>
      <c r="M303" s="16" t="e">
        <f t="shared" si="49"/>
        <v>#N/A</v>
      </c>
      <c r="N303" s="62" t="str">
        <f t="shared" si="55"/>
        <v/>
      </c>
      <c r="O303" s="63" t="e">
        <f>VLOOKUP($N303,Herbicide_Data!$A$1:$L$61,9)</f>
        <v>#N/A</v>
      </c>
      <c r="P303" s="62" t="e">
        <f>VLOOKUP($N303,Herbicide_Data!$A$1:$P$61,13)</f>
        <v>#N/A</v>
      </c>
      <c r="Q303" s="16" t="e">
        <f t="shared" si="50"/>
        <v>#N/A</v>
      </c>
      <c r="R303" s="62" t="str">
        <f t="shared" si="56"/>
        <v/>
      </c>
      <c r="S303" s="63" t="e">
        <f>VLOOKUP($R303,Herbicide_Data!$A$1:$L$61,9)</f>
        <v>#N/A</v>
      </c>
      <c r="T303" s="62" t="e">
        <f>VLOOKUP($R303,Herbicide_Data!$A$1:$Q$61,13)</f>
        <v>#N/A</v>
      </c>
      <c r="U303" s="16" t="e">
        <f t="shared" si="51"/>
        <v>#N/A</v>
      </c>
      <c r="V303" s="62" t="b">
        <f t="shared" si="57"/>
        <v>0</v>
      </c>
      <c r="W303" s="63" t="e">
        <f>VLOOKUP($V303,Herbicide_Data!$A$1:$L$17,9)</f>
        <v>#N/A</v>
      </c>
      <c r="X303" s="62" t="e">
        <f>VLOOKUP($V303,Herbicide_Data!$A$1:$L$17,12)</f>
        <v>#N/A</v>
      </c>
      <c r="Y303" s="16" t="e">
        <f t="shared" si="52"/>
        <v>#N/A</v>
      </c>
      <c r="Z303" s="15"/>
      <c r="AA303" s="13"/>
      <c r="AB303" s="17"/>
      <c r="AC303" s="3"/>
      <c r="AD303" s="10"/>
      <c r="AE303" s="3"/>
      <c r="AF303" s="10"/>
      <c r="AG303" s="15"/>
      <c r="AH303" s="62" t="str">
        <f t="shared" si="58"/>
        <v/>
      </c>
      <c r="AI303" s="62" t="e">
        <f>VLOOKUP($AH303,Herbicide_Data!$A$1:$Q$61,13)</f>
        <v>#N/A</v>
      </c>
      <c r="AJ303" s="16" t="e">
        <f t="shared" si="53"/>
        <v>#N/A</v>
      </c>
      <c r="AK303" s="3"/>
      <c r="AL303" s="3"/>
      <c r="AM303" s="3"/>
      <c r="AN303" s="3"/>
      <c r="AO303" s="3"/>
      <c r="AP303" s="3"/>
      <c r="AQ303" s="18"/>
      <c r="AR303" s="19"/>
      <c r="AS303" s="19"/>
      <c r="AT303" s="20"/>
      <c r="AU303" s="20"/>
      <c r="AV303" s="21"/>
      <c r="AW303" s="22"/>
      <c r="AX303" s="19"/>
      <c r="AY303" s="19"/>
      <c r="AZ303" s="19"/>
      <c r="BA303" s="23"/>
      <c r="BB303" s="19"/>
      <c r="BC303" s="19"/>
      <c r="BD303" s="19"/>
    </row>
    <row r="304" spans="1:56">
      <c r="A304" s="13"/>
      <c r="B304" s="11"/>
      <c r="C304" s="12"/>
      <c r="D304" s="12">
        <f t="shared" si="48"/>
        <v>2.0833299999999999E-2</v>
      </c>
      <c r="E304" s="10"/>
      <c r="F304" s="10" t="str">
        <f>IFERROR(VLOOKUP(E304,Data!A$2:B$5,2,TRUE), "")</f>
        <v/>
      </c>
      <c r="G304" s="3"/>
      <c r="H304" s="13" t="str">
        <f>IFERROR(VLOOKUP(A304,Customer_Data!$A$1:$P$114,8,TRUE),"")</f>
        <v/>
      </c>
      <c r="I304" s="13"/>
      <c r="J304" s="3" t="str">
        <f t="shared" si="54"/>
        <v/>
      </c>
      <c r="K304" s="62" t="e">
        <f>(VLOOKUP($J304,Herbicide_Data!$A$1:$L$61,9,TRUE))</f>
        <v>#N/A</v>
      </c>
      <c r="L304" s="62" t="e">
        <f>VLOOKUP($J304,Herbicide_Data!$A$1:$L$61,12,TRUE)</f>
        <v>#N/A</v>
      </c>
      <c r="M304" s="16" t="e">
        <f t="shared" si="49"/>
        <v>#N/A</v>
      </c>
      <c r="N304" s="62" t="str">
        <f t="shared" si="55"/>
        <v/>
      </c>
      <c r="O304" s="63" t="e">
        <f>VLOOKUP($N304,Herbicide_Data!$A$1:$L$61,9)</f>
        <v>#N/A</v>
      </c>
      <c r="P304" s="62" t="e">
        <f>VLOOKUP($N304,Herbicide_Data!$A$1:$P$61,13)</f>
        <v>#N/A</v>
      </c>
      <c r="Q304" s="16" t="e">
        <f t="shared" si="50"/>
        <v>#N/A</v>
      </c>
      <c r="R304" s="62" t="str">
        <f t="shared" si="56"/>
        <v/>
      </c>
      <c r="S304" s="63" t="e">
        <f>VLOOKUP($R304,Herbicide_Data!$A$1:$L$61,9)</f>
        <v>#N/A</v>
      </c>
      <c r="T304" s="62" t="e">
        <f>VLOOKUP($R304,Herbicide_Data!$A$1:$Q$61,13)</f>
        <v>#N/A</v>
      </c>
      <c r="U304" s="16" t="e">
        <f t="shared" si="51"/>
        <v>#N/A</v>
      </c>
      <c r="V304" s="62" t="b">
        <f t="shared" si="57"/>
        <v>0</v>
      </c>
      <c r="W304" s="63" t="e">
        <f>VLOOKUP($V304,Herbicide_Data!$A$1:$L$17,9)</f>
        <v>#N/A</v>
      </c>
      <c r="X304" s="62" t="e">
        <f>VLOOKUP($V304,Herbicide_Data!$A$1:$L$17,12)</f>
        <v>#N/A</v>
      </c>
      <c r="Y304" s="16" t="e">
        <f t="shared" si="52"/>
        <v>#N/A</v>
      </c>
      <c r="Z304" s="15"/>
      <c r="AA304" s="13"/>
      <c r="AB304" s="17"/>
      <c r="AC304" s="3"/>
      <c r="AD304" s="10"/>
      <c r="AE304" s="3"/>
      <c r="AF304" s="10"/>
      <c r="AG304" s="15"/>
      <c r="AH304" s="62" t="str">
        <f t="shared" si="58"/>
        <v/>
      </c>
      <c r="AI304" s="62" t="e">
        <f>VLOOKUP($AH304,Herbicide_Data!$A$1:$Q$61,13)</f>
        <v>#N/A</v>
      </c>
      <c r="AJ304" s="16" t="e">
        <f t="shared" si="53"/>
        <v>#N/A</v>
      </c>
      <c r="AK304" s="3"/>
      <c r="AL304" s="3"/>
      <c r="AM304" s="3"/>
      <c r="AN304" s="3"/>
      <c r="AO304" s="3"/>
      <c r="AP304" s="3"/>
      <c r="AQ304" s="18"/>
      <c r="AR304" s="19"/>
      <c r="AS304" s="19"/>
      <c r="AT304" s="20"/>
      <c r="AU304" s="20"/>
      <c r="AV304" s="21"/>
      <c r="AW304" s="22"/>
      <c r="AX304" s="19"/>
      <c r="AY304" s="19"/>
      <c r="AZ304" s="19"/>
      <c r="BA304" s="23"/>
      <c r="BB304" s="19"/>
      <c r="BC304" s="19"/>
      <c r="BD304" s="19"/>
    </row>
    <row r="305" spans="1:56">
      <c r="A305" s="13"/>
      <c r="B305" s="11"/>
      <c r="C305" s="12"/>
      <c r="D305" s="12">
        <f t="shared" si="48"/>
        <v>2.0833299999999999E-2</v>
      </c>
      <c r="E305" s="10"/>
      <c r="F305" s="10" t="str">
        <f>IFERROR(VLOOKUP(E305,Data!A$2:B$5,2,TRUE), "")</f>
        <v/>
      </c>
      <c r="G305" s="3"/>
      <c r="H305" s="13" t="str">
        <f>IFERROR(VLOOKUP(A305,Customer_Data!$A$1:$P$114,8,TRUE),"")</f>
        <v/>
      </c>
      <c r="I305" s="13"/>
      <c r="J305" s="3" t="str">
        <f t="shared" si="54"/>
        <v/>
      </c>
      <c r="K305" s="62" t="e">
        <f>(VLOOKUP($J305,Herbicide_Data!$A$1:$L$61,9,TRUE))</f>
        <v>#N/A</v>
      </c>
      <c r="L305" s="62" t="e">
        <f>VLOOKUP($J305,Herbicide_Data!$A$1:$L$61,12,TRUE)</f>
        <v>#N/A</v>
      </c>
      <c r="M305" s="16" t="e">
        <f t="shared" si="49"/>
        <v>#N/A</v>
      </c>
      <c r="N305" s="62" t="str">
        <f t="shared" si="55"/>
        <v/>
      </c>
      <c r="O305" s="63" t="e">
        <f>VLOOKUP($N305,Herbicide_Data!$A$1:$L$61,9)</f>
        <v>#N/A</v>
      </c>
      <c r="P305" s="62" t="e">
        <f>VLOOKUP($N305,Herbicide_Data!$A$1:$P$61,13)</f>
        <v>#N/A</v>
      </c>
      <c r="Q305" s="16" t="e">
        <f t="shared" si="50"/>
        <v>#N/A</v>
      </c>
      <c r="R305" s="62" t="str">
        <f t="shared" si="56"/>
        <v/>
      </c>
      <c r="S305" s="63" t="e">
        <f>VLOOKUP($R305,Herbicide_Data!$A$1:$L$61,9)</f>
        <v>#N/A</v>
      </c>
      <c r="T305" s="62" t="e">
        <f>VLOOKUP($R305,Herbicide_Data!$A$1:$Q$61,13)</f>
        <v>#N/A</v>
      </c>
      <c r="U305" s="16" t="e">
        <f t="shared" si="51"/>
        <v>#N/A</v>
      </c>
      <c r="V305" s="62" t="b">
        <f t="shared" si="57"/>
        <v>0</v>
      </c>
      <c r="W305" s="63" t="e">
        <f>VLOOKUP($V305,Herbicide_Data!$A$1:$L$17,9)</f>
        <v>#N/A</v>
      </c>
      <c r="X305" s="62" t="e">
        <f>VLOOKUP($V305,Herbicide_Data!$A$1:$L$17,12)</f>
        <v>#N/A</v>
      </c>
      <c r="Y305" s="16" t="e">
        <f t="shared" si="52"/>
        <v>#N/A</v>
      </c>
      <c r="Z305" s="15"/>
      <c r="AA305" s="13"/>
      <c r="AB305" s="17"/>
      <c r="AC305" s="3"/>
      <c r="AD305" s="10"/>
      <c r="AE305" s="3"/>
      <c r="AF305" s="10"/>
      <c r="AG305" s="15"/>
      <c r="AH305" s="62" t="str">
        <f t="shared" si="58"/>
        <v/>
      </c>
      <c r="AI305" s="62" t="e">
        <f>VLOOKUP($AH305,Herbicide_Data!$A$1:$Q$61,13)</f>
        <v>#N/A</v>
      </c>
      <c r="AJ305" s="16" t="e">
        <f t="shared" si="53"/>
        <v>#N/A</v>
      </c>
      <c r="AK305" s="3"/>
      <c r="AL305" s="3"/>
      <c r="AM305" s="3"/>
      <c r="AN305" s="3"/>
      <c r="AO305" s="3"/>
      <c r="AP305" s="3"/>
      <c r="AQ305" s="18"/>
      <c r="AR305" s="19"/>
      <c r="AS305" s="19"/>
      <c r="AT305" s="20"/>
      <c r="AU305" s="20"/>
      <c r="AV305" s="21"/>
      <c r="AW305" s="22"/>
      <c r="AX305" s="19"/>
      <c r="AY305" s="19"/>
      <c r="AZ305" s="19"/>
      <c r="BA305" s="23"/>
      <c r="BB305" s="19"/>
      <c r="BC305" s="19"/>
      <c r="BD305" s="19"/>
    </row>
    <row r="306" spans="1:56">
      <c r="A306" s="13"/>
      <c r="B306" s="11"/>
      <c r="C306" s="12"/>
      <c r="D306" s="12">
        <f t="shared" si="48"/>
        <v>2.0833299999999999E-2</v>
      </c>
      <c r="E306" s="10"/>
      <c r="F306" s="10" t="str">
        <f>IFERROR(VLOOKUP(E306,Data!A$2:B$5,2,TRUE), "")</f>
        <v/>
      </c>
      <c r="G306" s="3"/>
      <c r="H306" s="13" t="str">
        <f>IFERROR(VLOOKUP(A306,Customer_Data!$A$1:$P$114,8,TRUE),"")</f>
        <v/>
      </c>
      <c r="I306" s="13"/>
      <c r="J306" s="3" t="str">
        <f t="shared" si="54"/>
        <v/>
      </c>
      <c r="K306" s="62" t="e">
        <f>(VLOOKUP($J306,Herbicide_Data!$A$1:$L$61,9,TRUE))</f>
        <v>#N/A</v>
      </c>
      <c r="L306" s="62" t="e">
        <f>VLOOKUP($J306,Herbicide_Data!$A$1:$L$61,12,TRUE)</f>
        <v>#N/A</v>
      </c>
      <c r="M306" s="16" t="e">
        <f t="shared" si="49"/>
        <v>#N/A</v>
      </c>
      <c r="N306" s="62" t="str">
        <f t="shared" si="55"/>
        <v/>
      </c>
      <c r="O306" s="63" t="e">
        <f>VLOOKUP($N306,Herbicide_Data!$A$1:$L$61,9)</f>
        <v>#N/A</v>
      </c>
      <c r="P306" s="62" t="e">
        <f>VLOOKUP($N306,Herbicide_Data!$A$1:$P$61,13)</f>
        <v>#N/A</v>
      </c>
      <c r="Q306" s="16" t="e">
        <f t="shared" si="50"/>
        <v>#N/A</v>
      </c>
      <c r="R306" s="62" t="str">
        <f t="shared" si="56"/>
        <v/>
      </c>
      <c r="S306" s="63" t="e">
        <f>VLOOKUP($R306,Herbicide_Data!$A$1:$L$61,9)</f>
        <v>#N/A</v>
      </c>
      <c r="T306" s="62" t="e">
        <f>VLOOKUP($R306,Herbicide_Data!$A$1:$Q$61,13)</f>
        <v>#N/A</v>
      </c>
      <c r="U306" s="16" t="e">
        <f t="shared" si="51"/>
        <v>#N/A</v>
      </c>
      <c r="V306" s="62" t="b">
        <f t="shared" si="57"/>
        <v>0</v>
      </c>
      <c r="W306" s="63" t="e">
        <f>VLOOKUP($V306,Herbicide_Data!$A$1:$L$17,9)</f>
        <v>#N/A</v>
      </c>
      <c r="X306" s="62" t="e">
        <f>VLOOKUP($V306,Herbicide_Data!$A$1:$L$17,12)</f>
        <v>#N/A</v>
      </c>
      <c r="Y306" s="16" t="e">
        <f t="shared" si="52"/>
        <v>#N/A</v>
      </c>
      <c r="Z306" s="15"/>
      <c r="AA306" s="13"/>
      <c r="AB306" s="17"/>
      <c r="AC306" s="3"/>
      <c r="AD306" s="10"/>
      <c r="AE306" s="3"/>
      <c r="AF306" s="10"/>
      <c r="AG306" s="15"/>
      <c r="AH306" s="62" t="str">
        <f t="shared" si="58"/>
        <v/>
      </c>
      <c r="AI306" s="62" t="e">
        <f>VLOOKUP($AH306,Herbicide_Data!$A$1:$Q$61,13)</f>
        <v>#N/A</v>
      </c>
      <c r="AJ306" s="16" t="e">
        <f t="shared" si="53"/>
        <v>#N/A</v>
      </c>
      <c r="AK306" s="3"/>
      <c r="AL306" s="3"/>
      <c r="AM306" s="3"/>
      <c r="AN306" s="3"/>
      <c r="AO306" s="3"/>
      <c r="AP306" s="3"/>
      <c r="AQ306" s="18"/>
      <c r="AR306" s="19"/>
      <c r="AS306" s="19"/>
      <c r="AT306" s="20"/>
      <c r="AU306" s="20"/>
      <c r="AV306" s="21"/>
      <c r="AW306" s="22"/>
      <c r="AX306" s="19"/>
      <c r="AY306" s="19"/>
      <c r="AZ306" s="19"/>
      <c r="BA306" s="23"/>
      <c r="BB306" s="19"/>
      <c r="BC306" s="19"/>
      <c r="BD306" s="19"/>
    </row>
    <row r="307" spans="1:56">
      <c r="A307" s="13"/>
      <c r="B307" s="11"/>
      <c r="C307" s="12"/>
      <c r="D307" s="12">
        <f t="shared" si="48"/>
        <v>2.0833299999999999E-2</v>
      </c>
      <c r="E307" s="10"/>
      <c r="F307" s="10" t="str">
        <f>IFERROR(VLOOKUP(E307,Data!A$2:B$5,2,TRUE), "")</f>
        <v/>
      </c>
      <c r="G307" s="3"/>
      <c r="H307" s="13" t="str">
        <f>IFERROR(VLOOKUP(A307,Customer_Data!$A$1:$P$114,8,TRUE),"")</f>
        <v/>
      </c>
      <c r="I307" s="13"/>
      <c r="J307" s="3" t="str">
        <f t="shared" si="54"/>
        <v/>
      </c>
      <c r="K307" s="62" t="e">
        <f>(VLOOKUP($J307,Herbicide_Data!$A$1:$L$61,9,TRUE))</f>
        <v>#N/A</v>
      </c>
      <c r="L307" s="62" t="e">
        <f>VLOOKUP($J307,Herbicide_Data!$A$1:$L$61,12,TRUE)</f>
        <v>#N/A</v>
      </c>
      <c r="M307" s="16" t="e">
        <f t="shared" si="49"/>
        <v>#N/A</v>
      </c>
      <c r="N307" s="62" t="str">
        <f t="shared" si="55"/>
        <v/>
      </c>
      <c r="O307" s="63" t="e">
        <f>VLOOKUP($N307,Herbicide_Data!$A$1:$L$61,9)</f>
        <v>#N/A</v>
      </c>
      <c r="P307" s="62" t="e">
        <f>VLOOKUP($N307,Herbicide_Data!$A$1:$P$61,13)</f>
        <v>#N/A</v>
      </c>
      <c r="Q307" s="16" t="e">
        <f t="shared" si="50"/>
        <v>#N/A</v>
      </c>
      <c r="R307" s="62" t="str">
        <f t="shared" si="56"/>
        <v/>
      </c>
      <c r="S307" s="63" t="e">
        <f>VLOOKUP($R307,Herbicide_Data!$A$1:$L$61,9)</f>
        <v>#N/A</v>
      </c>
      <c r="T307" s="62" t="e">
        <f>VLOOKUP($R307,Herbicide_Data!$A$1:$Q$61,13)</f>
        <v>#N/A</v>
      </c>
      <c r="U307" s="16" t="e">
        <f t="shared" si="51"/>
        <v>#N/A</v>
      </c>
      <c r="V307" s="62" t="b">
        <f t="shared" si="57"/>
        <v>0</v>
      </c>
      <c r="W307" s="63" t="e">
        <f>VLOOKUP($V307,Herbicide_Data!$A$1:$L$17,9)</f>
        <v>#N/A</v>
      </c>
      <c r="X307" s="62" t="e">
        <f>VLOOKUP($V307,Herbicide_Data!$A$1:$L$17,12)</f>
        <v>#N/A</v>
      </c>
      <c r="Y307" s="16" t="e">
        <f t="shared" si="52"/>
        <v>#N/A</v>
      </c>
      <c r="Z307" s="15"/>
      <c r="AA307" s="13"/>
      <c r="AB307" s="17"/>
      <c r="AC307" s="3"/>
      <c r="AD307" s="10"/>
      <c r="AE307" s="3"/>
      <c r="AF307" s="10"/>
      <c r="AG307" s="15"/>
      <c r="AH307" s="62" t="str">
        <f t="shared" si="58"/>
        <v/>
      </c>
      <c r="AI307" s="62" t="e">
        <f>VLOOKUP($AH307,Herbicide_Data!$A$1:$Q$61,13)</f>
        <v>#N/A</v>
      </c>
      <c r="AJ307" s="16" t="e">
        <f t="shared" si="53"/>
        <v>#N/A</v>
      </c>
      <c r="AK307" s="3"/>
      <c r="AL307" s="3"/>
      <c r="AM307" s="3"/>
      <c r="AN307" s="3"/>
      <c r="AO307" s="3"/>
      <c r="AP307" s="3"/>
      <c r="AQ307" s="18"/>
      <c r="AR307" s="19"/>
      <c r="AS307" s="19"/>
      <c r="AT307" s="20"/>
      <c r="AU307" s="20"/>
      <c r="AV307" s="21"/>
      <c r="AW307" s="22"/>
      <c r="AX307" s="19"/>
      <c r="AY307" s="19"/>
      <c r="AZ307" s="19"/>
      <c r="BA307" s="23"/>
      <c r="BB307" s="19"/>
      <c r="BC307" s="19"/>
      <c r="BD307" s="19"/>
    </row>
    <row r="308" spans="1:56">
      <c r="A308" s="13"/>
      <c r="B308" s="11"/>
      <c r="C308" s="12"/>
      <c r="D308" s="12">
        <f t="shared" si="48"/>
        <v>2.0833299999999999E-2</v>
      </c>
      <c r="E308" s="10"/>
      <c r="F308" s="10" t="str">
        <f>IFERROR(VLOOKUP(E308,Data!A$2:B$5,2,TRUE), "")</f>
        <v/>
      </c>
      <c r="G308" s="3"/>
      <c r="H308" s="13" t="str">
        <f>IFERROR(VLOOKUP(A308,Customer_Data!$A$1:$P$114,8,TRUE),"")</f>
        <v/>
      </c>
      <c r="I308" s="13"/>
      <c r="J308" s="3" t="str">
        <f t="shared" si="54"/>
        <v/>
      </c>
      <c r="K308" s="62" t="e">
        <f>(VLOOKUP($J308,Herbicide_Data!$A$1:$L$61,9,TRUE))</f>
        <v>#N/A</v>
      </c>
      <c r="L308" s="62" t="e">
        <f>VLOOKUP($J308,Herbicide_Data!$A$1:$L$61,12,TRUE)</f>
        <v>#N/A</v>
      </c>
      <c r="M308" s="16" t="e">
        <f t="shared" si="49"/>
        <v>#N/A</v>
      </c>
      <c r="N308" s="62" t="str">
        <f t="shared" si="55"/>
        <v/>
      </c>
      <c r="O308" s="63" t="e">
        <f>VLOOKUP($N308,Herbicide_Data!$A$1:$L$61,9)</f>
        <v>#N/A</v>
      </c>
      <c r="P308" s="62" t="e">
        <f>VLOOKUP($N308,Herbicide_Data!$A$1:$P$61,13)</f>
        <v>#N/A</v>
      </c>
      <c r="Q308" s="16" t="e">
        <f t="shared" si="50"/>
        <v>#N/A</v>
      </c>
      <c r="R308" s="62" t="str">
        <f t="shared" si="56"/>
        <v/>
      </c>
      <c r="S308" s="63" t="e">
        <f>VLOOKUP($R308,Herbicide_Data!$A$1:$L$61,9)</f>
        <v>#N/A</v>
      </c>
      <c r="T308" s="62" t="e">
        <f>VLOOKUP($R308,Herbicide_Data!$A$1:$Q$61,13)</f>
        <v>#N/A</v>
      </c>
      <c r="U308" s="16" t="e">
        <f t="shared" si="51"/>
        <v>#N/A</v>
      </c>
      <c r="V308" s="62" t="b">
        <f t="shared" si="57"/>
        <v>0</v>
      </c>
      <c r="W308" s="63" t="e">
        <f>VLOOKUP($V308,Herbicide_Data!$A$1:$L$17,9)</f>
        <v>#N/A</v>
      </c>
      <c r="X308" s="62" t="e">
        <f>VLOOKUP($V308,Herbicide_Data!$A$1:$L$17,12)</f>
        <v>#N/A</v>
      </c>
      <c r="Y308" s="16" t="e">
        <f t="shared" si="52"/>
        <v>#N/A</v>
      </c>
      <c r="Z308" s="15"/>
      <c r="AA308" s="13"/>
      <c r="AB308" s="17"/>
      <c r="AC308" s="3"/>
      <c r="AD308" s="10"/>
      <c r="AE308" s="3"/>
      <c r="AF308" s="10"/>
      <c r="AG308" s="15"/>
      <c r="AH308" s="62" t="str">
        <f t="shared" si="58"/>
        <v/>
      </c>
      <c r="AI308" s="62" t="e">
        <f>VLOOKUP($AH308,Herbicide_Data!$A$1:$Q$61,13)</f>
        <v>#N/A</v>
      </c>
      <c r="AJ308" s="16" t="e">
        <f t="shared" si="53"/>
        <v>#N/A</v>
      </c>
      <c r="AK308" s="3"/>
      <c r="AL308" s="3"/>
      <c r="AM308" s="3"/>
      <c r="AN308" s="3"/>
      <c r="AO308" s="3"/>
      <c r="AP308" s="3"/>
      <c r="AQ308" s="18"/>
      <c r="AR308" s="19"/>
      <c r="AS308" s="19"/>
      <c r="AT308" s="20"/>
      <c r="AU308" s="20"/>
      <c r="AV308" s="21"/>
      <c r="AW308" s="22"/>
      <c r="AX308" s="19"/>
      <c r="AY308" s="19"/>
      <c r="AZ308" s="19"/>
      <c r="BA308" s="23"/>
      <c r="BB308" s="19"/>
      <c r="BC308" s="19"/>
      <c r="BD308" s="19"/>
    </row>
    <row r="309" spans="1:56">
      <c r="A309" s="13"/>
      <c r="B309" s="11"/>
      <c r="C309" s="12"/>
      <c r="D309" s="12">
        <f t="shared" si="48"/>
        <v>2.0833299999999999E-2</v>
      </c>
      <c r="E309" s="10"/>
      <c r="F309" s="10" t="str">
        <f>IFERROR(VLOOKUP(E309,Data!A$2:B$5,2,TRUE), "")</f>
        <v/>
      </c>
      <c r="G309" s="3"/>
      <c r="H309" s="13" t="str">
        <f>IFERROR(VLOOKUP(A309,Customer_Data!$A$1:$P$114,8,TRUE),"")</f>
        <v/>
      </c>
      <c r="I309" s="13"/>
      <c r="J309" s="3" t="str">
        <f t="shared" si="54"/>
        <v/>
      </c>
      <c r="K309" s="62" t="e">
        <f>(VLOOKUP($J309,Herbicide_Data!$A$1:$L$61,9,TRUE))</f>
        <v>#N/A</v>
      </c>
      <c r="L309" s="62" t="e">
        <f>VLOOKUP($J309,Herbicide_Data!$A$1:$L$61,12,TRUE)</f>
        <v>#N/A</v>
      </c>
      <c r="M309" s="16" t="e">
        <f t="shared" si="49"/>
        <v>#N/A</v>
      </c>
      <c r="N309" s="62" t="str">
        <f t="shared" si="55"/>
        <v/>
      </c>
      <c r="O309" s="63" t="e">
        <f>VLOOKUP($N309,Herbicide_Data!$A$1:$L$61,9)</f>
        <v>#N/A</v>
      </c>
      <c r="P309" s="62" t="e">
        <f>VLOOKUP($N309,Herbicide_Data!$A$1:$P$61,13)</f>
        <v>#N/A</v>
      </c>
      <c r="Q309" s="16" t="e">
        <f t="shared" si="50"/>
        <v>#N/A</v>
      </c>
      <c r="R309" s="62" t="str">
        <f t="shared" si="56"/>
        <v/>
      </c>
      <c r="S309" s="63" t="e">
        <f>VLOOKUP($R309,Herbicide_Data!$A$1:$L$61,9)</f>
        <v>#N/A</v>
      </c>
      <c r="T309" s="62" t="e">
        <f>VLOOKUP($R309,Herbicide_Data!$A$1:$Q$61,13)</f>
        <v>#N/A</v>
      </c>
      <c r="U309" s="16" t="e">
        <f t="shared" si="51"/>
        <v>#N/A</v>
      </c>
      <c r="V309" s="62" t="b">
        <f t="shared" si="57"/>
        <v>0</v>
      </c>
      <c r="W309" s="63" t="e">
        <f>VLOOKUP($V309,Herbicide_Data!$A$1:$L$17,9)</f>
        <v>#N/A</v>
      </c>
      <c r="X309" s="62" t="e">
        <f>VLOOKUP($V309,Herbicide_Data!$A$1:$L$17,12)</f>
        <v>#N/A</v>
      </c>
      <c r="Y309" s="16" t="e">
        <f t="shared" si="52"/>
        <v>#N/A</v>
      </c>
      <c r="Z309" s="15"/>
      <c r="AA309" s="13"/>
      <c r="AB309" s="17"/>
      <c r="AC309" s="3"/>
      <c r="AD309" s="10"/>
      <c r="AE309" s="3"/>
      <c r="AF309" s="10"/>
      <c r="AG309" s="15"/>
      <c r="AH309" s="62" t="str">
        <f t="shared" si="58"/>
        <v/>
      </c>
      <c r="AI309" s="62" t="e">
        <f>VLOOKUP($AH309,Herbicide_Data!$A$1:$Q$61,13)</f>
        <v>#N/A</v>
      </c>
      <c r="AJ309" s="16" t="e">
        <f t="shared" si="53"/>
        <v>#N/A</v>
      </c>
      <c r="AK309" s="3"/>
      <c r="AL309" s="3"/>
      <c r="AM309" s="3"/>
      <c r="AN309" s="3"/>
      <c r="AO309" s="3"/>
      <c r="AP309" s="3"/>
      <c r="AQ309" s="18"/>
      <c r="AR309" s="19"/>
      <c r="AS309" s="19"/>
      <c r="AT309" s="20"/>
      <c r="AU309" s="20"/>
      <c r="AV309" s="21"/>
      <c r="AW309" s="22"/>
      <c r="AX309" s="19"/>
      <c r="AY309" s="19"/>
      <c r="AZ309" s="19"/>
      <c r="BA309" s="23"/>
      <c r="BB309" s="19"/>
      <c r="BC309" s="19"/>
      <c r="BD309" s="19"/>
    </row>
    <row r="310" spans="1:56">
      <c r="A310" s="13"/>
      <c r="B310" s="11"/>
      <c r="C310" s="12"/>
      <c r="D310" s="12">
        <f t="shared" si="48"/>
        <v>2.0833299999999999E-2</v>
      </c>
      <c r="E310" s="10"/>
      <c r="F310" s="10" t="str">
        <f>IFERROR(VLOOKUP(E310,Data!A$2:B$5,2,TRUE), "")</f>
        <v/>
      </c>
      <c r="G310" s="3"/>
      <c r="H310" s="13" t="str">
        <f>IFERROR(VLOOKUP(A310,Customer_Data!$A$1:$P$114,8,TRUE),"")</f>
        <v/>
      </c>
      <c r="I310" s="13"/>
      <c r="J310" s="3" t="str">
        <f t="shared" si="54"/>
        <v/>
      </c>
      <c r="K310" s="62" t="e">
        <f>(VLOOKUP($J310,Herbicide_Data!$A$1:$L$61,9,TRUE))</f>
        <v>#N/A</v>
      </c>
      <c r="L310" s="62" t="e">
        <f>VLOOKUP($J310,Herbicide_Data!$A$1:$L$61,12,TRUE)</f>
        <v>#N/A</v>
      </c>
      <c r="M310" s="16" t="e">
        <f t="shared" si="49"/>
        <v>#N/A</v>
      </c>
      <c r="N310" s="62" t="str">
        <f t="shared" si="55"/>
        <v/>
      </c>
      <c r="O310" s="63" t="e">
        <f>VLOOKUP($N310,Herbicide_Data!$A$1:$L$61,9)</f>
        <v>#N/A</v>
      </c>
      <c r="P310" s="62" t="e">
        <f>VLOOKUP($N310,Herbicide_Data!$A$1:$P$61,13)</f>
        <v>#N/A</v>
      </c>
      <c r="Q310" s="16" t="e">
        <f t="shared" si="50"/>
        <v>#N/A</v>
      </c>
      <c r="R310" s="62" t="str">
        <f t="shared" si="56"/>
        <v/>
      </c>
      <c r="S310" s="63" t="e">
        <f>VLOOKUP($R310,Herbicide_Data!$A$1:$L$61,9)</f>
        <v>#N/A</v>
      </c>
      <c r="T310" s="62" t="e">
        <f>VLOOKUP($R310,Herbicide_Data!$A$1:$Q$61,13)</f>
        <v>#N/A</v>
      </c>
      <c r="U310" s="16" t="e">
        <f t="shared" si="51"/>
        <v>#N/A</v>
      </c>
      <c r="V310" s="62" t="b">
        <f t="shared" si="57"/>
        <v>0</v>
      </c>
      <c r="W310" s="63" t="e">
        <f>VLOOKUP($V310,Herbicide_Data!$A$1:$L$17,9)</f>
        <v>#N/A</v>
      </c>
      <c r="X310" s="62" t="e">
        <f>VLOOKUP($V310,Herbicide_Data!$A$1:$L$17,12)</f>
        <v>#N/A</v>
      </c>
      <c r="Y310" s="16" t="e">
        <f t="shared" si="52"/>
        <v>#N/A</v>
      </c>
      <c r="Z310" s="15"/>
      <c r="AA310" s="13"/>
      <c r="AB310" s="17"/>
      <c r="AC310" s="3"/>
      <c r="AD310" s="10"/>
      <c r="AE310" s="3"/>
      <c r="AF310" s="10"/>
      <c r="AG310" s="15"/>
      <c r="AH310" s="62" t="str">
        <f t="shared" si="58"/>
        <v/>
      </c>
      <c r="AI310" s="62" t="e">
        <f>VLOOKUP($AH310,Herbicide_Data!$A$1:$Q$61,13)</f>
        <v>#N/A</v>
      </c>
      <c r="AJ310" s="16" t="e">
        <f t="shared" si="53"/>
        <v>#N/A</v>
      </c>
      <c r="AK310" s="3"/>
      <c r="AL310" s="3"/>
      <c r="AM310" s="3"/>
      <c r="AN310" s="3"/>
      <c r="AO310" s="3"/>
      <c r="AP310" s="3"/>
      <c r="AQ310" s="18"/>
      <c r="AR310" s="19"/>
      <c r="AS310" s="19"/>
      <c r="AT310" s="20"/>
      <c r="AU310" s="20"/>
      <c r="AV310" s="21"/>
      <c r="AW310" s="22"/>
      <c r="AX310" s="19"/>
      <c r="AY310" s="19"/>
      <c r="AZ310" s="19"/>
      <c r="BA310" s="23"/>
      <c r="BB310" s="19"/>
      <c r="BC310" s="19"/>
      <c r="BD310" s="19"/>
    </row>
    <row r="311" spans="1:56">
      <c r="A311" s="13"/>
      <c r="B311" s="11"/>
      <c r="C311" s="12"/>
      <c r="D311" s="12">
        <f t="shared" si="48"/>
        <v>2.0833299999999999E-2</v>
      </c>
      <c r="E311" s="10"/>
      <c r="F311" s="10" t="str">
        <f>IFERROR(VLOOKUP(E311,Data!A$2:B$5,2,TRUE), "")</f>
        <v/>
      </c>
      <c r="G311" s="3"/>
      <c r="H311" s="13" t="str">
        <f>IFERROR(VLOOKUP(A311,Customer_Data!$A$1:$P$114,8,TRUE),"")</f>
        <v/>
      </c>
      <c r="I311" s="13"/>
      <c r="J311" s="3" t="str">
        <f t="shared" si="54"/>
        <v/>
      </c>
      <c r="K311" s="62" t="e">
        <f>(VLOOKUP($J311,Herbicide_Data!$A$1:$L$61,9,TRUE))</f>
        <v>#N/A</v>
      </c>
      <c r="L311" s="62" t="e">
        <f>VLOOKUP($J311,Herbicide_Data!$A$1:$L$61,12,TRUE)</f>
        <v>#N/A</v>
      </c>
      <c r="M311" s="16" t="e">
        <f t="shared" si="49"/>
        <v>#N/A</v>
      </c>
      <c r="N311" s="62" t="str">
        <f t="shared" si="55"/>
        <v/>
      </c>
      <c r="O311" s="63" t="e">
        <f>VLOOKUP($N311,Herbicide_Data!$A$1:$L$61,9)</f>
        <v>#N/A</v>
      </c>
      <c r="P311" s="62" t="e">
        <f>VLOOKUP($N311,Herbicide_Data!$A$1:$P$61,13)</f>
        <v>#N/A</v>
      </c>
      <c r="Q311" s="16" t="e">
        <f t="shared" si="50"/>
        <v>#N/A</v>
      </c>
      <c r="R311" s="62" t="str">
        <f t="shared" si="56"/>
        <v/>
      </c>
      <c r="S311" s="63" t="e">
        <f>VLOOKUP($R311,Herbicide_Data!$A$1:$L$61,9)</f>
        <v>#N/A</v>
      </c>
      <c r="T311" s="62" t="e">
        <f>VLOOKUP($R311,Herbicide_Data!$A$1:$Q$61,13)</f>
        <v>#N/A</v>
      </c>
      <c r="U311" s="16" t="e">
        <f t="shared" si="51"/>
        <v>#N/A</v>
      </c>
      <c r="V311" s="62" t="b">
        <f t="shared" si="57"/>
        <v>0</v>
      </c>
      <c r="W311" s="63" t="e">
        <f>VLOOKUP($V311,Herbicide_Data!$A$1:$L$17,9)</f>
        <v>#N/A</v>
      </c>
      <c r="X311" s="62" t="e">
        <f>VLOOKUP($V311,Herbicide_Data!$A$1:$L$17,12)</f>
        <v>#N/A</v>
      </c>
      <c r="Y311" s="16" t="e">
        <f t="shared" si="52"/>
        <v>#N/A</v>
      </c>
      <c r="Z311" s="15"/>
      <c r="AA311" s="13"/>
      <c r="AB311" s="17"/>
      <c r="AC311" s="3"/>
      <c r="AD311" s="10"/>
      <c r="AE311" s="3"/>
      <c r="AF311" s="10"/>
      <c r="AG311" s="15"/>
      <c r="AH311" s="62" t="str">
        <f t="shared" si="58"/>
        <v/>
      </c>
      <c r="AI311" s="62" t="e">
        <f>VLOOKUP($AH311,Herbicide_Data!$A$1:$Q$61,13)</f>
        <v>#N/A</v>
      </c>
      <c r="AJ311" s="16" t="e">
        <f t="shared" si="53"/>
        <v>#N/A</v>
      </c>
      <c r="AK311" s="3"/>
      <c r="AL311" s="3"/>
      <c r="AM311" s="3"/>
      <c r="AN311" s="3"/>
      <c r="AO311" s="3"/>
      <c r="AP311" s="3"/>
      <c r="AQ311" s="18"/>
      <c r="AR311" s="19"/>
      <c r="AS311" s="19"/>
      <c r="AT311" s="20"/>
      <c r="AU311" s="20"/>
      <c r="AV311" s="21"/>
      <c r="AW311" s="22"/>
      <c r="AX311" s="19"/>
      <c r="AY311" s="19"/>
      <c r="AZ311" s="19"/>
      <c r="BA311" s="23"/>
      <c r="BB311" s="19"/>
      <c r="BC311" s="19"/>
      <c r="BD311" s="19"/>
    </row>
    <row r="312" spans="1:56">
      <c r="A312" s="13"/>
      <c r="B312" s="11"/>
      <c r="C312" s="12"/>
      <c r="D312" s="12">
        <f t="shared" si="48"/>
        <v>2.0833299999999999E-2</v>
      </c>
      <c r="E312" s="10"/>
      <c r="F312" s="10" t="str">
        <f>IFERROR(VLOOKUP(E312,Data!A$2:B$5,2,TRUE), "")</f>
        <v/>
      </c>
      <c r="G312" s="3"/>
      <c r="H312" s="13" t="str">
        <f>IFERROR(VLOOKUP(A312,Customer_Data!$A$1:$P$114,8,TRUE),"")</f>
        <v/>
      </c>
      <c r="I312" s="13"/>
      <c r="J312" s="3" t="str">
        <f t="shared" si="54"/>
        <v/>
      </c>
      <c r="K312" s="62" t="e">
        <f>(VLOOKUP($J312,Herbicide_Data!$A$1:$L$61,9,TRUE))</f>
        <v>#N/A</v>
      </c>
      <c r="L312" s="62" t="e">
        <f>VLOOKUP($J312,Herbicide_Data!$A$1:$L$61,12,TRUE)</f>
        <v>#N/A</v>
      </c>
      <c r="M312" s="16" t="e">
        <f t="shared" si="49"/>
        <v>#N/A</v>
      </c>
      <c r="N312" s="62" t="str">
        <f t="shared" si="55"/>
        <v/>
      </c>
      <c r="O312" s="63" t="e">
        <f>VLOOKUP($N312,Herbicide_Data!$A$1:$L$61,9)</f>
        <v>#N/A</v>
      </c>
      <c r="P312" s="62" t="e">
        <f>VLOOKUP($N312,Herbicide_Data!$A$1:$P$61,13)</f>
        <v>#N/A</v>
      </c>
      <c r="Q312" s="16" t="e">
        <f t="shared" si="50"/>
        <v>#N/A</v>
      </c>
      <c r="R312" s="62" t="str">
        <f t="shared" si="56"/>
        <v/>
      </c>
      <c r="S312" s="63" t="e">
        <f>VLOOKUP($R312,Herbicide_Data!$A$1:$L$61,9)</f>
        <v>#N/A</v>
      </c>
      <c r="T312" s="62" t="e">
        <f>VLOOKUP($R312,Herbicide_Data!$A$1:$Q$61,13)</f>
        <v>#N/A</v>
      </c>
      <c r="U312" s="16" t="e">
        <f t="shared" si="51"/>
        <v>#N/A</v>
      </c>
      <c r="V312" s="62" t="b">
        <f t="shared" si="57"/>
        <v>0</v>
      </c>
      <c r="W312" s="63" t="e">
        <f>VLOOKUP($V312,Herbicide_Data!$A$1:$L$17,9)</f>
        <v>#N/A</v>
      </c>
      <c r="X312" s="62" t="e">
        <f>VLOOKUP($V312,Herbicide_Data!$A$1:$L$17,12)</f>
        <v>#N/A</v>
      </c>
      <c r="Y312" s="16" t="e">
        <f t="shared" si="52"/>
        <v>#N/A</v>
      </c>
      <c r="Z312" s="15"/>
      <c r="AA312" s="13"/>
      <c r="AB312" s="17"/>
      <c r="AC312" s="3"/>
      <c r="AD312" s="10"/>
      <c r="AE312" s="3"/>
      <c r="AF312" s="10"/>
      <c r="AG312" s="15"/>
      <c r="AH312" s="62" t="str">
        <f t="shared" si="58"/>
        <v/>
      </c>
      <c r="AI312" s="62" t="e">
        <f>VLOOKUP($AH312,Herbicide_Data!$A$1:$Q$61,13)</f>
        <v>#N/A</v>
      </c>
      <c r="AJ312" s="16" t="e">
        <f t="shared" si="53"/>
        <v>#N/A</v>
      </c>
      <c r="AK312" s="3"/>
      <c r="AL312" s="3"/>
      <c r="AM312" s="3"/>
      <c r="AN312" s="3"/>
      <c r="AO312" s="3"/>
      <c r="AP312" s="3"/>
      <c r="AQ312" s="18"/>
      <c r="AR312" s="19"/>
      <c r="AS312" s="19"/>
      <c r="AT312" s="20"/>
      <c r="AU312" s="20"/>
      <c r="AV312" s="21"/>
      <c r="AW312" s="22"/>
      <c r="AX312" s="19"/>
      <c r="AY312" s="19"/>
      <c r="AZ312" s="19"/>
      <c r="BA312" s="23"/>
      <c r="BB312" s="19"/>
      <c r="BC312" s="19"/>
      <c r="BD312" s="19"/>
    </row>
    <row r="313" spans="1:56">
      <c r="A313" s="13"/>
      <c r="B313" s="11"/>
      <c r="C313" s="12"/>
      <c r="D313" s="12">
        <f t="shared" si="48"/>
        <v>2.0833299999999999E-2</v>
      </c>
      <c r="E313" s="10"/>
      <c r="F313" s="10" t="str">
        <f>IFERROR(VLOOKUP(E313,Data!A$2:B$5,2,TRUE), "")</f>
        <v/>
      </c>
      <c r="G313" s="3"/>
      <c r="H313" s="13" t="str">
        <f>IFERROR(VLOOKUP(A313,Customer_Data!$A$1:$P$114,8,TRUE),"")</f>
        <v/>
      </c>
      <c r="I313" s="13"/>
      <c r="J313" s="3" t="str">
        <f t="shared" si="54"/>
        <v/>
      </c>
      <c r="K313" s="62" t="e">
        <f>(VLOOKUP($J313,Herbicide_Data!$A$1:$L$61,9,TRUE))</f>
        <v>#N/A</v>
      </c>
      <c r="L313" s="62" t="e">
        <f>VLOOKUP($J313,Herbicide_Data!$A$1:$L$61,12,TRUE)</f>
        <v>#N/A</v>
      </c>
      <c r="M313" s="16" t="e">
        <f t="shared" si="49"/>
        <v>#N/A</v>
      </c>
      <c r="N313" s="62" t="str">
        <f t="shared" si="55"/>
        <v/>
      </c>
      <c r="O313" s="63" t="e">
        <f>VLOOKUP($N313,Herbicide_Data!$A$1:$L$61,9)</f>
        <v>#N/A</v>
      </c>
      <c r="P313" s="62" t="e">
        <f>VLOOKUP($N313,Herbicide_Data!$A$1:$P$61,13)</f>
        <v>#N/A</v>
      </c>
      <c r="Q313" s="16" t="e">
        <f t="shared" si="50"/>
        <v>#N/A</v>
      </c>
      <c r="R313" s="62" t="str">
        <f t="shared" si="56"/>
        <v/>
      </c>
      <c r="S313" s="63" t="e">
        <f>VLOOKUP($R313,Herbicide_Data!$A$1:$L$61,9)</f>
        <v>#N/A</v>
      </c>
      <c r="T313" s="62" t="e">
        <f>VLOOKUP($R313,Herbicide_Data!$A$1:$Q$61,13)</f>
        <v>#N/A</v>
      </c>
      <c r="U313" s="16" t="e">
        <f t="shared" si="51"/>
        <v>#N/A</v>
      </c>
      <c r="V313" s="62" t="b">
        <f t="shared" si="57"/>
        <v>0</v>
      </c>
      <c r="W313" s="63" t="e">
        <f>VLOOKUP($V313,Herbicide_Data!$A$1:$L$17,9)</f>
        <v>#N/A</v>
      </c>
      <c r="X313" s="62" t="e">
        <f>VLOOKUP($V313,Herbicide_Data!$A$1:$L$17,12)</f>
        <v>#N/A</v>
      </c>
      <c r="Y313" s="16" t="e">
        <f t="shared" si="52"/>
        <v>#N/A</v>
      </c>
      <c r="Z313" s="15"/>
      <c r="AA313" s="13"/>
      <c r="AB313" s="17"/>
      <c r="AC313" s="3"/>
      <c r="AD313" s="10"/>
      <c r="AE313" s="3"/>
      <c r="AF313" s="10"/>
      <c r="AG313" s="15"/>
      <c r="AH313" s="62" t="str">
        <f t="shared" si="58"/>
        <v/>
      </c>
      <c r="AI313" s="62" t="e">
        <f>VLOOKUP($AH313,Herbicide_Data!$A$1:$Q$61,13)</f>
        <v>#N/A</v>
      </c>
      <c r="AJ313" s="16" t="e">
        <f t="shared" si="53"/>
        <v>#N/A</v>
      </c>
      <c r="AK313" s="3"/>
      <c r="AL313" s="3"/>
      <c r="AM313" s="3"/>
      <c r="AN313" s="3"/>
      <c r="AO313" s="3"/>
      <c r="AP313" s="3"/>
      <c r="AQ313" s="18"/>
      <c r="AR313" s="19"/>
      <c r="AS313" s="19"/>
      <c r="AT313" s="20"/>
      <c r="AU313" s="20"/>
      <c r="AV313" s="21"/>
      <c r="AW313" s="22"/>
      <c r="AX313" s="19"/>
      <c r="AY313" s="19"/>
      <c r="AZ313" s="19"/>
      <c r="BA313" s="23"/>
      <c r="BB313" s="19"/>
      <c r="BC313" s="19"/>
      <c r="BD313" s="19"/>
    </row>
    <row r="314" spans="1:56">
      <c r="A314" s="13"/>
      <c r="B314" s="11"/>
      <c r="C314" s="12"/>
      <c r="D314" s="12">
        <f t="shared" si="48"/>
        <v>2.0833299999999999E-2</v>
      </c>
      <c r="E314" s="10"/>
      <c r="F314" s="10" t="str">
        <f>IFERROR(VLOOKUP(E314,Data!A$2:B$5,2,TRUE), "")</f>
        <v/>
      </c>
      <c r="G314" s="3"/>
      <c r="H314" s="13" t="str">
        <f>IFERROR(VLOOKUP(A314,Customer_Data!$A$1:$P$114,8,TRUE),"")</f>
        <v/>
      </c>
      <c r="I314" s="13"/>
      <c r="J314" s="3" t="str">
        <f t="shared" si="54"/>
        <v/>
      </c>
      <c r="K314" s="62" t="e">
        <f>(VLOOKUP($J314,Herbicide_Data!$A$1:$L$61,9,TRUE))</f>
        <v>#N/A</v>
      </c>
      <c r="L314" s="62" t="e">
        <f>VLOOKUP($J314,Herbicide_Data!$A$1:$L$61,12,TRUE)</f>
        <v>#N/A</v>
      </c>
      <c r="M314" s="16" t="e">
        <f t="shared" si="49"/>
        <v>#N/A</v>
      </c>
      <c r="N314" s="62" t="str">
        <f t="shared" si="55"/>
        <v/>
      </c>
      <c r="O314" s="63" t="e">
        <f>VLOOKUP($N314,Herbicide_Data!$A$1:$L$61,9)</f>
        <v>#N/A</v>
      </c>
      <c r="P314" s="62" t="e">
        <f>VLOOKUP($N314,Herbicide_Data!$A$1:$P$61,13)</f>
        <v>#N/A</v>
      </c>
      <c r="Q314" s="16" t="e">
        <f t="shared" si="50"/>
        <v>#N/A</v>
      </c>
      <c r="R314" s="62" t="str">
        <f t="shared" si="56"/>
        <v/>
      </c>
      <c r="S314" s="63" t="e">
        <f>VLOOKUP($R314,Herbicide_Data!$A$1:$L$61,9)</f>
        <v>#N/A</v>
      </c>
      <c r="T314" s="62" t="e">
        <f>VLOOKUP($R314,Herbicide_Data!$A$1:$Q$61,13)</f>
        <v>#N/A</v>
      </c>
      <c r="U314" s="16" t="e">
        <f t="shared" si="51"/>
        <v>#N/A</v>
      </c>
      <c r="V314" s="62" t="b">
        <f t="shared" si="57"/>
        <v>0</v>
      </c>
      <c r="W314" s="63" t="e">
        <f>VLOOKUP($V314,Herbicide_Data!$A$1:$L$17,9)</f>
        <v>#N/A</v>
      </c>
      <c r="X314" s="62" t="e">
        <f>VLOOKUP($V314,Herbicide_Data!$A$1:$L$17,12)</f>
        <v>#N/A</v>
      </c>
      <c r="Y314" s="16" t="e">
        <f t="shared" si="52"/>
        <v>#N/A</v>
      </c>
      <c r="Z314" s="15"/>
      <c r="AA314" s="13"/>
      <c r="AB314" s="17"/>
      <c r="AC314" s="3"/>
      <c r="AD314" s="10"/>
      <c r="AE314" s="3"/>
      <c r="AF314" s="10"/>
      <c r="AG314" s="15"/>
      <c r="AH314" s="62" t="str">
        <f t="shared" si="58"/>
        <v/>
      </c>
      <c r="AI314" s="62" t="e">
        <f>VLOOKUP($AH314,Herbicide_Data!$A$1:$Q$61,13)</f>
        <v>#N/A</v>
      </c>
      <c r="AJ314" s="16" t="e">
        <f t="shared" si="53"/>
        <v>#N/A</v>
      </c>
      <c r="AK314" s="3"/>
      <c r="AL314" s="3"/>
      <c r="AM314" s="3"/>
      <c r="AN314" s="3"/>
      <c r="AO314" s="3"/>
      <c r="AP314" s="3"/>
      <c r="AQ314" s="18"/>
      <c r="AR314" s="19"/>
      <c r="AS314" s="19"/>
      <c r="AT314" s="20"/>
      <c r="AU314" s="20"/>
      <c r="AV314" s="21"/>
      <c r="AW314" s="22"/>
      <c r="AX314" s="19"/>
      <c r="AY314" s="19"/>
      <c r="AZ314" s="19"/>
      <c r="BA314" s="23"/>
      <c r="BB314" s="19"/>
      <c r="BC314" s="19"/>
      <c r="BD314" s="19"/>
    </row>
    <row r="315" spans="1:56">
      <c r="A315" s="13"/>
      <c r="B315" s="11"/>
      <c r="C315" s="12"/>
      <c r="D315" s="12">
        <f t="shared" si="48"/>
        <v>2.0833299999999999E-2</v>
      </c>
      <c r="E315" s="10"/>
      <c r="F315" s="10" t="str">
        <f>IFERROR(VLOOKUP(E315,Data!A$2:B$5,2,TRUE), "")</f>
        <v/>
      </c>
      <c r="G315" s="3"/>
      <c r="H315" s="13" t="str">
        <f>IFERROR(VLOOKUP(A315,Customer_Data!$A$1:$P$114,8,TRUE),"")</f>
        <v/>
      </c>
      <c r="I315" s="13"/>
      <c r="J315" s="3" t="str">
        <f t="shared" si="54"/>
        <v/>
      </c>
      <c r="K315" s="62" t="e">
        <f>(VLOOKUP($J315,Herbicide_Data!$A$1:$L$61,9,TRUE))</f>
        <v>#N/A</v>
      </c>
      <c r="L315" s="62" t="e">
        <f>VLOOKUP($J315,Herbicide_Data!$A$1:$L$61,12,TRUE)</f>
        <v>#N/A</v>
      </c>
      <c r="M315" s="16" t="e">
        <f t="shared" si="49"/>
        <v>#N/A</v>
      </c>
      <c r="N315" s="62" t="str">
        <f t="shared" si="55"/>
        <v/>
      </c>
      <c r="O315" s="63" t="e">
        <f>VLOOKUP($N315,Herbicide_Data!$A$1:$L$61,9)</f>
        <v>#N/A</v>
      </c>
      <c r="P315" s="62" t="e">
        <f>VLOOKUP($N315,Herbicide_Data!$A$1:$P$61,13)</f>
        <v>#N/A</v>
      </c>
      <c r="Q315" s="16" t="e">
        <f t="shared" si="50"/>
        <v>#N/A</v>
      </c>
      <c r="R315" s="62" t="str">
        <f t="shared" si="56"/>
        <v/>
      </c>
      <c r="S315" s="63" t="e">
        <f>VLOOKUP($R315,Herbicide_Data!$A$1:$L$61,9)</f>
        <v>#N/A</v>
      </c>
      <c r="T315" s="62" t="e">
        <f>VLOOKUP($R315,Herbicide_Data!$A$1:$Q$61,13)</f>
        <v>#N/A</v>
      </c>
      <c r="U315" s="16" t="e">
        <f t="shared" si="51"/>
        <v>#N/A</v>
      </c>
      <c r="V315" s="62" t="b">
        <f t="shared" si="57"/>
        <v>0</v>
      </c>
      <c r="W315" s="63" t="e">
        <f>VLOOKUP($V315,Herbicide_Data!$A$1:$L$17,9)</f>
        <v>#N/A</v>
      </c>
      <c r="X315" s="62" t="e">
        <f>VLOOKUP($V315,Herbicide_Data!$A$1:$L$17,12)</f>
        <v>#N/A</v>
      </c>
      <c r="Y315" s="16" t="e">
        <f t="shared" si="52"/>
        <v>#N/A</v>
      </c>
      <c r="Z315" s="15"/>
      <c r="AA315" s="13"/>
      <c r="AB315" s="17"/>
      <c r="AC315" s="3"/>
      <c r="AD315" s="10"/>
      <c r="AE315" s="3"/>
      <c r="AF315" s="10"/>
      <c r="AG315" s="15"/>
      <c r="AH315" s="62" t="str">
        <f t="shared" si="58"/>
        <v/>
      </c>
      <c r="AI315" s="62" t="e">
        <f>VLOOKUP($AH315,Herbicide_Data!$A$1:$Q$61,13)</f>
        <v>#N/A</v>
      </c>
      <c r="AJ315" s="16" t="e">
        <f t="shared" si="53"/>
        <v>#N/A</v>
      </c>
      <c r="AK315" s="3"/>
      <c r="AL315" s="3"/>
      <c r="AM315" s="3"/>
      <c r="AN315" s="3"/>
      <c r="AO315" s="3"/>
      <c r="AP315" s="3"/>
      <c r="AQ315" s="18"/>
      <c r="AR315" s="19"/>
      <c r="AS315" s="19"/>
      <c r="AT315" s="20"/>
      <c r="AU315" s="20"/>
      <c r="AV315" s="21"/>
      <c r="AW315" s="22"/>
      <c r="AX315" s="19"/>
      <c r="AY315" s="19"/>
      <c r="AZ315" s="19"/>
      <c r="BA315" s="23"/>
      <c r="BB315" s="19"/>
      <c r="BC315" s="19"/>
      <c r="BD315" s="19"/>
    </row>
    <row r="316" spans="1:56">
      <c r="A316" s="13"/>
      <c r="B316" s="11"/>
      <c r="C316" s="12"/>
      <c r="D316" s="12">
        <f t="shared" si="48"/>
        <v>2.0833299999999999E-2</v>
      </c>
      <c r="E316" s="10"/>
      <c r="F316" s="10" t="str">
        <f>IFERROR(VLOOKUP(E316,Data!A$2:B$5,2,TRUE), "")</f>
        <v/>
      </c>
      <c r="G316" s="3"/>
      <c r="H316" s="13" t="str">
        <f>IFERROR(VLOOKUP(A316,Customer_Data!$A$1:$P$114,8,TRUE),"")</f>
        <v/>
      </c>
      <c r="I316" s="13"/>
      <c r="J316" s="3" t="str">
        <f t="shared" si="54"/>
        <v/>
      </c>
      <c r="K316" s="62" t="e">
        <f>(VLOOKUP($J316,Herbicide_Data!$A$1:$L$61,9,TRUE))</f>
        <v>#N/A</v>
      </c>
      <c r="L316" s="62" t="e">
        <f>VLOOKUP($J316,Herbicide_Data!$A$1:$L$61,12,TRUE)</f>
        <v>#N/A</v>
      </c>
      <c r="M316" s="16" t="e">
        <f t="shared" si="49"/>
        <v>#N/A</v>
      </c>
      <c r="N316" s="62" t="str">
        <f t="shared" si="55"/>
        <v/>
      </c>
      <c r="O316" s="63" t="e">
        <f>VLOOKUP($N316,Herbicide_Data!$A$1:$L$61,9)</f>
        <v>#N/A</v>
      </c>
      <c r="P316" s="62" t="e">
        <f>VLOOKUP($N316,Herbicide_Data!$A$1:$P$61,13)</f>
        <v>#N/A</v>
      </c>
      <c r="Q316" s="16" t="e">
        <f t="shared" si="50"/>
        <v>#N/A</v>
      </c>
      <c r="R316" s="62" t="str">
        <f t="shared" si="56"/>
        <v/>
      </c>
      <c r="S316" s="63" t="e">
        <f>VLOOKUP($R316,Herbicide_Data!$A$1:$L$61,9)</f>
        <v>#N/A</v>
      </c>
      <c r="T316" s="62" t="e">
        <f>VLOOKUP($R316,Herbicide_Data!$A$1:$Q$61,13)</f>
        <v>#N/A</v>
      </c>
      <c r="U316" s="16" t="e">
        <f t="shared" si="51"/>
        <v>#N/A</v>
      </c>
      <c r="V316" s="62" t="b">
        <f t="shared" si="57"/>
        <v>0</v>
      </c>
      <c r="W316" s="63" t="e">
        <f>VLOOKUP($V316,Herbicide_Data!$A$1:$L$17,9)</f>
        <v>#N/A</v>
      </c>
      <c r="X316" s="62" t="e">
        <f>VLOOKUP($V316,Herbicide_Data!$A$1:$L$17,12)</f>
        <v>#N/A</v>
      </c>
      <c r="Y316" s="16" t="e">
        <f t="shared" si="52"/>
        <v>#N/A</v>
      </c>
      <c r="Z316" s="15"/>
      <c r="AA316" s="13"/>
      <c r="AB316" s="17"/>
      <c r="AC316" s="3"/>
      <c r="AD316" s="10"/>
      <c r="AE316" s="3"/>
      <c r="AF316" s="10"/>
      <c r="AG316" s="15"/>
      <c r="AH316" s="62" t="str">
        <f t="shared" si="58"/>
        <v/>
      </c>
      <c r="AI316" s="62" t="e">
        <f>VLOOKUP($AH316,Herbicide_Data!$A$1:$Q$61,13)</f>
        <v>#N/A</v>
      </c>
      <c r="AJ316" s="16" t="e">
        <f t="shared" si="53"/>
        <v>#N/A</v>
      </c>
      <c r="AK316" s="3"/>
      <c r="AL316" s="3"/>
      <c r="AM316" s="3"/>
      <c r="AN316" s="3"/>
      <c r="AO316" s="3"/>
      <c r="AP316" s="3"/>
      <c r="AQ316" s="18"/>
      <c r="AR316" s="19"/>
      <c r="AS316" s="19"/>
      <c r="AT316" s="20"/>
      <c r="AU316" s="20"/>
      <c r="AV316" s="21"/>
      <c r="AW316" s="22"/>
      <c r="AX316" s="19"/>
      <c r="AY316" s="19"/>
      <c r="AZ316" s="19"/>
      <c r="BA316" s="23"/>
      <c r="BB316" s="19"/>
      <c r="BC316" s="19"/>
      <c r="BD316" s="19"/>
    </row>
    <row r="317" spans="1:56">
      <c r="A317" s="13"/>
      <c r="B317" s="11"/>
      <c r="C317" s="12"/>
      <c r="D317" s="12">
        <f t="shared" si="48"/>
        <v>2.0833299999999999E-2</v>
      </c>
      <c r="E317" s="10"/>
      <c r="F317" s="10" t="str">
        <f>IFERROR(VLOOKUP(E317,Data!A$2:B$5,2,TRUE), "")</f>
        <v/>
      </c>
      <c r="G317" s="3"/>
      <c r="H317" s="13" t="str">
        <f>IFERROR(VLOOKUP(A317,Customer_Data!$A$1:$P$114,8,TRUE),"")</f>
        <v/>
      </c>
      <c r="I317" s="13"/>
      <c r="J317" s="3" t="str">
        <f t="shared" si="54"/>
        <v/>
      </c>
      <c r="K317" s="62" t="e">
        <f>(VLOOKUP($J317,Herbicide_Data!$A$1:$L$61,9,TRUE))</f>
        <v>#N/A</v>
      </c>
      <c r="L317" s="62" t="e">
        <f>VLOOKUP($J317,Herbicide_Data!$A$1:$L$61,12,TRUE)</f>
        <v>#N/A</v>
      </c>
      <c r="M317" s="16" t="e">
        <f t="shared" si="49"/>
        <v>#N/A</v>
      </c>
      <c r="N317" s="62" t="str">
        <f t="shared" si="55"/>
        <v/>
      </c>
      <c r="O317" s="63" t="e">
        <f>VLOOKUP($N317,Herbicide_Data!$A$1:$L$61,9)</f>
        <v>#N/A</v>
      </c>
      <c r="P317" s="62" t="e">
        <f>VLOOKUP($N317,Herbicide_Data!$A$1:$P$61,13)</f>
        <v>#N/A</v>
      </c>
      <c r="Q317" s="16" t="e">
        <f t="shared" si="50"/>
        <v>#N/A</v>
      </c>
      <c r="R317" s="62" t="str">
        <f t="shared" si="56"/>
        <v/>
      </c>
      <c r="S317" s="63" t="e">
        <f>VLOOKUP($R317,Herbicide_Data!$A$1:$L$61,9)</f>
        <v>#N/A</v>
      </c>
      <c r="T317" s="62" t="e">
        <f>VLOOKUP($R317,Herbicide_Data!$A$1:$Q$61,13)</f>
        <v>#N/A</v>
      </c>
      <c r="U317" s="16" t="e">
        <f t="shared" si="51"/>
        <v>#N/A</v>
      </c>
      <c r="V317" s="62" t="b">
        <f t="shared" si="57"/>
        <v>0</v>
      </c>
      <c r="W317" s="63" t="e">
        <f>VLOOKUP($V317,Herbicide_Data!$A$1:$L$17,9)</f>
        <v>#N/A</v>
      </c>
      <c r="X317" s="62" t="e">
        <f>VLOOKUP($V317,Herbicide_Data!$A$1:$L$17,12)</f>
        <v>#N/A</v>
      </c>
      <c r="Y317" s="16" t="e">
        <f t="shared" si="52"/>
        <v>#N/A</v>
      </c>
      <c r="Z317" s="15"/>
      <c r="AA317" s="13"/>
      <c r="AB317" s="17"/>
      <c r="AC317" s="3"/>
      <c r="AD317" s="10"/>
      <c r="AE317" s="3"/>
      <c r="AF317" s="10"/>
      <c r="AG317" s="15"/>
      <c r="AH317" s="62" t="str">
        <f t="shared" si="58"/>
        <v/>
      </c>
      <c r="AI317" s="62" t="e">
        <f>VLOOKUP($AH317,Herbicide_Data!$A$1:$Q$61,13)</f>
        <v>#N/A</v>
      </c>
      <c r="AJ317" s="16" t="e">
        <f t="shared" si="53"/>
        <v>#N/A</v>
      </c>
      <c r="AK317" s="3"/>
      <c r="AL317" s="3"/>
      <c r="AM317" s="3"/>
      <c r="AN317" s="3"/>
      <c r="AO317" s="3"/>
      <c r="AP317" s="3"/>
      <c r="AQ317" s="18"/>
      <c r="AR317" s="19"/>
      <c r="AS317" s="19"/>
      <c r="AT317" s="20"/>
      <c r="AU317" s="20"/>
      <c r="AV317" s="21"/>
      <c r="AW317" s="22"/>
      <c r="AX317" s="19"/>
      <c r="AY317" s="19"/>
      <c r="AZ317" s="19"/>
      <c r="BA317" s="23"/>
      <c r="BB317" s="19"/>
      <c r="BC317" s="19"/>
      <c r="BD317" s="19"/>
    </row>
    <row r="318" spans="1:56">
      <c r="A318" s="13"/>
      <c r="B318" s="11"/>
      <c r="C318" s="12"/>
      <c r="D318" s="12">
        <f t="shared" si="48"/>
        <v>2.0833299999999999E-2</v>
      </c>
      <c r="E318" s="10"/>
      <c r="F318" s="10" t="str">
        <f>IFERROR(VLOOKUP(E318,Data!A$2:B$5,2,TRUE), "")</f>
        <v/>
      </c>
      <c r="G318" s="3"/>
      <c r="H318" s="13" t="str">
        <f>IFERROR(VLOOKUP(A318,Customer_Data!$A$1:$P$114,8,TRUE),"")</f>
        <v/>
      </c>
      <c r="I318" s="13"/>
      <c r="J318" s="3" t="str">
        <f t="shared" si="54"/>
        <v/>
      </c>
      <c r="K318" s="62" t="e">
        <f>(VLOOKUP($J318,Herbicide_Data!$A$1:$L$61,9,TRUE))</f>
        <v>#N/A</v>
      </c>
      <c r="L318" s="62" t="e">
        <f>VLOOKUP($J318,Herbicide_Data!$A$1:$L$61,12,TRUE)</f>
        <v>#N/A</v>
      </c>
      <c r="M318" s="16" t="e">
        <f t="shared" si="49"/>
        <v>#N/A</v>
      </c>
      <c r="N318" s="62" t="str">
        <f t="shared" si="55"/>
        <v/>
      </c>
      <c r="O318" s="63" t="e">
        <f>VLOOKUP($N318,Herbicide_Data!$A$1:$L$61,9)</f>
        <v>#N/A</v>
      </c>
      <c r="P318" s="62" t="e">
        <f>VLOOKUP($N318,Herbicide_Data!$A$1:$P$61,13)</f>
        <v>#N/A</v>
      </c>
      <c r="Q318" s="16" t="e">
        <f t="shared" si="50"/>
        <v>#N/A</v>
      </c>
      <c r="R318" s="62" t="str">
        <f t="shared" si="56"/>
        <v/>
      </c>
      <c r="S318" s="63" t="e">
        <f>VLOOKUP($R318,Herbicide_Data!$A$1:$L$61,9)</f>
        <v>#N/A</v>
      </c>
      <c r="T318" s="62" t="e">
        <f>VLOOKUP($R318,Herbicide_Data!$A$1:$Q$61,13)</f>
        <v>#N/A</v>
      </c>
      <c r="U318" s="16" t="e">
        <f t="shared" si="51"/>
        <v>#N/A</v>
      </c>
      <c r="V318" s="62" t="b">
        <f t="shared" si="57"/>
        <v>0</v>
      </c>
      <c r="W318" s="63" t="e">
        <f>VLOOKUP($V318,Herbicide_Data!$A$1:$L$17,9)</f>
        <v>#N/A</v>
      </c>
      <c r="X318" s="62" t="e">
        <f>VLOOKUP($V318,Herbicide_Data!$A$1:$L$17,12)</f>
        <v>#N/A</v>
      </c>
      <c r="Y318" s="16" t="e">
        <f t="shared" si="52"/>
        <v>#N/A</v>
      </c>
      <c r="Z318" s="15"/>
      <c r="AA318" s="13"/>
      <c r="AB318" s="17"/>
      <c r="AC318" s="3"/>
      <c r="AD318" s="10"/>
      <c r="AE318" s="3"/>
      <c r="AF318" s="10"/>
      <c r="AG318" s="15"/>
      <c r="AH318" s="62" t="str">
        <f t="shared" si="58"/>
        <v/>
      </c>
      <c r="AI318" s="62" t="e">
        <f>VLOOKUP($AH318,Herbicide_Data!$A$1:$Q$61,13)</f>
        <v>#N/A</v>
      </c>
      <c r="AJ318" s="16" t="e">
        <f t="shared" si="53"/>
        <v>#N/A</v>
      </c>
      <c r="AK318" s="3"/>
      <c r="AL318" s="3"/>
      <c r="AM318" s="3"/>
      <c r="AN318" s="3"/>
      <c r="AO318" s="3"/>
      <c r="AP318" s="3"/>
      <c r="AQ318" s="18"/>
      <c r="AR318" s="19"/>
      <c r="AS318" s="19"/>
      <c r="AT318" s="20"/>
      <c r="AU318" s="20"/>
      <c r="AV318" s="21"/>
      <c r="AW318" s="22"/>
      <c r="AX318" s="19"/>
      <c r="AY318" s="19"/>
      <c r="AZ318" s="19"/>
      <c r="BA318" s="23"/>
      <c r="BB318" s="19"/>
      <c r="BC318" s="19"/>
      <c r="BD318" s="19"/>
    </row>
    <row r="319" spans="1:56">
      <c r="A319" s="13"/>
      <c r="B319" s="11"/>
      <c r="C319" s="12"/>
      <c r="D319" s="12">
        <f t="shared" si="48"/>
        <v>2.0833299999999999E-2</v>
      </c>
      <c r="E319" s="10"/>
      <c r="F319" s="10" t="str">
        <f>IFERROR(VLOOKUP(E319,Data!A$2:B$5,2,TRUE), "")</f>
        <v/>
      </c>
      <c r="G319" s="3"/>
      <c r="H319" s="13" t="str">
        <f>IFERROR(VLOOKUP(A319,Customer_Data!$A$1:$P$114,8,TRUE),"")</f>
        <v/>
      </c>
      <c r="I319" s="13"/>
      <c r="J319" s="3" t="str">
        <f t="shared" si="54"/>
        <v/>
      </c>
      <c r="K319" s="62" t="e">
        <f>(VLOOKUP($J319,Herbicide_Data!$A$1:$L$61,9,TRUE))</f>
        <v>#N/A</v>
      </c>
      <c r="L319" s="62" t="e">
        <f>VLOOKUP($J319,Herbicide_Data!$A$1:$L$61,12,TRUE)</f>
        <v>#N/A</v>
      </c>
      <c r="M319" s="16" t="e">
        <f t="shared" si="49"/>
        <v>#N/A</v>
      </c>
      <c r="N319" s="62" t="str">
        <f t="shared" si="55"/>
        <v/>
      </c>
      <c r="O319" s="63" t="e">
        <f>VLOOKUP($N319,Herbicide_Data!$A$1:$L$61,9)</f>
        <v>#N/A</v>
      </c>
      <c r="P319" s="62" t="e">
        <f>VLOOKUP($N319,Herbicide_Data!$A$1:$P$61,13)</f>
        <v>#N/A</v>
      </c>
      <c r="Q319" s="16" t="e">
        <f t="shared" si="50"/>
        <v>#N/A</v>
      </c>
      <c r="R319" s="62" t="str">
        <f t="shared" si="56"/>
        <v/>
      </c>
      <c r="S319" s="63" t="e">
        <f>VLOOKUP($R319,Herbicide_Data!$A$1:$L$61,9)</f>
        <v>#N/A</v>
      </c>
      <c r="T319" s="62" t="e">
        <f>VLOOKUP($R319,Herbicide_Data!$A$1:$Q$61,13)</f>
        <v>#N/A</v>
      </c>
      <c r="U319" s="16" t="e">
        <f t="shared" si="51"/>
        <v>#N/A</v>
      </c>
      <c r="V319" s="62" t="b">
        <f t="shared" si="57"/>
        <v>0</v>
      </c>
      <c r="W319" s="63" t="e">
        <f>VLOOKUP($V319,Herbicide_Data!$A$1:$L$17,9)</f>
        <v>#N/A</v>
      </c>
      <c r="X319" s="62" t="e">
        <f>VLOOKUP($V319,Herbicide_Data!$A$1:$L$17,12)</f>
        <v>#N/A</v>
      </c>
      <c r="Y319" s="16" t="e">
        <f t="shared" si="52"/>
        <v>#N/A</v>
      </c>
      <c r="Z319" s="15"/>
      <c r="AA319" s="13"/>
      <c r="AB319" s="17"/>
      <c r="AC319" s="3"/>
      <c r="AD319" s="10"/>
      <c r="AE319" s="3"/>
      <c r="AF319" s="10"/>
      <c r="AG319" s="15"/>
      <c r="AH319" s="62" t="str">
        <f t="shared" si="58"/>
        <v/>
      </c>
      <c r="AI319" s="62" t="e">
        <f>VLOOKUP($AH319,Herbicide_Data!$A$1:$Q$61,13)</f>
        <v>#N/A</v>
      </c>
      <c r="AJ319" s="16" t="e">
        <f t="shared" si="53"/>
        <v>#N/A</v>
      </c>
      <c r="AK319" s="3"/>
      <c r="AL319" s="3"/>
      <c r="AM319" s="3"/>
      <c r="AN319" s="3"/>
      <c r="AO319" s="3"/>
      <c r="AP319" s="3"/>
      <c r="AQ319" s="18"/>
      <c r="AR319" s="19"/>
      <c r="AS319" s="19"/>
      <c r="AT319" s="20"/>
      <c r="AU319" s="20"/>
      <c r="AV319" s="21"/>
      <c r="AW319" s="22"/>
      <c r="AX319" s="19"/>
      <c r="AY319" s="19"/>
      <c r="AZ319" s="19"/>
      <c r="BA319" s="23"/>
      <c r="BB319" s="19"/>
      <c r="BC319" s="19"/>
      <c r="BD319" s="19"/>
    </row>
    <row r="320" spans="1:56">
      <c r="A320" s="13"/>
      <c r="B320" s="11"/>
      <c r="C320" s="12"/>
      <c r="D320" s="12">
        <f t="shared" si="48"/>
        <v>2.0833299999999999E-2</v>
      </c>
      <c r="E320" s="10"/>
      <c r="F320" s="10" t="str">
        <f>IFERROR(VLOOKUP(E320,Data!A$2:B$5,2,TRUE), "")</f>
        <v/>
      </c>
      <c r="G320" s="3"/>
      <c r="H320" s="13" t="str">
        <f>IFERROR(VLOOKUP(A320,Customer_Data!$A$1:$P$114,8,TRUE),"")</f>
        <v/>
      </c>
      <c r="I320" s="13"/>
      <c r="J320" s="3" t="str">
        <f t="shared" si="54"/>
        <v/>
      </c>
      <c r="K320" s="62" t="e">
        <f>(VLOOKUP($J320,Herbicide_Data!$A$1:$L$61,9,TRUE))</f>
        <v>#N/A</v>
      </c>
      <c r="L320" s="62" t="e">
        <f>VLOOKUP($J320,Herbicide_Data!$A$1:$L$61,12,TRUE)</f>
        <v>#N/A</v>
      </c>
      <c r="M320" s="16" t="e">
        <f t="shared" si="49"/>
        <v>#N/A</v>
      </c>
      <c r="N320" s="62" t="str">
        <f t="shared" si="55"/>
        <v/>
      </c>
      <c r="O320" s="63" t="e">
        <f>VLOOKUP($N320,Herbicide_Data!$A$1:$L$61,9)</f>
        <v>#N/A</v>
      </c>
      <c r="P320" s="62" t="e">
        <f>VLOOKUP($N320,Herbicide_Data!$A$1:$P$61,13)</f>
        <v>#N/A</v>
      </c>
      <c r="Q320" s="16" t="e">
        <f t="shared" si="50"/>
        <v>#N/A</v>
      </c>
      <c r="R320" s="62" t="str">
        <f t="shared" si="56"/>
        <v/>
      </c>
      <c r="S320" s="63" t="e">
        <f>VLOOKUP($R320,Herbicide_Data!$A$1:$L$61,9)</f>
        <v>#N/A</v>
      </c>
      <c r="T320" s="62" t="e">
        <f>VLOOKUP($R320,Herbicide_Data!$A$1:$Q$61,13)</f>
        <v>#N/A</v>
      </c>
      <c r="U320" s="16" t="e">
        <f t="shared" si="51"/>
        <v>#N/A</v>
      </c>
      <c r="V320" s="62" t="b">
        <f t="shared" si="57"/>
        <v>0</v>
      </c>
      <c r="W320" s="63" t="e">
        <f>VLOOKUP($V320,Herbicide_Data!$A$1:$L$17,9)</f>
        <v>#N/A</v>
      </c>
      <c r="X320" s="62" t="e">
        <f>VLOOKUP($V320,Herbicide_Data!$A$1:$L$17,12)</f>
        <v>#N/A</v>
      </c>
      <c r="Y320" s="16" t="e">
        <f t="shared" si="52"/>
        <v>#N/A</v>
      </c>
      <c r="Z320" s="15"/>
      <c r="AA320" s="13"/>
      <c r="AB320" s="17"/>
      <c r="AC320" s="3"/>
      <c r="AD320" s="10"/>
      <c r="AE320" s="3"/>
      <c r="AF320" s="10"/>
      <c r="AG320" s="15"/>
      <c r="AH320" s="62" t="str">
        <f t="shared" si="58"/>
        <v/>
      </c>
      <c r="AI320" s="62" t="e">
        <f>VLOOKUP($AH320,Herbicide_Data!$A$1:$Q$61,13)</f>
        <v>#N/A</v>
      </c>
      <c r="AJ320" s="16" t="e">
        <f t="shared" si="53"/>
        <v>#N/A</v>
      </c>
      <c r="AK320" s="3"/>
      <c r="AL320" s="3"/>
      <c r="AM320" s="3"/>
      <c r="AN320" s="3"/>
      <c r="AO320" s="3"/>
      <c r="AP320" s="3"/>
      <c r="AQ320" s="18"/>
      <c r="AR320" s="19"/>
      <c r="AS320" s="19"/>
      <c r="AT320" s="20"/>
      <c r="AU320" s="20"/>
      <c r="AV320" s="21"/>
      <c r="AW320" s="22"/>
      <c r="AX320" s="19"/>
      <c r="AY320" s="19"/>
      <c r="AZ320" s="19"/>
      <c r="BA320" s="23"/>
      <c r="BB320" s="19"/>
      <c r="BC320" s="19"/>
      <c r="BD320" s="19"/>
    </row>
    <row r="321" spans="1:56">
      <c r="A321" s="13"/>
      <c r="B321" s="11"/>
      <c r="C321" s="12"/>
      <c r="D321" s="12">
        <f t="shared" si="48"/>
        <v>2.0833299999999999E-2</v>
      </c>
      <c r="E321" s="10"/>
      <c r="F321" s="10" t="str">
        <f>IFERROR(VLOOKUP(E321,Data!A$2:B$5,2,TRUE), "")</f>
        <v/>
      </c>
      <c r="G321" s="3"/>
      <c r="H321" s="13" t="str">
        <f>IFERROR(VLOOKUP(A321,Customer_Data!$A$1:$P$114,8,TRUE),"")</f>
        <v/>
      </c>
      <c r="I321" s="13"/>
      <c r="J321" s="3" t="str">
        <f t="shared" si="54"/>
        <v/>
      </c>
      <c r="K321" s="62" t="e">
        <f>(VLOOKUP($J321,Herbicide_Data!$A$1:$L$61,9,TRUE))</f>
        <v>#N/A</v>
      </c>
      <c r="L321" s="62" t="e">
        <f>VLOOKUP($J321,Herbicide_Data!$A$1:$L$61,12,TRUE)</f>
        <v>#N/A</v>
      </c>
      <c r="M321" s="16" t="e">
        <f t="shared" si="49"/>
        <v>#N/A</v>
      </c>
      <c r="N321" s="62" t="str">
        <f t="shared" si="55"/>
        <v/>
      </c>
      <c r="O321" s="63" t="e">
        <f>VLOOKUP($N321,Herbicide_Data!$A$1:$L$61,9)</f>
        <v>#N/A</v>
      </c>
      <c r="P321" s="62" t="e">
        <f>VLOOKUP($N321,Herbicide_Data!$A$1:$P$61,13)</f>
        <v>#N/A</v>
      </c>
      <c r="Q321" s="16" t="e">
        <f t="shared" si="50"/>
        <v>#N/A</v>
      </c>
      <c r="R321" s="62" t="str">
        <f t="shared" si="56"/>
        <v/>
      </c>
      <c r="S321" s="63" t="e">
        <f>VLOOKUP($R321,Herbicide_Data!$A$1:$L$61,9)</f>
        <v>#N/A</v>
      </c>
      <c r="T321" s="62" t="e">
        <f>VLOOKUP($R321,Herbicide_Data!$A$1:$Q$61,13)</f>
        <v>#N/A</v>
      </c>
      <c r="U321" s="16" t="e">
        <f t="shared" si="51"/>
        <v>#N/A</v>
      </c>
      <c r="V321" s="62" t="b">
        <f t="shared" si="57"/>
        <v>0</v>
      </c>
      <c r="W321" s="63" t="e">
        <f>VLOOKUP($V321,Herbicide_Data!$A$1:$L$17,9)</f>
        <v>#N/A</v>
      </c>
      <c r="X321" s="62" t="e">
        <f>VLOOKUP($V321,Herbicide_Data!$A$1:$L$17,12)</f>
        <v>#N/A</v>
      </c>
      <c r="Y321" s="16" t="e">
        <f t="shared" si="52"/>
        <v>#N/A</v>
      </c>
      <c r="Z321" s="15"/>
      <c r="AA321" s="13"/>
      <c r="AB321" s="17"/>
      <c r="AC321" s="3"/>
      <c r="AD321" s="10"/>
      <c r="AE321" s="3"/>
      <c r="AF321" s="10"/>
      <c r="AG321" s="15"/>
      <c r="AH321" s="62" t="str">
        <f t="shared" si="58"/>
        <v/>
      </c>
      <c r="AI321" s="62" t="e">
        <f>VLOOKUP($AH321,Herbicide_Data!$A$1:$Q$61,13)</f>
        <v>#N/A</v>
      </c>
      <c r="AJ321" s="16" t="e">
        <f t="shared" si="53"/>
        <v>#N/A</v>
      </c>
      <c r="AK321" s="3"/>
      <c r="AL321" s="3"/>
      <c r="AM321" s="3"/>
      <c r="AN321" s="3"/>
      <c r="AO321" s="3"/>
      <c r="AP321" s="3"/>
      <c r="AQ321" s="18"/>
      <c r="AR321" s="19"/>
      <c r="AS321" s="19"/>
      <c r="AT321" s="20"/>
      <c r="AU321" s="20"/>
      <c r="AV321" s="21"/>
      <c r="AW321" s="22"/>
      <c r="AX321" s="19"/>
      <c r="AY321" s="19"/>
      <c r="AZ321" s="19"/>
      <c r="BA321" s="23"/>
      <c r="BB321" s="19"/>
      <c r="BC321" s="19"/>
      <c r="BD321" s="19"/>
    </row>
    <row r="322" spans="1:56">
      <c r="A322" s="13"/>
      <c r="B322" s="11"/>
      <c r="C322" s="12"/>
      <c r="D322" s="12">
        <f t="shared" ref="D322:D385" si="59">C322+0.0208333</f>
        <v>2.0833299999999999E-2</v>
      </c>
      <c r="E322" s="10"/>
      <c r="F322" s="10" t="str">
        <f>IFERROR(VLOOKUP(E322,Data!A$2:B$5,2,TRUE), "")</f>
        <v/>
      </c>
      <c r="G322" s="3"/>
      <c r="H322" s="13" t="str">
        <f>IFERROR(VLOOKUP(A322,Customer_Data!$A$1:$P$114,8,TRUE),"")</f>
        <v/>
      </c>
      <c r="I322" s="13"/>
      <c r="J322" s="3" t="str">
        <f t="shared" si="54"/>
        <v/>
      </c>
      <c r="K322" s="62" t="e">
        <f>(VLOOKUP($J322,Herbicide_Data!$A$1:$L$61,9,TRUE))</f>
        <v>#N/A</v>
      </c>
      <c r="L322" s="62" t="e">
        <f>VLOOKUP($J322,Herbicide_Data!$A$1:$L$61,12,TRUE)</f>
        <v>#N/A</v>
      </c>
      <c r="M322" s="16" t="e">
        <f t="shared" ref="M322:M385" si="60">L322*(H322/43560)</f>
        <v>#N/A</v>
      </c>
      <c r="N322" s="62" t="str">
        <f t="shared" si="55"/>
        <v/>
      </c>
      <c r="O322" s="63" t="e">
        <f>VLOOKUP($N322,Herbicide_Data!$A$1:$L$61,9)</f>
        <v>#N/A</v>
      </c>
      <c r="P322" s="62" t="e">
        <f>VLOOKUP($N322,Herbicide_Data!$A$1:$P$61,13)</f>
        <v>#N/A</v>
      </c>
      <c r="Q322" s="16" t="e">
        <f t="shared" ref="Q322:Q385" si="61">P322*($H322/43560)</f>
        <v>#N/A</v>
      </c>
      <c r="R322" s="62" t="str">
        <f t="shared" si="56"/>
        <v/>
      </c>
      <c r="S322" s="63" t="e">
        <f>VLOOKUP($R322,Herbicide_Data!$A$1:$L$61,9)</f>
        <v>#N/A</v>
      </c>
      <c r="T322" s="62" t="e">
        <f>VLOOKUP($R322,Herbicide_Data!$A$1:$Q$61,13)</f>
        <v>#N/A</v>
      </c>
      <c r="U322" s="16" t="e">
        <f t="shared" ref="U322:U385" si="62">T322*($H322/43560)</f>
        <v>#N/A</v>
      </c>
      <c r="V322" s="62" t="b">
        <f t="shared" si="57"/>
        <v>0</v>
      </c>
      <c r="W322" s="63" t="e">
        <f>VLOOKUP($V322,Herbicide_Data!$A$1:$L$17,9)</f>
        <v>#N/A</v>
      </c>
      <c r="X322" s="62" t="e">
        <f>VLOOKUP($V322,Herbicide_Data!$A$1:$L$17,12)</f>
        <v>#N/A</v>
      </c>
      <c r="Y322" s="16" t="e">
        <f t="shared" ref="Y322:Y385" si="63">X322*($H322/43560)</f>
        <v>#N/A</v>
      </c>
      <c r="Z322" s="15"/>
      <c r="AA322" s="13"/>
      <c r="AB322" s="17"/>
      <c r="AC322" s="3"/>
      <c r="AD322" s="10"/>
      <c r="AE322" s="3"/>
      <c r="AF322" s="10"/>
      <c r="AG322" s="15"/>
      <c r="AH322" s="62" t="str">
        <f t="shared" si="58"/>
        <v/>
      </c>
      <c r="AI322" s="62" t="e">
        <f>VLOOKUP($AH322,Herbicide_Data!$A$1:$Q$61,13)</f>
        <v>#N/A</v>
      </c>
      <c r="AJ322" s="16" t="e">
        <f t="shared" ref="AJ322:AJ385" si="64">AI322*($H322/43560)</f>
        <v>#N/A</v>
      </c>
      <c r="AK322" s="3"/>
      <c r="AL322" s="3"/>
      <c r="AM322" s="3"/>
      <c r="AN322" s="3"/>
      <c r="AO322" s="3"/>
      <c r="AP322" s="3"/>
      <c r="AQ322" s="18"/>
      <c r="AR322" s="19"/>
      <c r="AS322" s="19"/>
      <c r="AT322" s="20"/>
      <c r="AU322" s="20"/>
      <c r="AV322" s="21"/>
      <c r="AW322" s="22"/>
      <c r="AX322" s="19"/>
      <c r="AY322" s="19"/>
      <c r="AZ322" s="19"/>
      <c r="BA322" s="23"/>
      <c r="BB322" s="19"/>
      <c r="BC322" s="19"/>
      <c r="BD322" s="19"/>
    </row>
    <row r="323" spans="1:56">
      <c r="A323" s="13"/>
      <c r="B323" s="11"/>
      <c r="C323" s="12"/>
      <c r="D323" s="12">
        <f t="shared" si="59"/>
        <v>2.0833299999999999E-2</v>
      </c>
      <c r="E323" s="10"/>
      <c r="F323" s="10" t="str">
        <f>IFERROR(VLOOKUP(E323,Data!A$2:B$5,2,TRUE), "")</f>
        <v/>
      </c>
      <c r="G323" s="3"/>
      <c r="H323" s="13" t="str">
        <f>IFERROR(VLOOKUP(A323,Customer_Data!$A$1:$P$114,8,TRUE),"")</f>
        <v/>
      </c>
      <c r="I323" s="13"/>
      <c r="J323" s="3" t="str">
        <f t="shared" ref="J323:J386" si="65">IF($G323=("Fall (pre/post emerge)"),"Princep Liquid (100-526)", IF($G323=("Fertilize"),"Harrell's 34-0-5",IF($G323=("Spot Treat"),"Outrider (59639-223)","")))</f>
        <v/>
      </c>
      <c r="K323" s="62" t="e">
        <f>(VLOOKUP($J323,Herbicide_Data!$A$1:$L$61,9,TRUE))</f>
        <v>#N/A</v>
      </c>
      <c r="L323" s="62" t="e">
        <f>VLOOKUP($J323,Herbicide_Data!$A$1:$L$61,12,TRUE)</f>
        <v>#N/A</v>
      </c>
      <c r="M323" s="16" t="e">
        <f t="shared" si="60"/>
        <v>#N/A</v>
      </c>
      <c r="N323" s="62" t="str">
        <f t="shared" ref="N323:N386" si="66">IF($G323=("Fall (pre/post emerge)"),"Triplet SF (3-Way) 228-312",IF($G323=("Spring Preemerge (Jan)"),"Triplet SF (3-Way) 228-312",IF($G323=("Spring Preemerge (Apr)"),"Triplet SF (3-Way) 228-312","")))</f>
        <v/>
      </c>
      <c r="O323" s="63" t="e">
        <f>VLOOKUP($N323,Herbicide_Data!$A$1:$L$61,9)</f>
        <v>#N/A</v>
      </c>
      <c r="P323" s="62" t="e">
        <f>VLOOKUP($N323,Herbicide_Data!$A$1:$P$61,13)</f>
        <v>#N/A</v>
      </c>
      <c r="Q323" s="16" t="e">
        <f t="shared" si="61"/>
        <v>#N/A</v>
      </c>
      <c r="R323" s="62" t="str">
        <f t="shared" ref="R323:R386" si="67">IF($G323=("Fall (pre/post emerge)"),"Resolute 4Fl (100-1139)",IF($G323=("Spring Preemerge (Jan)"),"Resolute 4Fl (100-1139)",IF($G323=("Spring Preemerge (Apr)"),"Certinty Turf 59639-226","")))</f>
        <v/>
      </c>
      <c r="S323" s="63" t="e">
        <f>VLOOKUP($R323,Herbicide_Data!$A$1:$L$61,9)</f>
        <v>#N/A</v>
      </c>
      <c r="T323" s="62" t="e">
        <f>VLOOKUP($R323,Herbicide_Data!$A$1:$Q$61,13)</f>
        <v>#N/A</v>
      </c>
      <c r="U323" s="16" t="e">
        <f t="shared" si="62"/>
        <v>#N/A</v>
      </c>
      <c r="V323" s="62" t="b">
        <f t="shared" ref="V323:V386" si="68">IF($G323 = ("Preemerge"),"MSM Turf 228-373")</f>
        <v>0</v>
      </c>
      <c r="W323" s="63" t="e">
        <f>VLOOKUP($V323,Herbicide_Data!$A$1:$L$17,9)</f>
        <v>#N/A</v>
      </c>
      <c r="X323" s="62" t="e">
        <f>VLOOKUP($V323,Herbicide_Data!$A$1:$L$17,12)</f>
        <v>#N/A</v>
      </c>
      <c r="Y323" s="16" t="e">
        <f t="shared" si="63"/>
        <v>#N/A</v>
      </c>
      <c r="Z323" s="15"/>
      <c r="AA323" s="13"/>
      <c r="AB323" s="17"/>
      <c r="AC323" s="3"/>
      <c r="AD323" s="10"/>
      <c r="AE323" s="3"/>
      <c r="AF323" s="10"/>
      <c r="AG323" s="15"/>
      <c r="AH323" s="62" t="str">
        <f t="shared" si="58"/>
        <v/>
      </c>
      <c r="AI323" s="62" t="e">
        <f>VLOOKUP($AH323,Herbicide_Data!$A$1:$Q$61,13)</f>
        <v>#N/A</v>
      </c>
      <c r="AJ323" s="16" t="e">
        <f t="shared" si="64"/>
        <v>#N/A</v>
      </c>
      <c r="AK323" s="3"/>
      <c r="AL323" s="3"/>
      <c r="AM323" s="3"/>
      <c r="AN323" s="3"/>
      <c r="AO323" s="3"/>
      <c r="AP323" s="3"/>
      <c r="AQ323" s="18"/>
      <c r="AR323" s="19"/>
      <c r="AS323" s="19"/>
      <c r="AT323" s="20"/>
      <c r="AU323" s="20"/>
      <c r="AV323" s="21"/>
      <c r="AW323" s="22"/>
      <c r="AX323" s="19"/>
      <c r="AY323" s="19"/>
      <c r="AZ323" s="19"/>
      <c r="BA323" s="23"/>
      <c r="BB323" s="19"/>
      <c r="BC323" s="19"/>
      <c r="BD323" s="19"/>
    </row>
    <row r="324" spans="1:56">
      <c r="A324" s="13"/>
      <c r="B324" s="11"/>
      <c r="C324" s="12"/>
      <c r="D324" s="12">
        <f t="shared" si="59"/>
        <v>2.0833299999999999E-2</v>
      </c>
      <c r="E324" s="10"/>
      <c r="F324" s="10" t="str">
        <f>IFERROR(VLOOKUP(E324,Data!A$2:B$5,2,TRUE), "")</f>
        <v/>
      </c>
      <c r="G324" s="3"/>
      <c r="H324" s="13" t="str">
        <f>IFERROR(VLOOKUP(A324,Customer_Data!$A$1:$P$114,8,TRUE),"")</f>
        <v/>
      </c>
      <c r="I324" s="13"/>
      <c r="J324" s="3" t="str">
        <f t="shared" si="65"/>
        <v/>
      </c>
      <c r="K324" s="62" t="e">
        <f>(VLOOKUP($J324,Herbicide_Data!$A$1:$L$61,9,TRUE))</f>
        <v>#N/A</v>
      </c>
      <c r="L324" s="62" t="e">
        <f>VLOOKUP($J324,Herbicide_Data!$A$1:$L$61,12,TRUE)</f>
        <v>#N/A</v>
      </c>
      <c r="M324" s="16" t="e">
        <f t="shared" si="60"/>
        <v>#N/A</v>
      </c>
      <c r="N324" s="62" t="str">
        <f t="shared" si="66"/>
        <v/>
      </c>
      <c r="O324" s="63" t="e">
        <f>VLOOKUP($N324,Herbicide_Data!$A$1:$L$61,9)</f>
        <v>#N/A</v>
      </c>
      <c r="P324" s="62" t="e">
        <f>VLOOKUP($N324,Herbicide_Data!$A$1:$P$61,13)</f>
        <v>#N/A</v>
      </c>
      <c r="Q324" s="16" t="e">
        <f t="shared" si="61"/>
        <v>#N/A</v>
      </c>
      <c r="R324" s="62" t="str">
        <f t="shared" si="67"/>
        <v/>
      </c>
      <c r="S324" s="63" t="e">
        <f>VLOOKUP($R324,Herbicide_Data!$A$1:$L$61,9)</f>
        <v>#N/A</v>
      </c>
      <c r="T324" s="62" t="e">
        <f>VLOOKUP($R324,Herbicide_Data!$A$1:$Q$61,13)</f>
        <v>#N/A</v>
      </c>
      <c r="U324" s="16" t="e">
        <f t="shared" si="62"/>
        <v>#N/A</v>
      </c>
      <c r="V324" s="62" t="b">
        <f t="shared" si="68"/>
        <v>0</v>
      </c>
      <c r="W324" s="63" t="e">
        <f>VLOOKUP($V324,Herbicide_Data!$A$1:$L$17,9)</f>
        <v>#N/A</v>
      </c>
      <c r="X324" s="62" t="e">
        <f>VLOOKUP($V324,Herbicide_Data!$A$1:$L$17,12)</f>
        <v>#N/A</v>
      </c>
      <c r="Y324" s="16" t="e">
        <f t="shared" si="63"/>
        <v>#N/A</v>
      </c>
      <c r="Z324" s="15"/>
      <c r="AA324" s="13"/>
      <c r="AB324" s="17"/>
      <c r="AC324" s="3"/>
      <c r="AD324" s="10"/>
      <c r="AE324" s="3"/>
      <c r="AF324" s="10"/>
      <c r="AG324" s="15"/>
      <c r="AH324" s="62" t="str">
        <f t="shared" si="58"/>
        <v/>
      </c>
      <c r="AI324" s="62" t="e">
        <f>VLOOKUP($AH324,Herbicide_Data!$A$1:$Q$61,13)</f>
        <v>#N/A</v>
      </c>
      <c r="AJ324" s="16" t="e">
        <f t="shared" si="64"/>
        <v>#N/A</v>
      </c>
      <c r="AK324" s="3"/>
      <c r="AL324" s="3"/>
      <c r="AM324" s="3"/>
      <c r="AN324" s="3"/>
      <c r="AO324" s="3"/>
      <c r="AP324" s="3"/>
      <c r="AQ324" s="18"/>
      <c r="AR324" s="19"/>
      <c r="AS324" s="19"/>
      <c r="AT324" s="20"/>
      <c r="AU324" s="20"/>
      <c r="AV324" s="21"/>
      <c r="AW324" s="22"/>
      <c r="AX324" s="19"/>
      <c r="AY324" s="19"/>
      <c r="AZ324" s="19"/>
      <c r="BA324" s="23"/>
      <c r="BB324" s="19"/>
      <c r="BC324" s="19"/>
      <c r="BD324" s="19"/>
    </row>
    <row r="325" spans="1:56">
      <c r="A325" s="13"/>
      <c r="B325" s="11"/>
      <c r="C325" s="12"/>
      <c r="D325" s="12">
        <f t="shared" si="59"/>
        <v>2.0833299999999999E-2</v>
      </c>
      <c r="E325" s="10"/>
      <c r="F325" s="10" t="str">
        <f>IFERROR(VLOOKUP(E325,Data!A$2:B$5,2,TRUE), "")</f>
        <v/>
      </c>
      <c r="G325" s="3"/>
      <c r="H325" s="13" t="str">
        <f>IFERROR(VLOOKUP(A325,Customer_Data!$A$1:$P$114,8,TRUE),"")</f>
        <v/>
      </c>
      <c r="I325" s="13"/>
      <c r="J325" s="3" t="str">
        <f t="shared" si="65"/>
        <v/>
      </c>
      <c r="K325" s="62" t="e">
        <f>(VLOOKUP($J325,Herbicide_Data!$A$1:$L$61,9,TRUE))</f>
        <v>#N/A</v>
      </c>
      <c r="L325" s="62" t="e">
        <f>VLOOKUP($J325,Herbicide_Data!$A$1:$L$61,12,TRUE)</f>
        <v>#N/A</v>
      </c>
      <c r="M325" s="16" t="e">
        <f t="shared" si="60"/>
        <v>#N/A</v>
      </c>
      <c r="N325" s="62" t="str">
        <f t="shared" si="66"/>
        <v/>
      </c>
      <c r="O325" s="63" t="e">
        <f>VLOOKUP($N325,Herbicide_Data!$A$1:$L$61,9)</f>
        <v>#N/A</v>
      </c>
      <c r="P325" s="62" t="e">
        <f>VLOOKUP($N325,Herbicide_Data!$A$1:$P$61,13)</f>
        <v>#N/A</v>
      </c>
      <c r="Q325" s="16" t="e">
        <f t="shared" si="61"/>
        <v>#N/A</v>
      </c>
      <c r="R325" s="62" t="str">
        <f t="shared" si="67"/>
        <v/>
      </c>
      <c r="S325" s="63" t="e">
        <f>VLOOKUP($R325,Herbicide_Data!$A$1:$L$61,9)</f>
        <v>#N/A</v>
      </c>
      <c r="T325" s="62" t="e">
        <f>VLOOKUP($R325,Herbicide_Data!$A$1:$Q$61,13)</f>
        <v>#N/A</v>
      </c>
      <c r="U325" s="16" t="e">
        <f t="shared" si="62"/>
        <v>#N/A</v>
      </c>
      <c r="V325" s="62" t="b">
        <f t="shared" si="68"/>
        <v>0</v>
      </c>
      <c r="W325" s="63" t="e">
        <f>VLOOKUP($V325,Herbicide_Data!$A$1:$L$17,9)</f>
        <v>#N/A</v>
      </c>
      <c r="X325" s="62" t="e">
        <f>VLOOKUP($V325,Herbicide_Data!$A$1:$L$17,12)</f>
        <v>#N/A</v>
      </c>
      <c r="Y325" s="16" t="e">
        <f t="shared" si="63"/>
        <v>#N/A</v>
      </c>
      <c r="Z325" s="15"/>
      <c r="AA325" s="13"/>
      <c r="AB325" s="17"/>
      <c r="AC325" s="3"/>
      <c r="AD325" s="10"/>
      <c r="AE325" s="3"/>
      <c r="AF325" s="10"/>
      <c r="AG325" s="15"/>
      <c r="AH325" s="62" t="str">
        <f t="shared" si="58"/>
        <v/>
      </c>
      <c r="AI325" s="62" t="e">
        <f>VLOOKUP($AH325,Herbicide_Data!$A$1:$Q$61,13)</f>
        <v>#N/A</v>
      </c>
      <c r="AJ325" s="16" t="e">
        <f t="shared" si="64"/>
        <v>#N/A</v>
      </c>
      <c r="AK325" s="3"/>
      <c r="AL325" s="3"/>
      <c r="AM325" s="3"/>
      <c r="AN325" s="3"/>
      <c r="AO325" s="3"/>
      <c r="AP325" s="3"/>
      <c r="AQ325" s="18"/>
      <c r="AR325" s="19"/>
      <c r="AS325" s="19"/>
      <c r="AT325" s="20"/>
      <c r="AU325" s="20"/>
      <c r="AV325" s="21"/>
      <c r="AW325" s="22"/>
      <c r="AX325" s="19"/>
      <c r="AY325" s="19"/>
      <c r="AZ325" s="19"/>
      <c r="BA325" s="23"/>
      <c r="BB325" s="19"/>
      <c r="BC325" s="19"/>
      <c r="BD325" s="19"/>
    </row>
    <row r="326" spans="1:56">
      <c r="A326" s="13"/>
      <c r="B326" s="11"/>
      <c r="C326" s="12"/>
      <c r="D326" s="12">
        <f t="shared" si="59"/>
        <v>2.0833299999999999E-2</v>
      </c>
      <c r="E326" s="10"/>
      <c r="F326" s="10" t="str">
        <f>IFERROR(VLOOKUP(E326,Data!A$2:B$5,2,TRUE), "")</f>
        <v/>
      </c>
      <c r="G326" s="3"/>
      <c r="H326" s="13" t="str">
        <f>IFERROR(VLOOKUP(A326,Customer_Data!$A$1:$P$114,8,TRUE),"")</f>
        <v/>
      </c>
      <c r="I326" s="13"/>
      <c r="J326" s="3" t="str">
        <f t="shared" si="65"/>
        <v/>
      </c>
      <c r="K326" s="62" t="e">
        <f>(VLOOKUP($J326,Herbicide_Data!$A$1:$L$61,9,TRUE))</f>
        <v>#N/A</v>
      </c>
      <c r="L326" s="62" t="e">
        <f>VLOOKUP($J326,Herbicide_Data!$A$1:$L$61,12,TRUE)</f>
        <v>#N/A</v>
      </c>
      <c r="M326" s="16" t="e">
        <f t="shared" si="60"/>
        <v>#N/A</v>
      </c>
      <c r="N326" s="62" t="str">
        <f t="shared" si="66"/>
        <v/>
      </c>
      <c r="O326" s="63" t="e">
        <f>VLOOKUP($N326,Herbicide_Data!$A$1:$L$61,9)</f>
        <v>#N/A</v>
      </c>
      <c r="P326" s="62" t="e">
        <f>VLOOKUP($N326,Herbicide_Data!$A$1:$P$61,13)</f>
        <v>#N/A</v>
      </c>
      <c r="Q326" s="16" t="e">
        <f t="shared" si="61"/>
        <v>#N/A</v>
      </c>
      <c r="R326" s="62" t="str">
        <f t="shared" si="67"/>
        <v/>
      </c>
      <c r="S326" s="63" t="e">
        <f>VLOOKUP($R326,Herbicide_Data!$A$1:$L$61,9)</f>
        <v>#N/A</v>
      </c>
      <c r="T326" s="62" t="e">
        <f>VLOOKUP($R326,Herbicide_Data!$A$1:$Q$61,13)</f>
        <v>#N/A</v>
      </c>
      <c r="U326" s="16" t="e">
        <f t="shared" si="62"/>
        <v>#N/A</v>
      </c>
      <c r="V326" s="62" t="b">
        <f t="shared" si="68"/>
        <v>0</v>
      </c>
      <c r="W326" s="63" t="e">
        <f>VLOOKUP($V326,Herbicide_Data!$A$1:$L$17,9)</f>
        <v>#N/A</v>
      </c>
      <c r="X326" s="62" t="e">
        <f>VLOOKUP($V326,Herbicide_Data!$A$1:$L$17,12)</f>
        <v>#N/A</v>
      </c>
      <c r="Y326" s="16" t="e">
        <f t="shared" si="63"/>
        <v>#N/A</v>
      </c>
      <c r="Z326" s="15"/>
      <c r="AA326" s="13"/>
      <c r="AB326" s="17"/>
      <c r="AC326" s="3"/>
      <c r="AD326" s="10"/>
      <c r="AE326" s="3"/>
      <c r="AF326" s="10"/>
      <c r="AG326" s="15"/>
      <c r="AH326" s="62" t="str">
        <f t="shared" si="58"/>
        <v/>
      </c>
      <c r="AI326" s="62" t="e">
        <f>VLOOKUP($AH326,Herbicide_Data!$A$1:$Q$61,13)</f>
        <v>#N/A</v>
      </c>
      <c r="AJ326" s="16" t="e">
        <f t="shared" si="64"/>
        <v>#N/A</v>
      </c>
      <c r="AK326" s="3"/>
      <c r="AL326" s="3"/>
      <c r="AM326" s="3"/>
      <c r="AN326" s="3"/>
      <c r="AO326" s="3"/>
      <c r="AP326" s="3"/>
      <c r="AQ326" s="18"/>
      <c r="AR326" s="19"/>
      <c r="AS326" s="19"/>
      <c r="AT326" s="20"/>
      <c r="AU326" s="20"/>
      <c r="AV326" s="21"/>
      <c r="AW326" s="22"/>
      <c r="AX326" s="19"/>
      <c r="AY326" s="19"/>
      <c r="AZ326" s="19"/>
      <c r="BA326" s="23"/>
      <c r="BB326" s="19"/>
      <c r="BC326" s="19"/>
      <c r="BD326" s="19"/>
    </row>
    <row r="327" spans="1:56">
      <c r="A327" s="13"/>
      <c r="B327" s="11"/>
      <c r="C327" s="12"/>
      <c r="D327" s="12">
        <f t="shared" si="59"/>
        <v>2.0833299999999999E-2</v>
      </c>
      <c r="E327" s="10"/>
      <c r="F327" s="10" t="str">
        <f>IFERROR(VLOOKUP(E327,Data!A$2:B$5,2,TRUE), "")</f>
        <v/>
      </c>
      <c r="G327" s="3"/>
      <c r="H327" s="13" t="str">
        <f>IFERROR(VLOOKUP(A327,Customer_Data!$A$1:$P$114,8,TRUE),"")</f>
        <v/>
      </c>
      <c r="I327" s="13"/>
      <c r="J327" s="3" t="str">
        <f t="shared" si="65"/>
        <v/>
      </c>
      <c r="K327" s="62" t="e">
        <f>(VLOOKUP($J327,Herbicide_Data!$A$1:$L$61,9,TRUE))</f>
        <v>#N/A</v>
      </c>
      <c r="L327" s="62" t="e">
        <f>VLOOKUP($J327,Herbicide_Data!$A$1:$L$61,12,TRUE)</f>
        <v>#N/A</v>
      </c>
      <c r="M327" s="16" t="e">
        <f t="shared" si="60"/>
        <v>#N/A</v>
      </c>
      <c r="N327" s="62" t="str">
        <f t="shared" si="66"/>
        <v/>
      </c>
      <c r="O327" s="63" t="e">
        <f>VLOOKUP($N327,Herbicide_Data!$A$1:$L$61,9)</f>
        <v>#N/A</v>
      </c>
      <c r="P327" s="62" t="e">
        <f>VLOOKUP($N327,Herbicide_Data!$A$1:$P$61,13)</f>
        <v>#N/A</v>
      </c>
      <c r="Q327" s="16" t="e">
        <f t="shared" si="61"/>
        <v>#N/A</v>
      </c>
      <c r="R327" s="62" t="str">
        <f t="shared" si="67"/>
        <v/>
      </c>
      <c r="S327" s="63" t="e">
        <f>VLOOKUP($R327,Herbicide_Data!$A$1:$L$61,9)</f>
        <v>#N/A</v>
      </c>
      <c r="T327" s="62" t="e">
        <f>VLOOKUP($R327,Herbicide_Data!$A$1:$Q$61,13)</f>
        <v>#N/A</v>
      </c>
      <c r="U327" s="16" t="e">
        <f t="shared" si="62"/>
        <v>#N/A</v>
      </c>
      <c r="V327" s="62" t="b">
        <f t="shared" si="68"/>
        <v>0</v>
      </c>
      <c r="W327" s="63" t="e">
        <f>VLOOKUP($V327,Herbicide_Data!$A$1:$L$17,9)</f>
        <v>#N/A</v>
      </c>
      <c r="X327" s="62" t="e">
        <f>VLOOKUP($V327,Herbicide_Data!$A$1:$L$17,12)</f>
        <v>#N/A</v>
      </c>
      <c r="Y327" s="16" t="e">
        <f t="shared" si="63"/>
        <v>#N/A</v>
      </c>
      <c r="Z327" s="15"/>
      <c r="AA327" s="13"/>
      <c r="AB327" s="17"/>
      <c r="AC327" s="3"/>
      <c r="AD327" s="10"/>
      <c r="AE327" s="3"/>
      <c r="AF327" s="10"/>
      <c r="AG327" s="15"/>
      <c r="AH327" s="62" t="str">
        <f t="shared" si="58"/>
        <v/>
      </c>
      <c r="AI327" s="62" t="e">
        <f>VLOOKUP($AH327,Herbicide_Data!$A$1:$Q$61,13)</f>
        <v>#N/A</v>
      </c>
      <c r="AJ327" s="16" t="e">
        <f t="shared" si="64"/>
        <v>#N/A</v>
      </c>
      <c r="AK327" s="3"/>
      <c r="AL327" s="3"/>
      <c r="AM327" s="3"/>
      <c r="AN327" s="3"/>
      <c r="AO327" s="3"/>
      <c r="AP327" s="3"/>
      <c r="AQ327" s="18"/>
      <c r="AR327" s="19"/>
      <c r="AS327" s="19"/>
      <c r="AT327" s="20"/>
      <c r="AU327" s="20"/>
      <c r="AV327" s="21"/>
      <c r="AW327" s="22"/>
      <c r="AX327" s="19"/>
      <c r="AY327" s="19"/>
      <c r="AZ327" s="19"/>
      <c r="BA327" s="23"/>
      <c r="BB327" s="19"/>
      <c r="BC327" s="19"/>
      <c r="BD327" s="19"/>
    </row>
    <row r="328" spans="1:56">
      <c r="A328" s="13"/>
      <c r="B328" s="11"/>
      <c r="C328" s="12"/>
      <c r="D328" s="12">
        <f t="shared" si="59"/>
        <v>2.0833299999999999E-2</v>
      </c>
      <c r="E328" s="10"/>
      <c r="F328" s="10" t="str">
        <f>IFERROR(VLOOKUP(E328,Data!A$2:B$5,2,TRUE), "")</f>
        <v/>
      </c>
      <c r="G328" s="3"/>
      <c r="H328" s="13" t="str">
        <f>IFERROR(VLOOKUP(A328,Customer_Data!$A$1:$P$114,8,TRUE),"")</f>
        <v/>
      </c>
      <c r="I328" s="13"/>
      <c r="J328" s="3" t="str">
        <f t="shared" si="65"/>
        <v/>
      </c>
      <c r="K328" s="62" t="e">
        <f>(VLOOKUP($J328,Herbicide_Data!$A$1:$L$61,9,TRUE))</f>
        <v>#N/A</v>
      </c>
      <c r="L328" s="62" t="e">
        <f>VLOOKUP($J328,Herbicide_Data!$A$1:$L$61,12,TRUE)</f>
        <v>#N/A</v>
      </c>
      <c r="M328" s="16" t="e">
        <f t="shared" si="60"/>
        <v>#N/A</v>
      </c>
      <c r="N328" s="62" t="str">
        <f t="shared" si="66"/>
        <v/>
      </c>
      <c r="O328" s="63" t="e">
        <f>VLOOKUP($N328,Herbicide_Data!$A$1:$L$61,9)</f>
        <v>#N/A</v>
      </c>
      <c r="P328" s="62" t="e">
        <f>VLOOKUP($N328,Herbicide_Data!$A$1:$P$61,13)</f>
        <v>#N/A</v>
      </c>
      <c r="Q328" s="16" t="e">
        <f t="shared" si="61"/>
        <v>#N/A</v>
      </c>
      <c r="R328" s="62" t="str">
        <f t="shared" si="67"/>
        <v/>
      </c>
      <c r="S328" s="63" t="e">
        <f>VLOOKUP($R328,Herbicide_Data!$A$1:$L$61,9)</f>
        <v>#N/A</v>
      </c>
      <c r="T328" s="62" t="e">
        <f>VLOOKUP($R328,Herbicide_Data!$A$1:$Q$61,13)</f>
        <v>#N/A</v>
      </c>
      <c r="U328" s="16" t="e">
        <f t="shared" si="62"/>
        <v>#N/A</v>
      </c>
      <c r="V328" s="62" t="b">
        <f t="shared" si="68"/>
        <v>0</v>
      </c>
      <c r="W328" s="63" t="e">
        <f>VLOOKUP($V328,Herbicide_Data!$A$1:$L$17,9)</f>
        <v>#N/A</v>
      </c>
      <c r="X328" s="62" t="e">
        <f>VLOOKUP($V328,Herbicide_Data!$A$1:$L$17,12)</f>
        <v>#N/A</v>
      </c>
      <c r="Y328" s="16" t="e">
        <f t="shared" si="63"/>
        <v>#N/A</v>
      </c>
      <c r="Z328" s="15"/>
      <c r="AA328" s="13"/>
      <c r="AB328" s="17"/>
      <c r="AC328" s="3"/>
      <c r="AD328" s="10"/>
      <c r="AE328" s="3"/>
      <c r="AF328" s="10"/>
      <c r="AG328" s="15"/>
      <c r="AH328" s="62" t="str">
        <f t="shared" si="58"/>
        <v/>
      </c>
      <c r="AI328" s="62" t="e">
        <f>VLOOKUP($AH328,Herbicide_Data!$A$1:$Q$61,13)</f>
        <v>#N/A</v>
      </c>
      <c r="AJ328" s="16" t="e">
        <f t="shared" si="64"/>
        <v>#N/A</v>
      </c>
      <c r="AK328" s="3"/>
      <c r="AL328" s="3"/>
      <c r="AM328" s="3"/>
      <c r="AN328" s="3"/>
      <c r="AO328" s="3"/>
      <c r="AP328" s="3"/>
      <c r="AQ328" s="18"/>
      <c r="AR328" s="19"/>
      <c r="AS328" s="19"/>
      <c r="AT328" s="20"/>
      <c r="AU328" s="20"/>
      <c r="AV328" s="21"/>
      <c r="AW328" s="22"/>
      <c r="AX328" s="19"/>
      <c r="AY328" s="19"/>
      <c r="AZ328" s="19"/>
      <c r="BA328" s="23"/>
      <c r="BB328" s="19"/>
      <c r="BC328" s="19"/>
      <c r="BD328" s="19"/>
    </row>
    <row r="329" spans="1:56">
      <c r="A329" s="13"/>
      <c r="B329" s="11"/>
      <c r="C329" s="12"/>
      <c r="D329" s="12">
        <f t="shared" si="59"/>
        <v>2.0833299999999999E-2</v>
      </c>
      <c r="E329" s="10"/>
      <c r="F329" s="10" t="str">
        <f>IFERROR(VLOOKUP(E329,Data!A$2:B$5,2,TRUE), "")</f>
        <v/>
      </c>
      <c r="G329" s="3"/>
      <c r="H329" s="13" t="str">
        <f>IFERROR(VLOOKUP(A329,Customer_Data!$A$1:$P$114,8,TRUE),"")</f>
        <v/>
      </c>
      <c r="I329" s="13"/>
      <c r="J329" s="3" t="str">
        <f t="shared" si="65"/>
        <v/>
      </c>
      <c r="K329" s="62" t="e">
        <f>(VLOOKUP($J329,Herbicide_Data!$A$1:$L$61,9,TRUE))</f>
        <v>#N/A</v>
      </c>
      <c r="L329" s="62" t="e">
        <f>VLOOKUP($J329,Herbicide_Data!$A$1:$L$61,12,TRUE)</f>
        <v>#N/A</v>
      </c>
      <c r="M329" s="16" t="e">
        <f t="shared" si="60"/>
        <v>#N/A</v>
      </c>
      <c r="N329" s="62" t="str">
        <f t="shared" si="66"/>
        <v/>
      </c>
      <c r="O329" s="63" t="e">
        <f>VLOOKUP($N329,Herbicide_Data!$A$1:$L$61,9)</f>
        <v>#N/A</v>
      </c>
      <c r="P329" s="62" t="e">
        <f>VLOOKUP($N329,Herbicide_Data!$A$1:$P$61,13)</f>
        <v>#N/A</v>
      </c>
      <c r="Q329" s="16" t="e">
        <f t="shared" si="61"/>
        <v>#N/A</v>
      </c>
      <c r="R329" s="62" t="str">
        <f t="shared" si="67"/>
        <v/>
      </c>
      <c r="S329" s="63" t="e">
        <f>VLOOKUP($R329,Herbicide_Data!$A$1:$L$61,9)</f>
        <v>#N/A</v>
      </c>
      <c r="T329" s="62" t="e">
        <f>VLOOKUP($R329,Herbicide_Data!$A$1:$Q$61,13)</f>
        <v>#N/A</v>
      </c>
      <c r="U329" s="16" t="e">
        <f t="shared" si="62"/>
        <v>#N/A</v>
      </c>
      <c r="V329" s="62" t="b">
        <f t="shared" si="68"/>
        <v>0</v>
      </c>
      <c r="W329" s="63" t="e">
        <f>VLOOKUP($V329,Herbicide_Data!$A$1:$L$17,9)</f>
        <v>#N/A</v>
      </c>
      <c r="X329" s="62" t="e">
        <f>VLOOKUP($V329,Herbicide_Data!$A$1:$L$17,12)</f>
        <v>#N/A</v>
      </c>
      <c r="Y329" s="16" t="e">
        <f t="shared" si="63"/>
        <v>#N/A</v>
      </c>
      <c r="Z329" s="15"/>
      <c r="AA329" s="13"/>
      <c r="AB329" s="17"/>
      <c r="AC329" s="3"/>
      <c r="AD329" s="10"/>
      <c r="AE329" s="3"/>
      <c r="AF329" s="10"/>
      <c r="AG329" s="15"/>
      <c r="AH329" s="62" t="str">
        <f t="shared" si="58"/>
        <v/>
      </c>
      <c r="AI329" s="62" t="e">
        <f>VLOOKUP($AH329,Herbicide_Data!$A$1:$Q$61,13)</f>
        <v>#N/A</v>
      </c>
      <c r="AJ329" s="16" t="e">
        <f t="shared" si="64"/>
        <v>#N/A</v>
      </c>
      <c r="AK329" s="3"/>
      <c r="AL329" s="3"/>
      <c r="AM329" s="3"/>
      <c r="AN329" s="3"/>
      <c r="AO329" s="3"/>
      <c r="AP329" s="3"/>
      <c r="AQ329" s="18"/>
      <c r="AR329" s="19"/>
      <c r="AS329" s="19"/>
      <c r="AT329" s="20"/>
      <c r="AU329" s="20"/>
      <c r="AV329" s="21"/>
      <c r="AW329" s="22"/>
      <c r="AX329" s="19"/>
      <c r="AY329" s="19"/>
      <c r="AZ329" s="19"/>
      <c r="BA329" s="23"/>
      <c r="BB329" s="19"/>
      <c r="BC329" s="19"/>
      <c r="BD329" s="19"/>
    </row>
    <row r="330" spans="1:56">
      <c r="A330" s="13"/>
      <c r="B330" s="11"/>
      <c r="C330" s="12"/>
      <c r="D330" s="12">
        <f t="shared" si="59"/>
        <v>2.0833299999999999E-2</v>
      </c>
      <c r="E330" s="10"/>
      <c r="F330" s="10" t="str">
        <f>IFERROR(VLOOKUP(E330,Data!A$2:B$5,2,TRUE), "")</f>
        <v/>
      </c>
      <c r="G330" s="3"/>
      <c r="H330" s="13" t="str">
        <f>IFERROR(VLOOKUP(A330,Customer_Data!$A$1:$P$114,8,TRUE),"")</f>
        <v/>
      </c>
      <c r="I330" s="13"/>
      <c r="J330" s="3" t="str">
        <f t="shared" si="65"/>
        <v/>
      </c>
      <c r="K330" s="62" t="e">
        <f>(VLOOKUP($J330,Herbicide_Data!$A$1:$L$61,9,TRUE))</f>
        <v>#N/A</v>
      </c>
      <c r="L330" s="62" t="e">
        <f>VLOOKUP($J330,Herbicide_Data!$A$1:$L$61,12,TRUE)</f>
        <v>#N/A</v>
      </c>
      <c r="M330" s="16" t="e">
        <f t="shared" si="60"/>
        <v>#N/A</v>
      </c>
      <c r="N330" s="62" t="str">
        <f t="shared" si="66"/>
        <v/>
      </c>
      <c r="O330" s="63" t="e">
        <f>VLOOKUP($N330,Herbicide_Data!$A$1:$L$61,9)</f>
        <v>#N/A</v>
      </c>
      <c r="P330" s="62" t="e">
        <f>VLOOKUP($N330,Herbicide_Data!$A$1:$P$61,13)</f>
        <v>#N/A</v>
      </c>
      <c r="Q330" s="16" t="e">
        <f t="shared" si="61"/>
        <v>#N/A</v>
      </c>
      <c r="R330" s="62" t="str">
        <f t="shared" si="67"/>
        <v/>
      </c>
      <c r="S330" s="63" t="e">
        <f>VLOOKUP($R330,Herbicide_Data!$A$1:$L$61,9)</f>
        <v>#N/A</v>
      </c>
      <c r="T330" s="62" t="e">
        <f>VLOOKUP($R330,Herbicide_Data!$A$1:$Q$61,13)</f>
        <v>#N/A</v>
      </c>
      <c r="U330" s="16" t="e">
        <f t="shared" si="62"/>
        <v>#N/A</v>
      </c>
      <c r="V330" s="62" t="b">
        <f t="shared" si="68"/>
        <v>0</v>
      </c>
      <c r="W330" s="63" t="e">
        <f>VLOOKUP($V330,Herbicide_Data!$A$1:$L$17,9)</f>
        <v>#N/A</v>
      </c>
      <c r="X330" s="62" t="e">
        <f>VLOOKUP($V330,Herbicide_Data!$A$1:$L$17,12)</f>
        <v>#N/A</v>
      </c>
      <c r="Y330" s="16" t="e">
        <f t="shared" si="63"/>
        <v>#N/A</v>
      </c>
      <c r="Z330" s="15"/>
      <c r="AA330" s="13"/>
      <c r="AB330" s="17"/>
      <c r="AC330" s="3"/>
      <c r="AD330" s="10"/>
      <c r="AE330" s="3"/>
      <c r="AF330" s="10"/>
      <c r="AG330" s="15"/>
      <c r="AH330" s="62" t="str">
        <f t="shared" si="58"/>
        <v/>
      </c>
      <c r="AI330" s="62" t="e">
        <f>VLOOKUP($AH330,Herbicide_Data!$A$1:$Q$61,13)</f>
        <v>#N/A</v>
      </c>
      <c r="AJ330" s="16" t="e">
        <f t="shared" si="64"/>
        <v>#N/A</v>
      </c>
      <c r="AK330" s="3"/>
      <c r="AL330" s="3"/>
      <c r="AM330" s="3"/>
      <c r="AN330" s="3"/>
      <c r="AO330" s="3"/>
      <c r="AP330" s="3"/>
      <c r="AQ330" s="18"/>
      <c r="AR330" s="19"/>
      <c r="AS330" s="19"/>
      <c r="AT330" s="20"/>
      <c r="AU330" s="20"/>
      <c r="AV330" s="21"/>
      <c r="AW330" s="22"/>
      <c r="AX330" s="19"/>
      <c r="AY330" s="19"/>
      <c r="AZ330" s="19"/>
      <c r="BA330" s="23"/>
      <c r="BB330" s="19"/>
      <c r="BC330" s="19"/>
      <c r="BD330" s="19"/>
    </row>
    <row r="331" spans="1:56">
      <c r="A331" s="13"/>
      <c r="B331" s="11"/>
      <c r="C331" s="12"/>
      <c r="D331" s="12">
        <f t="shared" si="59"/>
        <v>2.0833299999999999E-2</v>
      </c>
      <c r="E331" s="10"/>
      <c r="F331" s="10" t="str">
        <f>IFERROR(VLOOKUP(E331,Data!A$2:B$5,2,TRUE), "")</f>
        <v/>
      </c>
      <c r="G331" s="3"/>
      <c r="H331" s="13" t="str">
        <f>IFERROR(VLOOKUP(A331,Customer_Data!$A$1:$P$114,8,TRUE),"")</f>
        <v/>
      </c>
      <c r="I331" s="13"/>
      <c r="J331" s="3" t="str">
        <f t="shared" si="65"/>
        <v/>
      </c>
      <c r="K331" s="62" t="e">
        <f>(VLOOKUP($J331,Herbicide_Data!$A$1:$L$61,9,TRUE))</f>
        <v>#N/A</v>
      </c>
      <c r="L331" s="62" t="e">
        <f>VLOOKUP($J331,Herbicide_Data!$A$1:$L$61,12,TRUE)</f>
        <v>#N/A</v>
      </c>
      <c r="M331" s="16" t="e">
        <f t="shared" si="60"/>
        <v>#N/A</v>
      </c>
      <c r="N331" s="62" t="str">
        <f t="shared" si="66"/>
        <v/>
      </c>
      <c r="O331" s="63" t="e">
        <f>VLOOKUP($N331,Herbicide_Data!$A$1:$L$61,9)</f>
        <v>#N/A</v>
      </c>
      <c r="P331" s="62" t="e">
        <f>VLOOKUP($N331,Herbicide_Data!$A$1:$P$61,13)</f>
        <v>#N/A</v>
      </c>
      <c r="Q331" s="16" t="e">
        <f t="shared" si="61"/>
        <v>#N/A</v>
      </c>
      <c r="R331" s="62" t="str">
        <f t="shared" si="67"/>
        <v/>
      </c>
      <c r="S331" s="63" t="e">
        <f>VLOOKUP($R331,Herbicide_Data!$A$1:$L$61,9)</f>
        <v>#N/A</v>
      </c>
      <c r="T331" s="62" t="e">
        <f>VLOOKUP($R331,Herbicide_Data!$A$1:$Q$61,13)</f>
        <v>#N/A</v>
      </c>
      <c r="U331" s="16" t="e">
        <f t="shared" si="62"/>
        <v>#N/A</v>
      </c>
      <c r="V331" s="62" t="b">
        <f t="shared" si="68"/>
        <v>0</v>
      </c>
      <c r="W331" s="63" t="e">
        <f>VLOOKUP($V331,Herbicide_Data!$A$1:$L$17,9)</f>
        <v>#N/A</v>
      </c>
      <c r="X331" s="62" t="e">
        <f>VLOOKUP($V331,Herbicide_Data!$A$1:$L$17,12)</f>
        <v>#N/A</v>
      </c>
      <c r="Y331" s="16" t="e">
        <f t="shared" si="63"/>
        <v>#N/A</v>
      </c>
      <c r="Z331" s="15"/>
      <c r="AA331" s="13"/>
      <c r="AB331" s="17"/>
      <c r="AC331" s="3"/>
      <c r="AD331" s="10"/>
      <c r="AE331" s="3"/>
      <c r="AF331" s="10"/>
      <c r="AG331" s="15"/>
      <c r="AH331" s="62" t="str">
        <f t="shared" si="58"/>
        <v/>
      </c>
      <c r="AI331" s="62" t="e">
        <f>VLOOKUP($AH331,Herbicide_Data!$A$1:$Q$61,13)</f>
        <v>#N/A</v>
      </c>
      <c r="AJ331" s="16" t="e">
        <f t="shared" si="64"/>
        <v>#N/A</v>
      </c>
      <c r="AK331" s="3"/>
      <c r="AL331" s="3"/>
      <c r="AM331" s="3"/>
      <c r="AN331" s="3"/>
      <c r="AO331" s="3"/>
      <c r="AP331" s="3"/>
      <c r="AQ331" s="18"/>
      <c r="AR331" s="19"/>
      <c r="AS331" s="19"/>
      <c r="AT331" s="20"/>
      <c r="AU331" s="20"/>
      <c r="AV331" s="21"/>
      <c r="AW331" s="22"/>
      <c r="AX331" s="19"/>
      <c r="AY331" s="19"/>
      <c r="AZ331" s="19"/>
      <c r="BA331" s="23"/>
      <c r="BB331" s="19"/>
      <c r="BC331" s="19"/>
      <c r="BD331" s="19"/>
    </row>
    <row r="332" spans="1:56">
      <c r="A332" s="13"/>
      <c r="B332" s="11"/>
      <c r="C332" s="12"/>
      <c r="D332" s="12">
        <f t="shared" si="59"/>
        <v>2.0833299999999999E-2</v>
      </c>
      <c r="E332" s="10"/>
      <c r="F332" s="10" t="str">
        <f>IFERROR(VLOOKUP(E332,Data!A$2:B$5,2,TRUE), "")</f>
        <v/>
      </c>
      <c r="G332" s="3"/>
      <c r="H332" s="13" t="str">
        <f>IFERROR(VLOOKUP(A332,Customer_Data!$A$1:$P$114,8,TRUE),"")</f>
        <v/>
      </c>
      <c r="I332" s="13"/>
      <c r="J332" s="3" t="str">
        <f t="shared" si="65"/>
        <v/>
      </c>
      <c r="K332" s="62" t="e">
        <f>(VLOOKUP($J332,Herbicide_Data!$A$1:$L$61,9,TRUE))</f>
        <v>#N/A</v>
      </c>
      <c r="L332" s="62" t="e">
        <f>VLOOKUP($J332,Herbicide_Data!$A$1:$L$61,12,TRUE)</f>
        <v>#N/A</v>
      </c>
      <c r="M332" s="16" t="e">
        <f t="shared" si="60"/>
        <v>#N/A</v>
      </c>
      <c r="N332" s="62" t="str">
        <f t="shared" si="66"/>
        <v/>
      </c>
      <c r="O332" s="63" t="e">
        <f>VLOOKUP($N332,Herbicide_Data!$A$1:$L$61,9)</f>
        <v>#N/A</v>
      </c>
      <c r="P332" s="62" t="e">
        <f>VLOOKUP($N332,Herbicide_Data!$A$1:$P$61,13)</f>
        <v>#N/A</v>
      </c>
      <c r="Q332" s="16" t="e">
        <f t="shared" si="61"/>
        <v>#N/A</v>
      </c>
      <c r="R332" s="62" t="str">
        <f t="shared" si="67"/>
        <v/>
      </c>
      <c r="S332" s="63" t="e">
        <f>VLOOKUP($R332,Herbicide_Data!$A$1:$L$61,9)</f>
        <v>#N/A</v>
      </c>
      <c r="T332" s="62" t="e">
        <f>VLOOKUP($R332,Herbicide_Data!$A$1:$Q$61,13)</f>
        <v>#N/A</v>
      </c>
      <c r="U332" s="16" t="e">
        <f t="shared" si="62"/>
        <v>#N/A</v>
      </c>
      <c r="V332" s="62" t="b">
        <f t="shared" si="68"/>
        <v>0</v>
      </c>
      <c r="W332" s="63" t="e">
        <f>VLOOKUP($V332,Herbicide_Data!$A$1:$L$17,9)</f>
        <v>#N/A</v>
      </c>
      <c r="X332" s="62" t="e">
        <f>VLOOKUP($V332,Herbicide_Data!$A$1:$L$17,12)</f>
        <v>#N/A</v>
      </c>
      <c r="Y332" s="16" t="e">
        <f t="shared" si="63"/>
        <v>#N/A</v>
      </c>
      <c r="Z332" s="15"/>
      <c r="AA332" s="13"/>
      <c r="AB332" s="17"/>
      <c r="AC332" s="3"/>
      <c r="AD332" s="10"/>
      <c r="AE332" s="3"/>
      <c r="AF332" s="10"/>
      <c r="AG332" s="15"/>
      <c r="AH332" s="62" t="str">
        <f t="shared" si="58"/>
        <v/>
      </c>
      <c r="AI332" s="62" t="e">
        <f>VLOOKUP($AH332,Herbicide_Data!$A$1:$Q$61,13)</f>
        <v>#N/A</v>
      </c>
      <c r="AJ332" s="16" t="e">
        <f t="shared" si="64"/>
        <v>#N/A</v>
      </c>
      <c r="AK332" s="3"/>
      <c r="AL332" s="3"/>
      <c r="AM332" s="3"/>
      <c r="AN332" s="3"/>
      <c r="AO332" s="3"/>
      <c r="AP332" s="3"/>
      <c r="AQ332" s="18"/>
      <c r="AR332" s="19"/>
      <c r="AS332" s="19"/>
      <c r="AT332" s="20"/>
      <c r="AU332" s="20"/>
      <c r="AV332" s="21"/>
      <c r="AW332" s="22"/>
      <c r="AX332" s="19"/>
      <c r="AY332" s="19"/>
      <c r="AZ332" s="19"/>
      <c r="BA332" s="23"/>
      <c r="BB332" s="19"/>
      <c r="BC332" s="19"/>
      <c r="BD332" s="19"/>
    </row>
    <row r="333" spans="1:56">
      <c r="A333" s="13"/>
      <c r="B333" s="11"/>
      <c r="C333" s="12"/>
      <c r="D333" s="12">
        <f t="shared" si="59"/>
        <v>2.0833299999999999E-2</v>
      </c>
      <c r="E333" s="10"/>
      <c r="F333" s="10" t="str">
        <f>IFERROR(VLOOKUP(E333,Data!A$2:B$5,2,TRUE), "")</f>
        <v/>
      </c>
      <c r="G333" s="3"/>
      <c r="H333" s="13" t="str">
        <f>IFERROR(VLOOKUP(A333,Customer_Data!$A$1:$P$114,8,TRUE),"")</f>
        <v/>
      </c>
      <c r="I333" s="13"/>
      <c r="J333" s="3" t="str">
        <f t="shared" si="65"/>
        <v/>
      </c>
      <c r="K333" s="62" t="e">
        <f>(VLOOKUP($J333,Herbicide_Data!$A$1:$L$61,9,TRUE))</f>
        <v>#N/A</v>
      </c>
      <c r="L333" s="62" t="e">
        <f>VLOOKUP($J333,Herbicide_Data!$A$1:$L$61,12,TRUE)</f>
        <v>#N/A</v>
      </c>
      <c r="M333" s="16" t="e">
        <f t="shared" si="60"/>
        <v>#N/A</v>
      </c>
      <c r="N333" s="62" t="str">
        <f t="shared" si="66"/>
        <v/>
      </c>
      <c r="O333" s="63" t="e">
        <f>VLOOKUP($N333,Herbicide_Data!$A$1:$L$61,9)</f>
        <v>#N/A</v>
      </c>
      <c r="P333" s="62" t="e">
        <f>VLOOKUP($N333,Herbicide_Data!$A$1:$P$61,13)</f>
        <v>#N/A</v>
      </c>
      <c r="Q333" s="16" t="e">
        <f t="shared" si="61"/>
        <v>#N/A</v>
      </c>
      <c r="R333" s="62" t="str">
        <f t="shared" si="67"/>
        <v/>
      </c>
      <c r="S333" s="63" t="e">
        <f>VLOOKUP($R333,Herbicide_Data!$A$1:$L$61,9)</f>
        <v>#N/A</v>
      </c>
      <c r="T333" s="62" t="e">
        <f>VLOOKUP($R333,Herbicide_Data!$A$1:$Q$61,13)</f>
        <v>#N/A</v>
      </c>
      <c r="U333" s="16" t="e">
        <f t="shared" si="62"/>
        <v>#N/A</v>
      </c>
      <c r="V333" s="62" t="b">
        <f t="shared" si="68"/>
        <v>0</v>
      </c>
      <c r="W333" s="63" t="e">
        <f>VLOOKUP($V333,Herbicide_Data!$A$1:$L$17,9)</f>
        <v>#N/A</v>
      </c>
      <c r="X333" s="62" t="e">
        <f>VLOOKUP($V333,Herbicide_Data!$A$1:$L$17,12)</f>
        <v>#N/A</v>
      </c>
      <c r="Y333" s="16" t="e">
        <f t="shared" si="63"/>
        <v>#N/A</v>
      </c>
      <c r="Z333" s="15"/>
      <c r="AA333" s="13"/>
      <c r="AB333" s="17"/>
      <c r="AC333" s="3"/>
      <c r="AD333" s="10"/>
      <c r="AE333" s="3"/>
      <c r="AF333" s="10"/>
      <c r="AG333" s="15"/>
      <c r="AH333" s="62" t="str">
        <f t="shared" si="58"/>
        <v/>
      </c>
      <c r="AI333" s="62" t="e">
        <f>VLOOKUP($AH333,Herbicide_Data!$A$1:$Q$61,13)</f>
        <v>#N/A</v>
      </c>
      <c r="AJ333" s="16" t="e">
        <f t="shared" si="64"/>
        <v>#N/A</v>
      </c>
      <c r="AK333" s="3"/>
      <c r="AL333" s="3"/>
      <c r="AM333" s="3"/>
      <c r="AN333" s="3"/>
      <c r="AO333" s="3"/>
      <c r="AP333" s="3"/>
      <c r="AQ333" s="18"/>
      <c r="AR333" s="19"/>
      <c r="AS333" s="19"/>
      <c r="AT333" s="20"/>
      <c r="AU333" s="20"/>
      <c r="AV333" s="21"/>
      <c r="AW333" s="22"/>
      <c r="AX333" s="19"/>
      <c r="AY333" s="19"/>
      <c r="AZ333" s="19"/>
      <c r="BA333" s="23"/>
      <c r="BB333" s="19"/>
      <c r="BC333" s="19"/>
      <c r="BD333" s="19"/>
    </row>
    <row r="334" spans="1:56">
      <c r="A334" s="13"/>
      <c r="B334" s="11"/>
      <c r="C334" s="12"/>
      <c r="D334" s="12">
        <f t="shared" si="59"/>
        <v>2.0833299999999999E-2</v>
      </c>
      <c r="E334" s="10"/>
      <c r="F334" s="10" t="str">
        <f>IFERROR(VLOOKUP(E334,Data!A$2:B$5,2,TRUE), "")</f>
        <v/>
      </c>
      <c r="G334" s="3"/>
      <c r="H334" s="13" t="str">
        <f>IFERROR(VLOOKUP(A334,Customer_Data!$A$1:$P$114,8,TRUE),"")</f>
        <v/>
      </c>
      <c r="I334" s="13"/>
      <c r="J334" s="3" t="str">
        <f t="shared" si="65"/>
        <v/>
      </c>
      <c r="K334" s="62" t="e">
        <f>(VLOOKUP($J334,Herbicide_Data!$A$1:$L$61,9,TRUE))</f>
        <v>#N/A</v>
      </c>
      <c r="L334" s="62" t="e">
        <f>VLOOKUP($J334,Herbicide_Data!$A$1:$L$61,12,TRUE)</f>
        <v>#N/A</v>
      </c>
      <c r="M334" s="16" t="e">
        <f t="shared" si="60"/>
        <v>#N/A</v>
      </c>
      <c r="N334" s="62" t="str">
        <f t="shared" si="66"/>
        <v/>
      </c>
      <c r="O334" s="63" t="e">
        <f>VLOOKUP($N334,Herbicide_Data!$A$1:$L$61,9)</f>
        <v>#N/A</v>
      </c>
      <c r="P334" s="62" t="e">
        <f>VLOOKUP($N334,Herbicide_Data!$A$1:$P$61,13)</f>
        <v>#N/A</v>
      </c>
      <c r="Q334" s="16" t="e">
        <f t="shared" si="61"/>
        <v>#N/A</v>
      </c>
      <c r="R334" s="62" t="str">
        <f t="shared" si="67"/>
        <v/>
      </c>
      <c r="S334" s="63" t="e">
        <f>VLOOKUP($R334,Herbicide_Data!$A$1:$L$61,9)</f>
        <v>#N/A</v>
      </c>
      <c r="T334" s="62" t="e">
        <f>VLOOKUP($R334,Herbicide_Data!$A$1:$Q$61,13)</f>
        <v>#N/A</v>
      </c>
      <c r="U334" s="16" t="e">
        <f t="shared" si="62"/>
        <v>#N/A</v>
      </c>
      <c r="V334" s="62" t="b">
        <f t="shared" si="68"/>
        <v>0</v>
      </c>
      <c r="W334" s="63" t="e">
        <f>VLOOKUP($V334,Herbicide_Data!$A$1:$L$17,9)</f>
        <v>#N/A</v>
      </c>
      <c r="X334" s="62" t="e">
        <f>VLOOKUP($V334,Herbicide_Data!$A$1:$L$17,12)</f>
        <v>#N/A</v>
      </c>
      <c r="Y334" s="16" t="e">
        <f t="shared" si="63"/>
        <v>#N/A</v>
      </c>
      <c r="Z334" s="15"/>
      <c r="AA334" s="13"/>
      <c r="AB334" s="17"/>
      <c r="AC334" s="3"/>
      <c r="AD334" s="10"/>
      <c r="AE334" s="3"/>
      <c r="AF334" s="10"/>
      <c r="AG334" s="15"/>
      <c r="AH334" s="62" t="str">
        <f t="shared" si="58"/>
        <v/>
      </c>
      <c r="AI334" s="62" t="e">
        <f>VLOOKUP($AH334,Herbicide_Data!$A$1:$Q$61,13)</f>
        <v>#N/A</v>
      </c>
      <c r="AJ334" s="16" t="e">
        <f t="shared" si="64"/>
        <v>#N/A</v>
      </c>
      <c r="AK334" s="3"/>
      <c r="AL334" s="3"/>
      <c r="AM334" s="3"/>
      <c r="AN334" s="3"/>
      <c r="AO334" s="3"/>
      <c r="AP334" s="3"/>
      <c r="AQ334" s="18"/>
      <c r="AR334" s="19"/>
      <c r="AS334" s="19"/>
      <c r="AT334" s="20"/>
      <c r="AU334" s="20"/>
      <c r="AV334" s="21"/>
      <c r="AW334" s="22"/>
      <c r="AX334" s="19"/>
      <c r="AY334" s="19"/>
      <c r="AZ334" s="19"/>
      <c r="BA334" s="23"/>
      <c r="BB334" s="19"/>
      <c r="BC334" s="19"/>
      <c r="BD334" s="19"/>
    </row>
    <row r="335" spans="1:56">
      <c r="A335" s="13"/>
      <c r="B335" s="11"/>
      <c r="C335" s="12"/>
      <c r="D335" s="12">
        <f t="shared" si="59"/>
        <v>2.0833299999999999E-2</v>
      </c>
      <c r="E335" s="10"/>
      <c r="F335" s="10" t="str">
        <f>IFERROR(VLOOKUP(E335,Data!A$2:B$5,2,TRUE), "")</f>
        <v/>
      </c>
      <c r="G335" s="3"/>
      <c r="H335" s="13" t="str">
        <f>IFERROR(VLOOKUP(A335,Customer_Data!$A$1:$P$114,8,TRUE),"")</f>
        <v/>
      </c>
      <c r="I335" s="13"/>
      <c r="J335" s="3" t="str">
        <f t="shared" si="65"/>
        <v/>
      </c>
      <c r="K335" s="62" t="e">
        <f>(VLOOKUP($J335,Herbicide_Data!$A$1:$L$61,9,TRUE))</f>
        <v>#N/A</v>
      </c>
      <c r="L335" s="62" t="e">
        <f>VLOOKUP($J335,Herbicide_Data!$A$1:$L$61,12,TRUE)</f>
        <v>#N/A</v>
      </c>
      <c r="M335" s="16" t="e">
        <f t="shared" si="60"/>
        <v>#N/A</v>
      </c>
      <c r="N335" s="62" t="str">
        <f t="shared" si="66"/>
        <v/>
      </c>
      <c r="O335" s="63" t="e">
        <f>VLOOKUP($N335,Herbicide_Data!$A$1:$L$61,9)</f>
        <v>#N/A</v>
      </c>
      <c r="P335" s="62" t="e">
        <f>VLOOKUP($N335,Herbicide_Data!$A$1:$P$61,13)</f>
        <v>#N/A</v>
      </c>
      <c r="Q335" s="16" t="e">
        <f t="shared" si="61"/>
        <v>#N/A</v>
      </c>
      <c r="R335" s="62" t="str">
        <f t="shared" si="67"/>
        <v/>
      </c>
      <c r="S335" s="63" t="e">
        <f>VLOOKUP($R335,Herbicide_Data!$A$1:$L$61,9)</f>
        <v>#N/A</v>
      </c>
      <c r="T335" s="62" t="e">
        <f>VLOOKUP($R335,Herbicide_Data!$A$1:$Q$61,13)</f>
        <v>#N/A</v>
      </c>
      <c r="U335" s="16" t="e">
        <f t="shared" si="62"/>
        <v>#N/A</v>
      </c>
      <c r="V335" s="62" t="b">
        <f t="shared" si="68"/>
        <v>0</v>
      </c>
      <c r="W335" s="63" t="e">
        <f>VLOOKUP($V335,Herbicide_Data!$A$1:$L$17,9)</f>
        <v>#N/A</v>
      </c>
      <c r="X335" s="62" t="e">
        <f>VLOOKUP($V335,Herbicide_Data!$A$1:$L$17,12)</f>
        <v>#N/A</v>
      </c>
      <c r="Y335" s="16" t="e">
        <f t="shared" si="63"/>
        <v>#N/A</v>
      </c>
      <c r="Z335" s="15"/>
      <c r="AA335" s="13"/>
      <c r="AB335" s="17"/>
      <c r="AC335" s="3"/>
      <c r="AD335" s="10"/>
      <c r="AE335" s="3"/>
      <c r="AF335" s="10"/>
      <c r="AG335" s="15"/>
      <c r="AH335" s="62" t="str">
        <f t="shared" si="58"/>
        <v/>
      </c>
      <c r="AI335" s="62" t="e">
        <f>VLOOKUP($AH335,Herbicide_Data!$A$1:$Q$61,13)</f>
        <v>#N/A</v>
      </c>
      <c r="AJ335" s="16" t="e">
        <f t="shared" si="64"/>
        <v>#N/A</v>
      </c>
      <c r="AK335" s="3"/>
      <c r="AL335" s="3"/>
      <c r="AM335" s="3"/>
      <c r="AN335" s="3"/>
      <c r="AO335" s="3"/>
      <c r="AP335" s="3"/>
      <c r="AQ335" s="18"/>
      <c r="AR335" s="19"/>
      <c r="AS335" s="19"/>
      <c r="AT335" s="20"/>
      <c r="AU335" s="20"/>
      <c r="AV335" s="21"/>
      <c r="AW335" s="22"/>
      <c r="AX335" s="19"/>
      <c r="AY335" s="19"/>
      <c r="AZ335" s="19"/>
      <c r="BA335" s="23"/>
      <c r="BB335" s="19"/>
      <c r="BC335" s="19"/>
      <c r="BD335" s="19"/>
    </row>
    <row r="336" spans="1:56">
      <c r="A336" s="13"/>
      <c r="B336" s="11"/>
      <c r="C336" s="12"/>
      <c r="D336" s="12">
        <f t="shared" si="59"/>
        <v>2.0833299999999999E-2</v>
      </c>
      <c r="E336" s="10"/>
      <c r="F336" s="10" t="str">
        <f>IFERROR(VLOOKUP(E336,Data!A$2:B$5,2,TRUE), "")</f>
        <v/>
      </c>
      <c r="G336" s="3"/>
      <c r="H336" s="13" t="str">
        <f>IFERROR(VLOOKUP(A336,Customer_Data!$A$1:$P$114,8,TRUE),"")</f>
        <v/>
      </c>
      <c r="I336" s="13"/>
      <c r="J336" s="3" t="str">
        <f t="shared" si="65"/>
        <v/>
      </c>
      <c r="K336" s="62" t="e">
        <f>(VLOOKUP($J336,Herbicide_Data!$A$1:$L$61,9,TRUE))</f>
        <v>#N/A</v>
      </c>
      <c r="L336" s="62" t="e">
        <f>VLOOKUP($J336,Herbicide_Data!$A$1:$L$61,12,TRUE)</f>
        <v>#N/A</v>
      </c>
      <c r="M336" s="16" t="e">
        <f t="shared" si="60"/>
        <v>#N/A</v>
      </c>
      <c r="N336" s="62" t="str">
        <f t="shared" si="66"/>
        <v/>
      </c>
      <c r="O336" s="63" t="e">
        <f>VLOOKUP($N336,Herbicide_Data!$A$1:$L$61,9)</f>
        <v>#N/A</v>
      </c>
      <c r="P336" s="62" t="e">
        <f>VLOOKUP($N336,Herbicide_Data!$A$1:$P$61,13)</f>
        <v>#N/A</v>
      </c>
      <c r="Q336" s="16" t="e">
        <f t="shared" si="61"/>
        <v>#N/A</v>
      </c>
      <c r="R336" s="62" t="str">
        <f t="shared" si="67"/>
        <v/>
      </c>
      <c r="S336" s="63" t="e">
        <f>VLOOKUP($R336,Herbicide_Data!$A$1:$L$61,9)</f>
        <v>#N/A</v>
      </c>
      <c r="T336" s="62" t="e">
        <f>VLOOKUP($R336,Herbicide_Data!$A$1:$Q$61,13)</f>
        <v>#N/A</v>
      </c>
      <c r="U336" s="16" t="e">
        <f t="shared" si="62"/>
        <v>#N/A</v>
      </c>
      <c r="V336" s="62" t="b">
        <f t="shared" si="68"/>
        <v>0</v>
      </c>
      <c r="W336" s="63" t="e">
        <f>VLOOKUP($V336,Herbicide_Data!$A$1:$L$17,9)</f>
        <v>#N/A</v>
      </c>
      <c r="X336" s="62" t="e">
        <f>VLOOKUP($V336,Herbicide_Data!$A$1:$L$17,12)</f>
        <v>#N/A</v>
      </c>
      <c r="Y336" s="16" t="e">
        <f t="shared" si="63"/>
        <v>#N/A</v>
      </c>
      <c r="Z336" s="15"/>
      <c r="AA336" s="13"/>
      <c r="AB336" s="17"/>
      <c r="AC336" s="3"/>
      <c r="AD336" s="10"/>
      <c r="AE336" s="3"/>
      <c r="AF336" s="10"/>
      <c r="AG336" s="15"/>
      <c r="AH336" s="62" t="str">
        <f t="shared" si="58"/>
        <v/>
      </c>
      <c r="AI336" s="62" t="e">
        <f>VLOOKUP($AH336,Herbicide_Data!$A$1:$Q$61,13)</f>
        <v>#N/A</v>
      </c>
      <c r="AJ336" s="16" t="e">
        <f t="shared" si="64"/>
        <v>#N/A</v>
      </c>
      <c r="AK336" s="3"/>
      <c r="AL336" s="3"/>
      <c r="AM336" s="3"/>
      <c r="AN336" s="3"/>
      <c r="AO336" s="3"/>
      <c r="AP336" s="3"/>
      <c r="AQ336" s="18"/>
      <c r="AR336" s="19"/>
      <c r="AS336" s="19"/>
      <c r="AT336" s="20"/>
      <c r="AU336" s="20"/>
      <c r="AV336" s="21"/>
      <c r="AW336" s="22"/>
      <c r="AX336" s="19"/>
      <c r="AY336" s="19"/>
      <c r="AZ336" s="19"/>
      <c r="BA336" s="23"/>
      <c r="BB336" s="19"/>
      <c r="BC336" s="19"/>
      <c r="BD336" s="19"/>
    </row>
    <row r="337" spans="1:56">
      <c r="A337" s="13"/>
      <c r="B337" s="11"/>
      <c r="C337" s="12"/>
      <c r="D337" s="12">
        <f t="shared" si="59"/>
        <v>2.0833299999999999E-2</v>
      </c>
      <c r="E337" s="10"/>
      <c r="F337" s="10" t="str">
        <f>IFERROR(VLOOKUP(E337,Data!A$2:B$5,2,TRUE), "")</f>
        <v/>
      </c>
      <c r="G337" s="3"/>
      <c r="H337" s="13" t="str">
        <f>IFERROR(VLOOKUP(A337,Customer_Data!$A$1:$P$114,8,TRUE),"")</f>
        <v/>
      </c>
      <c r="I337" s="13"/>
      <c r="J337" s="3" t="str">
        <f t="shared" si="65"/>
        <v/>
      </c>
      <c r="K337" s="62" t="e">
        <f>(VLOOKUP($J337,Herbicide_Data!$A$1:$L$61,9,TRUE))</f>
        <v>#N/A</v>
      </c>
      <c r="L337" s="62" t="e">
        <f>VLOOKUP($J337,Herbicide_Data!$A$1:$L$61,12,TRUE)</f>
        <v>#N/A</v>
      </c>
      <c r="M337" s="16" t="e">
        <f t="shared" si="60"/>
        <v>#N/A</v>
      </c>
      <c r="N337" s="62" t="str">
        <f t="shared" si="66"/>
        <v/>
      </c>
      <c r="O337" s="63" t="e">
        <f>VLOOKUP($N337,Herbicide_Data!$A$1:$L$61,9)</f>
        <v>#N/A</v>
      </c>
      <c r="P337" s="62" t="e">
        <f>VLOOKUP($N337,Herbicide_Data!$A$1:$P$61,13)</f>
        <v>#N/A</v>
      </c>
      <c r="Q337" s="16" t="e">
        <f t="shared" si="61"/>
        <v>#N/A</v>
      </c>
      <c r="R337" s="62" t="str">
        <f t="shared" si="67"/>
        <v/>
      </c>
      <c r="S337" s="63" t="e">
        <f>VLOOKUP($R337,Herbicide_Data!$A$1:$L$61,9)</f>
        <v>#N/A</v>
      </c>
      <c r="T337" s="62" t="e">
        <f>VLOOKUP($R337,Herbicide_Data!$A$1:$Q$61,13)</f>
        <v>#N/A</v>
      </c>
      <c r="U337" s="16" t="e">
        <f t="shared" si="62"/>
        <v>#N/A</v>
      </c>
      <c r="V337" s="62" t="b">
        <f t="shared" si="68"/>
        <v>0</v>
      </c>
      <c r="W337" s="63" t="e">
        <f>VLOOKUP($V337,Herbicide_Data!$A$1:$L$17,9)</f>
        <v>#N/A</v>
      </c>
      <c r="X337" s="62" t="e">
        <f>VLOOKUP($V337,Herbicide_Data!$A$1:$L$17,12)</f>
        <v>#N/A</v>
      </c>
      <c r="Y337" s="16" t="e">
        <f t="shared" si="63"/>
        <v>#N/A</v>
      </c>
      <c r="Z337" s="15"/>
      <c r="AA337" s="13"/>
      <c r="AB337" s="17"/>
      <c r="AC337" s="3"/>
      <c r="AD337" s="10"/>
      <c r="AE337" s="3"/>
      <c r="AF337" s="10"/>
      <c r="AG337" s="15"/>
      <c r="AH337" s="62" t="str">
        <f t="shared" si="58"/>
        <v/>
      </c>
      <c r="AI337" s="62" t="e">
        <f>VLOOKUP($AH337,Herbicide_Data!$A$1:$Q$61,13)</f>
        <v>#N/A</v>
      </c>
      <c r="AJ337" s="16" t="e">
        <f t="shared" si="64"/>
        <v>#N/A</v>
      </c>
      <c r="AK337" s="3"/>
      <c r="AL337" s="3"/>
      <c r="AM337" s="3"/>
      <c r="AN337" s="3"/>
      <c r="AO337" s="3"/>
      <c r="AP337" s="3"/>
      <c r="AQ337" s="18"/>
      <c r="AR337" s="19"/>
      <c r="AS337" s="19"/>
      <c r="AT337" s="20"/>
      <c r="AU337" s="20"/>
      <c r="AV337" s="21"/>
      <c r="AW337" s="22"/>
      <c r="AX337" s="19"/>
      <c r="AY337" s="19"/>
      <c r="AZ337" s="19"/>
      <c r="BA337" s="23"/>
      <c r="BB337" s="19"/>
      <c r="BC337" s="19"/>
      <c r="BD337" s="19"/>
    </row>
    <row r="338" spans="1:56">
      <c r="A338" s="13"/>
      <c r="B338" s="11"/>
      <c r="C338" s="12"/>
      <c r="D338" s="12">
        <f t="shared" si="59"/>
        <v>2.0833299999999999E-2</v>
      </c>
      <c r="E338" s="10"/>
      <c r="F338" s="10" t="str">
        <f>IFERROR(VLOOKUP(E338,Data!A$2:B$5,2,TRUE), "")</f>
        <v/>
      </c>
      <c r="G338" s="3"/>
      <c r="H338" s="13" t="str">
        <f>IFERROR(VLOOKUP(A338,Customer_Data!$A$1:$P$114,8,TRUE),"")</f>
        <v/>
      </c>
      <c r="I338" s="13"/>
      <c r="J338" s="3" t="str">
        <f t="shared" si="65"/>
        <v/>
      </c>
      <c r="K338" s="62" t="e">
        <f>(VLOOKUP($J338,Herbicide_Data!$A$1:$L$61,9,TRUE))</f>
        <v>#N/A</v>
      </c>
      <c r="L338" s="62" t="e">
        <f>VLOOKUP($J338,Herbicide_Data!$A$1:$L$61,12,TRUE)</f>
        <v>#N/A</v>
      </c>
      <c r="M338" s="16" t="e">
        <f t="shared" si="60"/>
        <v>#N/A</v>
      </c>
      <c r="N338" s="62" t="str">
        <f t="shared" si="66"/>
        <v/>
      </c>
      <c r="O338" s="63" t="e">
        <f>VLOOKUP($N338,Herbicide_Data!$A$1:$L$61,9)</f>
        <v>#N/A</v>
      </c>
      <c r="P338" s="62" t="e">
        <f>VLOOKUP($N338,Herbicide_Data!$A$1:$P$61,13)</f>
        <v>#N/A</v>
      </c>
      <c r="Q338" s="16" t="e">
        <f t="shared" si="61"/>
        <v>#N/A</v>
      </c>
      <c r="R338" s="62" t="str">
        <f t="shared" si="67"/>
        <v/>
      </c>
      <c r="S338" s="63" t="e">
        <f>VLOOKUP($R338,Herbicide_Data!$A$1:$L$61,9)</f>
        <v>#N/A</v>
      </c>
      <c r="T338" s="62" t="e">
        <f>VLOOKUP($R338,Herbicide_Data!$A$1:$Q$61,13)</f>
        <v>#N/A</v>
      </c>
      <c r="U338" s="16" t="e">
        <f t="shared" si="62"/>
        <v>#N/A</v>
      </c>
      <c r="V338" s="62" t="b">
        <f t="shared" si="68"/>
        <v>0</v>
      </c>
      <c r="W338" s="63" t="e">
        <f>VLOOKUP($V338,Herbicide_Data!$A$1:$L$17,9)</f>
        <v>#N/A</v>
      </c>
      <c r="X338" s="62" t="e">
        <f>VLOOKUP($V338,Herbicide_Data!$A$1:$L$17,12)</f>
        <v>#N/A</v>
      </c>
      <c r="Y338" s="16" t="e">
        <f t="shared" si="63"/>
        <v>#N/A</v>
      </c>
      <c r="Z338" s="15"/>
      <c r="AA338" s="13"/>
      <c r="AB338" s="17"/>
      <c r="AC338" s="3"/>
      <c r="AD338" s="10"/>
      <c r="AE338" s="3"/>
      <c r="AF338" s="10"/>
      <c r="AG338" s="15"/>
      <c r="AH338" s="62" t="str">
        <f t="shared" si="58"/>
        <v/>
      </c>
      <c r="AI338" s="62" t="e">
        <f>VLOOKUP($AH338,Herbicide_Data!$A$1:$Q$61,13)</f>
        <v>#N/A</v>
      </c>
      <c r="AJ338" s="16" t="e">
        <f t="shared" si="64"/>
        <v>#N/A</v>
      </c>
      <c r="AK338" s="3"/>
      <c r="AL338" s="3"/>
      <c r="AM338" s="3"/>
      <c r="AN338" s="3"/>
      <c r="AO338" s="3"/>
      <c r="AP338" s="3"/>
      <c r="AQ338" s="18"/>
      <c r="AR338" s="19"/>
      <c r="AS338" s="19"/>
      <c r="AT338" s="20"/>
      <c r="AU338" s="20"/>
      <c r="AV338" s="21"/>
      <c r="AW338" s="22"/>
      <c r="AX338" s="19"/>
      <c r="AY338" s="19"/>
      <c r="AZ338" s="19"/>
      <c r="BA338" s="23"/>
      <c r="BB338" s="19"/>
      <c r="BC338" s="19"/>
      <c r="BD338" s="19"/>
    </row>
    <row r="339" spans="1:56">
      <c r="A339" s="13"/>
      <c r="B339" s="11"/>
      <c r="C339" s="12"/>
      <c r="D339" s="12">
        <f t="shared" si="59"/>
        <v>2.0833299999999999E-2</v>
      </c>
      <c r="E339" s="10"/>
      <c r="F339" s="10" t="str">
        <f>IFERROR(VLOOKUP(E339,Data!A$2:B$5,2,TRUE), "")</f>
        <v/>
      </c>
      <c r="G339" s="3"/>
      <c r="H339" s="13" t="str">
        <f>IFERROR(VLOOKUP(A339,Customer_Data!$A$1:$P$114,8,TRUE),"")</f>
        <v/>
      </c>
      <c r="I339" s="13"/>
      <c r="J339" s="3" t="str">
        <f t="shared" si="65"/>
        <v/>
      </c>
      <c r="K339" s="62" t="e">
        <f>(VLOOKUP($J339,Herbicide_Data!$A$1:$L$61,9,TRUE))</f>
        <v>#N/A</v>
      </c>
      <c r="L339" s="62" t="e">
        <f>VLOOKUP($J339,Herbicide_Data!$A$1:$L$61,12,TRUE)</f>
        <v>#N/A</v>
      </c>
      <c r="M339" s="16" t="e">
        <f t="shared" si="60"/>
        <v>#N/A</v>
      </c>
      <c r="N339" s="62" t="str">
        <f t="shared" si="66"/>
        <v/>
      </c>
      <c r="O339" s="63" t="e">
        <f>VLOOKUP($N339,Herbicide_Data!$A$1:$L$61,9)</f>
        <v>#N/A</v>
      </c>
      <c r="P339" s="62" t="e">
        <f>VLOOKUP($N339,Herbicide_Data!$A$1:$P$61,13)</f>
        <v>#N/A</v>
      </c>
      <c r="Q339" s="16" t="e">
        <f t="shared" si="61"/>
        <v>#N/A</v>
      </c>
      <c r="R339" s="62" t="str">
        <f t="shared" si="67"/>
        <v/>
      </c>
      <c r="S339" s="63" t="e">
        <f>VLOOKUP($R339,Herbicide_Data!$A$1:$L$61,9)</f>
        <v>#N/A</v>
      </c>
      <c r="T339" s="62" t="e">
        <f>VLOOKUP($R339,Herbicide_Data!$A$1:$Q$61,13)</f>
        <v>#N/A</v>
      </c>
      <c r="U339" s="16" t="e">
        <f t="shared" si="62"/>
        <v>#N/A</v>
      </c>
      <c r="V339" s="62" t="b">
        <f t="shared" si="68"/>
        <v>0</v>
      </c>
      <c r="W339" s="63" t="e">
        <f>VLOOKUP($V339,Herbicide_Data!$A$1:$L$17,9)</f>
        <v>#N/A</v>
      </c>
      <c r="X339" s="62" t="e">
        <f>VLOOKUP($V339,Herbicide_Data!$A$1:$L$17,12)</f>
        <v>#N/A</v>
      </c>
      <c r="Y339" s="16" t="e">
        <f t="shared" si="63"/>
        <v>#N/A</v>
      </c>
      <c r="Z339" s="15"/>
      <c r="AA339" s="13"/>
      <c r="AB339" s="17"/>
      <c r="AC339" s="3"/>
      <c r="AD339" s="10"/>
      <c r="AE339" s="3"/>
      <c r="AF339" s="10"/>
      <c r="AG339" s="15"/>
      <c r="AH339" s="62" t="str">
        <f t="shared" si="58"/>
        <v/>
      </c>
      <c r="AI339" s="62" t="e">
        <f>VLOOKUP($AH339,Herbicide_Data!$A$1:$Q$61,13)</f>
        <v>#N/A</v>
      </c>
      <c r="AJ339" s="16" t="e">
        <f t="shared" si="64"/>
        <v>#N/A</v>
      </c>
      <c r="AK339" s="3"/>
      <c r="AL339" s="3"/>
      <c r="AM339" s="3"/>
      <c r="AN339" s="3"/>
      <c r="AO339" s="3"/>
      <c r="AP339" s="3"/>
      <c r="AQ339" s="18"/>
      <c r="AR339" s="19"/>
      <c r="AS339" s="19"/>
      <c r="AT339" s="20"/>
      <c r="AU339" s="20"/>
      <c r="AV339" s="21"/>
      <c r="AW339" s="22"/>
      <c r="AX339" s="19"/>
      <c r="AY339" s="19"/>
      <c r="AZ339" s="19"/>
      <c r="BA339" s="23"/>
      <c r="BB339" s="19"/>
      <c r="BC339" s="19"/>
      <c r="BD339" s="19"/>
    </row>
    <row r="340" spans="1:56">
      <c r="A340" s="13"/>
      <c r="B340" s="11"/>
      <c r="C340" s="12"/>
      <c r="D340" s="12">
        <f t="shared" si="59"/>
        <v>2.0833299999999999E-2</v>
      </c>
      <c r="E340" s="10"/>
      <c r="F340" s="10" t="str">
        <f>IFERROR(VLOOKUP(E340,Data!A$2:B$5,2,TRUE), "")</f>
        <v/>
      </c>
      <c r="G340" s="3"/>
      <c r="H340" s="13" t="str">
        <f>IFERROR(VLOOKUP(A340,Customer_Data!$A$1:$P$114,8,TRUE),"")</f>
        <v/>
      </c>
      <c r="I340" s="13"/>
      <c r="J340" s="3" t="str">
        <f t="shared" si="65"/>
        <v/>
      </c>
      <c r="K340" s="62" t="e">
        <f>(VLOOKUP($J340,Herbicide_Data!$A$1:$L$61,9,TRUE))</f>
        <v>#N/A</v>
      </c>
      <c r="L340" s="62" t="e">
        <f>VLOOKUP($J340,Herbicide_Data!$A$1:$L$61,12,TRUE)</f>
        <v>#N/A</v>
      </c>
      <c r="M340" s="16" t="e">
        <f t="shared" si="60"/>
        <v>#N/A</v>
      </c>
      <c r="N340" s="62" t="str">
        <f t="shared" si="66"/>
        <v/>
      </c>
      <c r="O340" s="63" t="e">
        <f>VLOOKUP($N340,Herbicide_Data!$A$1:$L$61,9)</f>
        <v>#N/A</v>
      </c>
      <c r="P340" s="62" t="e">
        <f>VLOOKUP($N340,Herbicide_Data!$A$1:$P$61,13)</f>
        <v>#N/A</v>
      </c>
      <c r="Q340" s="16" t="e">
        <f t="shared" si="61"/>
        <v>#N/A</v>
      </c>
      <c r="R340" s="62" t="str">
        <f t="shared" si="67"/>
        <v/>
      </c>
      <c r="S340" s="63" t="e">
        <f>VLOOKUP($R340,Herbicide_Data!$A$1:$L$61,9)</f>
        <v>#N/A</v>
      </c>
      <c r="T340" s="62" t="e">
        <f>VLOOKUP($R340,Herbicide_Data!$A$1:$Q$61,13)</f>
        <v>#N/A</v>
      </c>
      <c r="U340" s="16" t="e">
        <f t="shared" si="62"/>
        <v>#N/A</v>
      </c>
      <c r="V340" s="62" t="b">
        <f t="shared" si="68"/>
        <v>0</v>
      </c>
      <c r="W340" s="63" t="e">
        <f>VLOOKUP($V340,Herbicide_Data!$A$1:$L$17,9)</f>
        <v>#N/A</v>
      </c>
      <c r="X340" s="62" t="e">
        <f>VLOOKUP($V340,Herbicide_Data!$A$1:$L$17,12)</f>
        <v>#N/A</v>
      </c>
      <c r="Y340" s="16" t="e">
        <f t="shared" si="63"/>
        <v>#N/A</v>
      </c>
      <c r="Z340" s="15"/>
      <c r="AA340" s="13"/>
      <c r="AB340" s="17"/>
      <c r="AC340" s="3"/>
      <c r="AD340" s="10"/>
      <c r="AE340" s="3"/>
      <c r="AF340" s="10"/>
      <c r="AG340" s="15"/>
      <c r="AH340" s="62" t="str">
        <f t="shared" si="58"/>
        <v/>
      </c>
      <c r="AI340" s="62" t="e">
        <f>VLOOKUP($AH340,Herbicide_Data!$A$1:$Q$61,13)</f>
        <v>#N/A</v>
      </c>
      <c r="AJ340" s="16" t="e">
        <f t="shared" si="64"/>
        <v>#N/A</v>
      </c>
      <c r="AK340" s="3"/>
      <c r="AL340" s="3"/>
      <c r="AM340" s="3"/>
      <c r="AN340" s="3"/>
      <c r="AO340" s="3"/>
      <c r="AP340" s="3"/>
      <c r="AQ340" s="18"/>
      <c r="AR340" s="19"/>
      <c r="AS340" s="19"/>
      <c r="AT340" s="20"/>
      <c r="AU340" s="20"/>
      <c r="AV340" s="21"/>
      <c r="AW340" s="22"/>
      <c r="AX340" s="19"/>
      <c r="AY340" s="19"/>
      <c r="AZ340" s="19"/>
      <c r="BA340" s="23"/>
      <c r="BB340" s="19"/>
      <c r="BC340" s="19"/>
      <c r="BD340" s="19"/>
    </row>
    <row r="341" spans="1:56">
      <c r="A341" s="13"/>
      <c r="B341" s="11"/>
      <c r="C341" s="12"/>
      <c r="D341" s="12">
        <f t="shared" si="59"/>
        <v>2.0833299999999999E-2</v>
      </c>
      <c r="E341" s="10"/>
      <c r="F341" s="10" t="str">
        <f>IFERROR(VLOOKUP(E341,Data!A$2:B$5,2,TRUE), "")</f>
        <v/>
      </c>
      <c r="G341" s="3"/>
      <c r="H341" s="13" t="str">
        <f>IFERROR(VLOOKUP(A341,Customer_Data!$A$1:$P$114,8,TRUE),"")</f>
        <v/>
      </c>
      <c r="I341" s="13"/>
      <c r="J341" s="3" t="str">
        <f t="shared" si="65"/>
        <v/>
      </c>
      <c r="K341" s="62" t="e">
        <f>(VLOOKUP($J341,Herbicide_Data!$A$1:$L$61,9,TRUE))</f>
        <v>#N/A</v>
      </c>
      <c r="L341" s="62" t="e">
        <f>VLOOKUP($J341,Herbicide_Data!$A$1:$L$61,12,TRUE)</f>
        <v>#N/A</v>
      </c>
      <c r="M341" s="16" t="e">
        <f t="shared" si="60"/>
        <v>#N/A</v>
      </c>
      <c r="N341" s="62" t="str">
        <f t="shared" si="66"/>
        <v/>
      </c>
      <c r="O341" s="63" t="e">
        <f>VLOOKUP($N341,Herbicide_Data!$A$1:$L$61,9)</f>
        <v>#N/A</v>
      </c>
      <c r="P341" s="62" t="e">
        <f>VLOOKUP($N341,Herbicide_Data!$A$1:$P$61,13)</f>
        <v>#N/A</v>
      </c>
      <c r="Q341" s="16" t="e">
        <f t="shared" si="61"/>
        <v>#N/A</v>
      </c>
      <c r="R341" s="62" t="str">
        <f t="shared" si="67"/>
        <v/>
      </c>
      <c r="S341" s="63" t="e">
        <f>VLOOKUP($R341,Herbicide_Data!$A$1:$L$61,9)</f>
        <v>#N/A</v>
      </c>
      <c r="T341" s="62" t="e">
        <f>VLOOKUP($R341,Herbicide_Data!$A$1:$Q$61,13)</f>
        <v>#N/A</v>
      </c>
      <c r="U341" s="16" t="e">
        <f t="shared" si="62"/>
        <v>#N/A</v>
      </c>
      <c r="V341" s="62" t="b">
        <f t="shared" si="68"/>
        <v>0</v>
      </c>
      <c r="W341" s="63" t="e">
        <f>VLOOKUP($V341,Herbicide_Data!$A$1:$L$17,9)</f>
        <v>#N/A</v>
      </c>
      <c r="X341" s="62" t="e">
        <f>VLOOKUP($V341,Herbicide_Data!$A$1:$L$17,12)</f>
        <v>#N/A</v>
      </c>
      <c r="Y341" s="16" t="e">
        <f t="shared" si="63"/>
        <v>#N/A</v>
      </c>
      <c r="Z341" s="15"/>
      <c r="AA341" s="13"/>
      <c r="AB341" s="17"/>
      <c r="AC341" s="3"/>
      <c r="AD341" s="10"/>
      <c r="AE341" s="3"/>
      <c r="AF341" s="10"/>
      <c r="AG341" s="15"/>
      <c r="AH341" s="62" t="str">
        <f t="shared" si="58"/>
        <v/>
      </c>
      <c r="AI341" s="62" t="e">
        <f>VLOOKUP($AH341,Herbicide_Data!$A$1:$Q$61,13)</f>
        <v>#N/A</v>
      </c>
      <c r="AJ341" s="16" t="e">
        <f t="shared" si="64"/>
        <v>#N/A</v>
      </c>
      <c r="AK341" s="3"/>
      <c r="AL341" s="3"/>
      <c r="AM341" s="3"/>
      <c r="AN341" s="3"/>
      <c r="AO341" s="3"/>
      <c r="AP341" s="3"/>
      <c r="AQ341" s="18"/>
      <c r="AR341" s="19"/>
      <c r="AS341" s="19"/>
      <c r="AT341" s="20"/>
      <c r="AU341" s="20"/>
      <c r="AV341" s="21"/>
      <c r="AW341" s="22"/>
      <c r="AX341" s="19"/>
      <c r="AY341" s="19"/>
      <c r="AZ341" s="19"/>
      <c r="BA341" s="23"/>
      <c r="BB341" s="19"/>
      <c r="BC341" s="19"/>
      <c r="BD341" s="19"/>
    </row>
    <row r="342" spans="1:56">
      <c r="A342" s="13"/>
      <c r="B342" s="11"/>
      <c r="C342" s="12"/>
      <c r="D342" s="12">
        <f t="shared" si="59"/>
        <v>2.0833299999999999E-2</v>
      </c>
      <c r="E342" s="10"/>
      <c r="F342" s="10" t="str">
        <f>IFERROR(VLOOKUP(E342,Data!A$2:B$5,2,TRUE), "")</f>
        <v/>
      </c>
      <c r="G342" s="3"/>
      <c r="H342" s="13" t="str">
        <f>IFERROR(VLOOKUP(A342,Customer_Data!$A$1:$P$114,8,TRUE),"")</f>
        <v/>
      </c>
      <c r="I342" s="13"/>
      <c r="J342" s="3" t="str">
        <f t="shared" si="65"/>
        <v/>
      </c>
      <c r="K342" s="62" t="e">
        <f>(VLOOKUP($J342,Herbicide_Data!$A$1:$L$61,9,TRUE))</f>
        <v>#N/A</v>
      </c>
      <c r="L342" s="62" t="e">
        <f>VLOOKUP($J342,Herbicide_Data!$A$1:$L$61,12,TRUE)</f>
        <v>#N/A</v>
      </c>
      <c r="M342" s="16" t="e">
        <f t="shared" si="60"/>
        <v>#N/A</v>
      </c>
      <c r="N342" s="62" t="str">
        <f t="shared" si="66"/>
        <v/>
      </c>
      <c r="O342" s="63" t="e">
        <f>VLOOKUP($N342,Herbicide_Data!$A$1:$L$61,9)</f>
        <v>#N/A</v>
      </c>
      <c r="P342" s="62" t="e">
        <f>VLOOKUP($N342,Herbicide_Data!$A$1:$P$61,13)</f>
        <v>#N/A</v>
      </c>
      <c r="Q342" s="16" t="e">
        <f t="shared" si="61"/>
        <v>#N/A</v>
      </c>
      <c r="R342" s="62" t="str">
        <f t="shared" si="67"/>
        <v/>
      </c>
      <c r="S342" s="63" t="e">
        <f>VLOOKUP($R342,Herbicide_Data!$A$1:$L$61,9)</f>
        <v>#N/A</v>
      </c>
      <c r="T342" s="62" t="e">
        <f>VLOOKUP($R342,Herbicide_Data!$A$1:$Q$61,13)</f>
        <v>#N/A</v>
      </c>
      <c r="U342" s="16" t="e">
        <f t="shared" si="62"/>
        <v>#N/A</v>
      </c>
      <c r="V342" s="62" t="b">
        <f t="shared" si="68"/>
        <v>0</v>
      </c>
      <c r="W342" s="63" t="e">
        <f>VLOOKUP($V342,Herbicide_Data!$A$1:$L$17,9)</f>
        <v>#N/A</v>
      </c>
      <c r="X342" s="62" t="e">
        <f>VLOOKUP($V342,Herbicide_Data!$A$1:$L$17,12)</f>
        <v>#N/A</v>
      </c>
      <c r="Y342" s="16" t="e">
        <f t="shared" si="63"/>
        <v>#N/A</v>
      </c>
      <c r="Z342" s="15"/>
      <c r="AA342" s="13"/>
      <c r="AB342" s="17"/>
      <c r="AC342" s="3"/>
      <c r="AD342" s="10"/>
      <c r="AE342" s="3"/>
      <c r="AF342" s="10"/>
      <c r="AG342" s="15"/>
      <c r="AH342" s="62" t="str">
        <f t="shared" si="58"/>
        <v/>
      </c>
      <c r="AI342" s="62" t="e">
        <f>VLOOKUP($AH342,Herbicide_Data!$A$1:$Q$61,13)</f>
        <v>#N/A</v>
      </c>
      <c r="AJ342" s="16" t="e">
        <f t="shared" si="64"/>
        <v>#N/A</v>
      </c>
      <c r="AK342" s="3"/>
      <c r="AL342" s="3"/>
      <c r="AM342" s="3"/>
      <c r="AN342" s="3"/>
      <c r="AO342" s="3"/>
      <c r="AP342" s="3"/>
      <c r="AQ342" s="18"/>
      <c r="AR342" s="19"/>
      <c r="AS342" s="19"/>
      <c r="AT342" s="20"/>
      <c r="AU342" s="20"/>
      <c r="AV342" s="21"/>
      <c r="AW342" s="22"/>
      <c r="AX342" s="19"/>
      <c r="AY342" s="19"/>
      <c r="AZ342" s="19"/>
      <c r="BA342" s="23"/>
      <c r="BB342" s="19"/>
      <c r="BC342" s="19"/>
      <c r="BD342" s="19"/>
    </row>
    <row r="343" spans="1:56">
      <c r="A343" s="13"/>
      <c r="B343" s="11"/>
      <c r="C343" s="12"/>
      <c r="D343" s="12">
        <f t="shared" si="59"/>
        <v>2.0833299999999999E-2</v>
      </c>
      <c r="E343" s="10"/>
      <c r="F343" s="10" t="str">
        <f>IFERROR(VLOOKUP(E343,Data!A$2:B$5,2,TRUE), "")</f>
        <v/>
      </c>
      <c r="G343" s="3"/>
      <c r="H343" s="13" t="str">
        <f>IFERROR(VLOOKUP(A343,Customer_Data!$A$1:$P$114,8,TRUE),"")</f>
        <v/>
      </c>
      <c r="I343" s="13"/>
      <c r="J343" s="3" t="str">
        <f t="shared" si="65"/>
        <v/>
      </c>
      <c r="K343" s="62" t="e">
        <f>(VLOOKUP($J343,Herbicide_Data!$A$1:$L$61,9,TRUE))</f>
        <v>#N/A</v>
      </c>
      <c r="L343" s="62" t="e">
        <f>VLOOKUP($J343,Herbicide_Data!$A$1:$L$61,12,TRUE)</f>
        <v>#N/A</v>
      </c>
      <c r="M343" s="16" t="e">
        <f t="shared" si="60"/>
        <v>#N/A</v>
      </c>
      <c r="N343" s="62" t="str">
        <f t="shared" si="66"/>
        <v/>
      </c>
      <c r="O343" s="63" t="e">
        <f>VLOOKUP($N343,Herbicide_Data!$A$1:$L$61,9)</f>
        <v>#N/A</v>
      </c>
      <c r="P343" s="62" t="e">
        <f>VLOOKUP($N343,Herbicide_Data!$A$1:$P$61,13)</f>
        <v>#N/A</v>
      </c>
      <c r="Q343" s="16" t="e">
        <f t="shared" si="61"/>
        <v>#N/A</v>
      </c>
      <c r="R343" s="62" t="str">
        <f t="shared" si="67"/>
        <v/>
      </c>
      <c r="S343" s="63" t="e">
        <f>VLOOKUP($R343,Herbicide_Data!$A$1:$L$61,9)</f>
        <v>#N/A</v>
      </c>
      <c r="T343" s="62" t="e">
        <f>VLOOKUP($R343,Herbicide_Data!$A$1:$Q$61,13)</f>
        <v>#N/A</v>
      </c>
      <c r="U343" s="16" t="e">
        <f t="shared" si="62"/>
        <v>#N/A</v>
      </c>
      <c r="V343" s="62" t="b">
        <f t="shared" si="68"/>
        <v>0</v>
      </c>
      <c r="W343" s="63" t="e">
        <f>VLOOKUP($V343,Herbicide_Data!$A$1:$L$17,9)</f>
        <v>#N/A</v>
      </c>
      <c r="X343" s="62" t="e">
        <f>VLOOKUP($V343,Herbicide_Data!$A$1:$L$17,12)</f>
        <v>#N/A</v>
      </c>
      <c r="Y343" s="16" t="e">
        <f t="shared" si="63"/>
        <v>#N/A</v>
      </c>
      <c r="Z343" s="15"/>
      <c r="AA343" s="13"/>
      <c r="AB343" s="17"/>
      <c r="AC343" s="3"/>
      <c r="AD343" s="10"/>
      <c r="AE343" s="3"/>
      <c r="AF343" s="10"/>
      <c r="AG343" s="15"/>
      <c r="AH343" s="62" t="str">
        <f t="shared" si="58"/>
        <v/>
      </c>
      <c r="AI343" s="62" t="e">
        <f>VLOOKUP($AH343,Herbicide_Data!$A$1:$Q$61,13)</f>
        <v>#N/A</v>
      </c>
      <c r="AJ343" s="16" t="e">
        <f t="shared" si="64"/>
        <v>#N/A</v>
      </c>
      <c r="AK343" s="3"/>
      <c r="AL343" s="3"/>
      <c r="AM343" s="3"/>
      <c r="AN343" s="3"/>
      <c r="AO343" s="3"/>
      <c r="AP343" s="3"/>
      <c r="AQ343" s="18"/>
      <c r="AR343" s="19"/>
      <c r="AS343" s="19"/>
      <c r="AT343" s="20"/>
      <c r="AU343" s="20"/>
      <c r="AV343" s="21"/>
      <c r="AW343" s="22"/>
      <c r="AX343" s="19"/>
      <c r="AY343" s="19"/>
      <c r="AZ343" s="19"/>
      <c r="BA343" s="23"/>
      <c r="BB343" s="19"/>
      <c r="BC343" s="19"/>
      <c r="BD343" s="19"/>
    </row>
    <row r="344" spans="1:56">
      <c r="A344" s="13"/>
      <c r="B344" s="11"/>
      <c r="C344" s="12"/>
      <c r="D344" s="12">
        <f t="shared" si="59"/>
        <v>2.0833299999999999E-2</v>
      </c>
      <c r="E344" s="10"/>
      <c r="F344" s="10" t="str">
        <f>IFERROR(VLOOKUP(E344,Data!A$2:B$5,2,TRUE), "")</f>
        <v/>
      </c>
      <c r="G344" s="3"/>
      <c r="H344" s="13" t="str">
        <f>IFERROR(VLOOKUP(A344,Customer_Data!$A$1:$P$114,8,TRUE),"")</f>
        <v/>
      </c>
      <c r="I344" s="13"/>
      <c r="J344" s="3" t="str">
        <f t="shared" si="65"/>
        <v/>
      </c>
      <c r="K344" s="62" t="e">
        <f>(VLOOKUP($J344,Herbicide_Data!$A$1:$L$61,9,TRUE))</f>
        <v>#N/A</v>
      </c>
      <c r="L344" s="62" t="e">
        <f>VLOOKUP($J344,Herbicide_Data!$A$1:$L$61,12,TRUE)</f>
        <v>#N/A</v>
      </c>
      <c r="M344" s="16" t="e">
        <f t="shared" si="60"/>
        <v>#N/A</v>
      </c>
      <c r="N344" s="62" t="str">
        <f t="shared" si="66"/>
        <v/>
      </c>
      <c r="O344" s="63" t="e">
        <f>VLOOKUP($N344,Herbicide_Data!$A$1:$L$61,9)</f>
        <v>#N/A</v>
      </c>
      <c r="P344" s="62" t="e">
        <f>VLOOKUP($N344,Herbicide_Data!$A$1:$P$61,13)</f>
        <v>#N/A</v>
      </c>
      <c r="Q344" s="16" t="e">
        <f t="shared" si="61"/>
        <v>#N/A</v>
      </c>
      <c r="R344" s="62" t="str">
        <f t="shared" si="67"/>
        <v/>
      </c>
      <c r="S344" s="63" t="e">
        <f>VLOOKUP($R344,Herbicide_Data!$A$1:$L$61,9)</f>
        <v>#N/A</v>
      </c>
      <c r="T344" s="62" t="e">
        <f>VLOOKUP($R344,Herbicide_Data!$A$1:$Q$61,13)</f>
        <v>#N/A</v>
      </c>
      <c r="U344" s="16" t="e">
        <f t="shared" si="62"/>
        <v>#N/A</v>
      </c>
      <c r="V344" s="62" t="b">
        <f t="shared" si="68"/>
        <v>0</v>
      </c>
      <c r="W344" s="63" t="e">
        <f>VLOOKUP($V344,Herbicide_Data!$A$1:$L$17,9)</f>
        <v>#N/A</v>
      </c>
      <c r="X344" s="62" t="e">
        <f>VLOOKUP($V344,Herbicide_Data!$A$1:$L$17,12)</f>
        <v>#N/A</v>
      </c>
      <c r="Y344" s="16" t="e">
        <f t="shared" si="63"/>
        <v>#N/A</v>
      </c>
      <c r="Z344" s="15"/>
      <c r="AA344" s="13"/>
      <c r="AB344" s="17"/>
      <c r="AC344" s="3"/>
      <c r="AD344" s="10"/>
      <c r="AE344" s="3"/>
      <c r="AF344" s="10"/>
      <c r="AG344" s="15"/>
      <c r="AH344" s="62" t="str">
        <f t="shared" si="58"/>
        <v/>
      </c>
      <c r="AI344" s="62" t="e">
        <f>VLOOKUP($AH344,Herbicide_Data!$A$1:$Q$61,13)</f>
        <v>#N/A</v>
      </c>
      <c r="AJ344" s="16" t="e">
        <f t="shared" si="64"/>
        <v>#N/A</v>
      </c>
      <c r="AK344" s="3"/>
      <c r="AL344" s="3"/>
      <c r="AM344" s="3"/>
      <c r="AN344" s="3"/>
      <c r="AO344" s="3"/>
      <c r="AP344" s="3"/>
      <c r="AQ344" s="18"/>
      <c r="AR344" s="19"/>
      <c r="AS344" s="19"/>
      <c r="AT344" s="20"/>
      <c r="AU344" s="20"/>
      <c r="AV344" s="21"/>
      <c r="AW344" s="22"/>
      <c r="AX344" s="19"/>
      <c r="AY344" s="19"/>
      <c r="AZ344" s="19"/>
      <c r="BA344" s="23"/>
      <c r="BB344" s="19"/>
      <c r="BC344" s="19"/>
      <c r="BD344" s="19"/>
    </row>
    <row r="345" spans="1:56">
      <c r="A345" s="13"/>
      <c r="B345" s="11"/>
      <c r="C345" s="12"/>
      <c r="D345" s="12">
        <f t="shared" si="59"/>
        <v>2.0833299999999999E-2</v>
      </c>
      <c r="E345" s="10"/>
      <c r="F345" s="10" t="str">
        <f>IFERROR(VLOOKUP(E345,Data!A$2:B$5,2,TRUE), "")</f>
        <v/>
      </c>
      <c r="G345" s="3"/>
      <c r="H345" s="13" t="str">
        <f>IFERROR(VLOOKUP(A345,Customer_Data!$A$1:$P$114,8,TRUE),"")</f>
        <v/>
      </c>
      <c r="I345" s="13"/>
      <c r="J345" s="3" t="str">
        <f t="shared" si="65"/>
        <v/>
      </c>
      <c r="K345" s="62" t="e">
        <f>(VLOOKUP($J345,Herbicide_Data!$A$1:$L$61,9,TRUE))</f>
        <v>#N/A</v>
      </c>
      <c r="L345" s="62" t="e">
        <f>VLOOKUP($J345,Herbicide_Data!$A$1:$L$61,12,TRUE)</f>
        <v>#N/A</v>
      </c>
      <c r="M345" s="16" t="e">
        <f t="shared" si="60"/>
        <v>#N/A</v>
      </c>
      <c r="N345" s="62" t="str">
        <f t="shared" si="66"/>
        <v/>
      </c>
      <c r="O345" s="63" t="e">
        <f>VLOOKUP($N345,Herbicide_Data!$A$1:$L$61,9)</f>
        <v>#N/A</v>
      </c>
      <c r="P345" s="62" t="e">
        <f>VLOOKUP($N345,Herbicide_Data!$A$1:$P$61,13)</f>
        <v>#N/A</v>
      </c>
      <c r="Q345" s="16" t="e">
        <f t="shared" si="61"/>
        <v>#N/A</v>
      </c>
      <c r="R345" s="62" t="str">
        <f t="shared" si="67"/>
        <v/>
      </c>
      <c r="S345" s="63" t="e">
        <f>VLOOKUP($R345,Herbicide_Data!$A$1:$L$61,9)</f>
        <v>#N/A</v>
      </c>
      <c r="T345" s="62" t="e">
        <f>VLOOKUP($R345,Herbicide_Data!$A$1:$Q$61,13)</f>
        <v>#N/A</v>
      </c>
      <c r="U345" s="16" t="e">
        <f t="shared" si="62"/>
        <v>#N/A</v>
      </c>
      <c r="V345" s="62" t="b">
        <f t="shared" si="68"/>
        <v>0</v>
      </c>
      <c r="W345" s="63" t="e">
        <f>VLOOKUP($V345,Herbicide_Data!$A$1:$L$17,9)</f>
        <v>#N/A</v>
      </c>
      <c r="X345" s="62" t="e">
        <f>VLOOKUP($V345,Herbicide_Data!$A$1:$L$17,12)</f>
        <v>#N/A</v>
      </c>
      <c r="Y345" s="16" t="e">
        <f t="shared" si="63"/>
        <v>#N/A</v>
      </c>
      <c r="Z345" s="15"/>
      <c r="AA345" s="13"/>
      <c r="AB345" s="17"/>
      <c r="AC345" s="3"/>
      <c r="AD345" s="10"/>
      <c r="AE345" s="3"/>
      <c r="AF345" s="10"/>
      <c r="AG345" s="15"/>
      <c r="AH345" s="62" t="str">
        <f t="shared" si="58"/>
        <v/>
      </c>
      <c r="AI345" s="62" t="e">
        <f>VLOOKUP($AH345,Herbicide_Data!$A$1:$Q$61,13)</f>
        <v>#N/A</v>
      </c>
      <c r="AJ345" s="16" t="e">
        <f t="shared" si="64"/>
        <v>#N/A</v>
      </c>
      <c r="AK345" s="3"/>
      <c r="AL345" s="3"/>
      <c r="AM345" s="3"/>
      <c r="AN345" s="3"/>
      <c r="AO345" s="3"/>
      <c r="AP345" s="3"/>
      <c r="AQ345" s="18"/>
      <c r="AR345" s="19"/>
      <c r="AS345" s="19"/>
      <c r="AT345" s="20"/>
      <c r="AU345" s="20"/>
      <c r="AV345" s="21"/>
      <c r="AW345" s="22"/>
      <c r="AX345" s="19"/>
      <c r="AY345" s="19"/>
      <c r="AZ345" s="19"/>
      <c r="BA345" s="23"/>
      <c r="BB345" s="19"/>
      <c r="BC345" s="19"/>
      <c r="BD345" s="19"/>
    </row>
    <row r="346" spans="1:56">
      <c r="A346" s="13"/>
      <c r="B346" s="11"/>
      <c r="C346" s="12"/>
      <c r="D346" s="12">
        <f t="shared" si="59"/>
        <v>2.0833299999999999E-2</v>
      </c>
      <c r="E346" s="10"/>
      <c r="F346" s="10" t="str">
        <f>IFERROR(VLOOKUP(E346,Data!A$2:B$5,2,TRUE), "")</f>
        <v/>
      </c>
      <c r="G346" s="3"/>
      <c r="H346" s="13" t="str">
        <f>IFERROR(VLOOKUP(A346,Customer_Data!$A$1:$P$114,8,TRUE),"")</f>
        <v/>
      </c>
      <c r="I346" s="13"/>
      <c r="J346" s="3" t="str">
        <f t="shared" si="65"/>
        <v/>
      </c>
      <c r="K346" s="62" t="e">
        <f>(VLOOKUP($J346,Herbicide_Data!$A$1:$L$61,9,TRUE))</f>
        <v>#N/A</v>
      </c>
      <c r="L346" s="62" t="e">
        <f>VLOOKUP($J346,Herbicide_Data!$A$1:$L$61,12,TRUE)</f>
        <v>#N/A</v>
      </c>
      <c r="M346" s="16" t="e">
        <f t="shared" si="60"/>
        <v>#N/A</v>
      </c>
      <c r="N346" s="62" t="str">
        <f t="shared" si="66"/>
        <v/>
      </c>
      <c r="O346" s="63" t="e">
        <f>VLOOKUP($N346,Herbicide_Data!$A$1:$L$61,9)</f>
        <v>#N/A</v>
      </c>
      <c r="P346" s="62" t="e">
        <f>VLOOKUP($N346,Herbicide_Data!$A$1:$P$61,13)</f>
        <v>#N/A</v>
      </c>
      <c r="Q346" s="16" t="e">
        <f t="shared" si="61"/>
        <v>#N/A</v>
      </c>
      <c r="R346" s="62" t="str">
        <f t="shared" si="67"/>
        <v/>
      </c>
      <c r="S346" s="63" t="e">
        <f>VLOOKUP($R346,Herbicide_Data!$A$1:$L$61,9)</f>
        <v>#N/A</v>
      </c>
      <c r="T346" s="62" t="e">
        <f>VLOOKUP($R346,Herbicide_Data!$A$1:$Q$61,13)</f>
        <v>#N/A</v>
      </c>
      <c r="U346" s="16" t="e">
        <f t="shared" si="62"/>
        <v>#N/A</v>
      </c>
      <c r="V346" s="62" t="b">
        <f t="shared" si="68"/>
        <v>0</v>
      </c>
      <c r="W346" s="63" t="e">
        <f>VLOOKUP($V346,Herbicide_Data!$A$1:$L$17,9)</f>
        <v>#N/A</v>
      </c>
      <c r="X346" s="62" t="e">
        <f>VLOOKUP($V346,Herbicide_Data!$A$1:$L$17,12)</f>
        <v>#N/A</v>
      </c>
      <c r="Y346" s="16" t="e">
        <f t="shared" si="63"/>
        <v>#N/A</v>
      </c>
      <c r="Z346" s="15"/>
      <c r="AA346" s="13"/>
      <c r="AB346" s="17"/>
      <c r="AC346" s="3"/>
      <c r="AD346" s="10"/>
      <c r="AE346" s="3"/>
      <c r="AF346" s="10"/>
      <c r="AG346" s="15"/>
      <c r="AH346" s="62" t="str">
        <f t="shared" si="58"/>
        <v/>
      </c>
      <c r="AI346" s="62" t="e">
        <f>VLOOKUP($AH346,Herbicide_Data!$A$1:$Q$61,13)</f>
        <v>#N/A</v>
      </c>
      <c r="AJ346" s="16" t="e">
        <f t="shared" si="64"/>
        <v>#N/A</v>
      </c>
      <c r="AK346" s="3"/>
      <c r="AL346" s="3"/>
      <c r="AM346" s="3"/>
      <c r="AN346" s="3"/>
      <c r="AO346" s="3"/>
      <c r="AP346" s="3"/>
      <c r="AQ346" s="18"/>
      <c r="AR346" s="19"/>
      <c r="AS346" s="19"/>
      <c r="AT346" s="20"/>
      <c r="AU346" s="20"/>
      <c r="AV346" s="21"/>
      <c r="AW346" s="22"/>
      <c r="AX346" s="19"/>
      <c r="AY346" s="19"/>
      <c r="AZ346" s="19"/>
      <c r="BA346" s="23"/>
      <c r="BB346" s="19"/>
      <c r="BC346" s="19"/>
      <c r="BD346" s="19"/>
    </row>
    <row r="347" spans="1:56">
      <c r="A347" s="13"/>
      <c r="B347" s="11"/>
      <c r="C347" s="12"/>
      <c r="D347" s="12">
        <f t="shared" si="59"/>
        <v>2.0833299999999999E-2</v>
      </c>
      <c r="E347" s="10"/>
      <c r="F347" s="10" t="str">
        <f>IFERROR(VLOOKUP(E347,Data!A$2:B$5,2,TRUE), "")</f>
        <v/>
      </c>
      <c r="G347" s="3"/>
      <c r="H347" s="13" t="str">
        <f>IFERROR(VLOOKUP(A347,Customer_Data!$A$1:$P$114,8,TRUE),"")</f>
        <v/>
      </c>
      <c r="I347" s="13"/>
      <c r="J347" s="3" t="str">
        <f t="shared" si="65"/>
        <v/>
      </c>
      <c r="K347" s="62" t="e">
        <f>(VLOOKUP($J347,Herbicide_Data!$A$1:$L$61,9,TRUE))</f>
        <v>#N/A</v>
      </c>
      <c r="L347" s="62" t="e">
        <f>VLOOKUP($J347,Herbicide_Data!$A$1:$L$61,12,TRUE)</f>
        <v>#N/A</v>
      </c>
      <c r="M347" s="16" t="e">
        <f t="shared" si="60"/>
        <v>#N/A</v>
      </c>
      <c r="N347" s="62" t="str">
        <f t="shared" si="66"/>
        <v/>
      </c>
      <c r="O347" s="63" t="e">
        <f>VLOOKUP($N347,Herbicide_Data!$A$1:$L$61,9)</f>
        <v>#N/A</v>
      </c>
      <c r="P347" s="62" t="e">
        <f>VLOOKUP($N347,Herbicide_Data!$A$1:$P$61,13)</f>
        <v>#N/A</v>
      </c>
      <c r="Q347" s="16" t="e">
        <f t="shared" si="61"/>
        <v>#N/A</v>
      </c>
      <c r="R347" s="62" t="str">
        <f t="shared" si="67"/>
        <v/>
      </c>
      <c r="S347" s="63" t="e">
        <f>VLOOKUP($R347,Herbicide_Data!$A$1:$L$61,9)</f>
        <v>#N/A</v>
      </c>
      <c r="T347" s="62" t="e">
        <f>VLOOKUP($R347,Herbicide_Data!$A$1:$Q$61,13)</f>
        <v>#N/A</v>
      </c>
      <c r="U347" s="16" t="e">
        <f t="shared" si="62"/>
        <v>#N/A</v>
      </c>
      <c r="V347" s="62" t="b">
        <f t="shared" si="68"/>
        <v>0</v>
      </c>
      <c r="W347" s="63" t="e">
        <f>VLOOKUP($V347,Herbicide_Data!$A$1:$L$17,9)</f>
        <v>#N/A</v>
      </c>
      <c r="X347" s="62" t="e">
        <f>VLOOKUP($V347,Herbicide_Data!$A$1:$L$17,12)</f>
        <v>#N/A</v>
      </c>
      <c r="Y347" s="16" t="e">
        <f t="shared" si="63"/>
        <v>#N/A</v>
      </c>
      <c r="Z347" s="15"/>
      <c r="AA347" s="13"/>
      <c r="AB347" s="17"/>
      <c r="AC347" s="3"/>
      <c r="AD347" s="10"/>
      <c r="AE347" s="3"/>
      <c r="AF347" s="10"/>
      <c r="AG347" s="15"/>
      <c r="AH347" s="62" t="str">
        <f t="shared" si="58"/>
        <v/>
      </c>
      <c r="AI347" s="62" t="e">
        <f>VLOOKUP($AH347,Herbicide_Data!$A$1:$Q$61,13)</f>
        <v>#N/A</v>
      </c>
      <c r="AJ347" s="16" t="e">
        <f t="shared" si="64"/>
        <v>#N/A</v>
      </c>
      <c r="AK347" s="3"/>
      <c r="AL347" s="3"/>
      <c r="AM347" s="3"/>
      <c r="AN347" s="3"/>
      <c r="AO347" s="3"/>
      <c r="AP347" s="3"/>
      <c r="AQ347" s="18"/>
      <c r="AR347" s="19"/>
      <c r="AS347" s="19"/>
      <c r="AT347" s="20"/>
      <c r="AU347" s="20"/>
      <c r="AV347" s="21"/>
      <c r="AW347" s="22"/>
      <c r="AX347" s="19"/>
      <c r="AY347" s="19"/>
      <c r="AZ347" s="19"/>
      <c r="BA347" s="23"/>
      <c r="BB347" s="19"/>
      <c r="BC347" s="19"/>
      <c r="BD347" s="19"/>
    </row>
    <row r="348" spans="1:56">
      <c r="A348" s="13"/>
      <c r="B348" s="11"/>
      <c r="C348" s="12"/>
      <c r="D348" s="12">
        <f t="shared" si="59"/>
        <v>2.0833299999999999E-2</v>
      </c>
      <c r="E348" s="10"/>
      <c r="F348" s="10" t="str">
        <f>IFERROR(VLOOKUP(E348,Data!A$2:B$5,2,TRUE), "")</f>
        <v/>
      </c>
      <c r="G348" s="3"/>
      <c r="H348" s="13" t="str">
        <f>IFERROR(VLOOKUP(A348,Customer_Data!$A$1:$P$114,8,TRUE),"")</f>
        <v/>
      </c>
      <c r="I348" s="13"/>
      <c r="J348" s="3" t="str">
        <f t="shared" si="65"/>
        <v/>
      </c>
      <c r="K348" s="62" t="e">
        <f>(VLOOKUP($J348,Herbicide_Data!$A$1:$L$61,9,TRUE))</f>
        <v>#N/A</v>
      </c>
      <c r="L348" s="62" t="e">
        <f>VLOOKUP($J348,Herbicide_Data!$A$1:$L$61,12,TRUE)</f>
        <v>#N/A</v>
      </c>
      <c r="M348" s="16" t="e">
        <f t="shared" si="60"/>
        <v>#N/A</v>
      </c>
      <c r="N348" s="62" t="str">
        <f t="shared" si="66"/>
        <v/>
      </c>
      <c r="O348" s="63" t="e">
        <f>VLOOKUP($N348,Herbicide_Data!$A$1:$L$61,9)</f>
        <v>#N/A</v>
      </c>
      <c r="P348" s="62" t="e">
        <f>VLOOKUP($N348,Herbicide_Data!$A$1:$P$61,13)</f>
        <v>#N/A</v>
      </c>
      <c r="Q348" s="16" t="e">
        <f t="shared" si="61"/>
        <v>#N/A</v>
      </c>
      <c r="R348" s="62" t="str">
        <f t="shared" si="67"/>
        <v/>
      </c>
      <c r="S348" s="63" t="e">
        <f>VLOOKUP($R348,Herbicide_Data!$A$1:$L$61,9)</f>
        <v>#N/A</v>
      </c>
      <c r="T348" s="62" t="e">
        <f>VLOOKUP($R348,Herbicide_Data!$A$1:$Q$61,13)</f>
        <v>#N/A</v>
      </c>
      <c r="U348" s="16" t="e">
        <f t="shared" si="62"/>
        <v>#N/A</v>
      </c>
      <c r="V348" s="62" t="b">
        <f t="shared" si="68"/>
        <v>0</v>
      </c>
      <c r="W348" s="63" t="e">
        <f>VLOOKUP($V348,Herbicide_Data!$A$1:$L$17,9)</f>
        <v>#N/A</v>
      </c>
      <c r="X348" s="62" t="e">
        <f>VLOOKUP($V348,Herbicide_Data!$A$1:$L$17,12)</f>
        <v>#N/A</v>
      </c>
      <c r="Y348" s="16" t="e">
        <f t="shared" si="63"/>
        <v>#N/A</v>
      </c>
      <c r="Z348" s="15"/>
      <c r="AA348" s="13"/>
      <c r="AB348" s="17"/>
      <c r="AC348" s="3"/>
      <c r="AD348" s="10"/>
      <c r="AE348" s="3"/>
      <c r="AF348" s="10"/>
      <c r="AG348" s="15"/>
      <c r="AH348" s="62" t="str">
        <f t="shared" si="58"/>
        <v/>
      </c>
      <c r="AI348" s="62" t="e">
        <f>VLOOKUP($AH348,Herbicide_Data!$A$1:$Q$61,13)</f>
        <v>#N/A</v>
      </c>
      <c r="AJ348" s="16" t="e">
        <f t="shared" si="64"/>
        <v>#N/A</v>
      </c>
      <c r="AK348" s="3"/>
      <c r="AL348" s="3"/>
      <c r="AM348" s="3"/>
      <c r="AN348" s="3"/>
      <c r="AO348" s="3"/>
      <c r="AP348" s="3"/>
      <c r="AQ348" s="18"/>
      <c r="AR348" s="19"/>
      <c r="AS348" s="19"/>
      <c r="AT348" s="20"/>
      <c r="AU348" s="20"/>
      <c r="AV348" s="21"/>
      <c r="AW348" s="22"/>
      <c r="AX348" s="19"/>
      <c r="AY348" s="19"/>
      <c r="AZ348" s="19"/>
      <c r="BA348" s="23"/>
      <c r="BB348" s="19"/>
      <c r="BC348" s="19"/>
      <c r="BD348" s="19"/>
    </row>
    <row r="349" spans="1:56">
      <c r="A349" s="13"/>
      <c r="B349" s="11"/>
      <c r="C349" s="12"/>
      <c r="D349" s="12">
        <f t="shared" si="59"/>
        <v>2.0833299999999999E-2</v>
      </c>
      <c r="E349" s="10"/>
      <c r="F349" s="10" t="str">
        <f>IFERROR(VLOOKUP(E349,Data!A$2:B$5,2,TRUE), "")</f>
        <v/>
      </c>
      <c r="G349" s="3"/>
      <c r="H349" s="13" t="str">
        <f>IFERROR(VLOOKUP(A349,Customer_Data!$A$1:$P$114,8,TRUE),"")</f>
        <v/>
      </c>
      <c r="I349" s="13"/>
      <c r="J349" s="3" t="str">
        <f t="shared" si="65"/>
        <v/>
      </c>
      <c r="K349" s="62" t="e">
        <f>(VLOOKUP($J349,Herbicide_Data!$A$1:$L$61,9,TRUE))</f>
        <v>#N/A</v>
      </c>
      <c r="L349" s="62" t="e">
        <f>VLOOKUP($J349,Herbicide_Data!$A$1:$L$61,12,TRUE)</f>
        <v>#N/A</v>
      </c>
      <c r="M349" s="16" t="e">
        <f t="shared" si="60"/>
        <v>#N/A</v>
      </c>
      <c r="N349" s="62" t="str">
        <f t="shared" si="66"/>
        <v/>
      </c>
      <c r="O349" s="63" t="e">
        <f>VLOOKUP($N349,Herbicide_Data!$A$1:$L$61,9)</f>
        <v>#N/A</v>
      </c>
      <c r="P349" s="62" t="e">
        <f>VLOOKUP($N349,Herbicide_Data!$A$1:$P$61,13)</f>
        <v>#N/A</v>
      </c>
      <c r="Q349" s="16" t="e">
        <f t="shared" si="61"/>
        <v>#N/A</v>
      </c>
      <c r="R349" s="62" t="str">
        <f t="shared" si="67"/>
        <v/>
      </c>
      <c r="S349" s="63" t="e">
        <f>VLOOKUP($R349,Herbicide_Data!$A$1:$L$61,9)</f>
        <v>#N/A</v>
      </c>
      <c r="T349" s="62" t="e">
        <f>VLOOKUP($R349,Herbicide_Data!$A$1:$Q$61,13)</f>
        <v>#N/A</v>
      </c>
      <c r="U349" s="16" t="e">
        <f t="shared" si="62"/>
        <v>#N/A</v>
      </c>
      <c r="V349" s="62" t="b">
        <f t="shared" si="68"/>
        <v>0</v>
      </c>
      <c r="W349" s="63" t="e">
        <f>VLOOKUP($V349,Herbicide_Data!$A$1:$L$17,9)</f>
        <v>#N/A</v>
      </c>
      <c r="X349" s="62" t="e">
        <f>VLOOKUP($V349,Herbicide_Data!$A$1:$L$17,12)</f>
        <v>#N/A</v>
      </c>
      <c r="Y349" s="16" t="e">
        <f t="shared" si="63"/>
        <v>#N/A</v>
      </c>
      <c r="Z349" s="15"/>
      <c r="AA349" s="13"/>
      <c r="AB349" s="17"/>
      <c r="AC349" s="3"/>
      <c r="AD349" s="10"/>
      <c r="AE349" s="3"/>
      <c r="AF349" s="10"/>
      <c r="AG349" s="15"/>
      <c r="AH349" s="62" t="str">
        <f t="shared" si="58"/>
        <v/>
      </c>
      <c r="AI349" s="62" t="e">
        <f>VLOOKUP($AH349,Herbicide_Data!$A$1:$Q$61,13)</f>
        <v>#N/A</v>
      </c>
      <c r="AJ349" s="16" t="e">
        <f t="shared" si="64"/>
        <v>#N/A</v>
      </c>
      <c r="AK349" s="3"/>
      <c r="AL349" s="3"/>
      <c r="AM349" s="3"/>
      <c r="AN349" s="3"/>
      <c r="AO349" s="3"/>
      <c r="AP349" s="3"/>
      <c r="AQ349" s="18"/>
      <c r="AR349" s="19"/>
      <c r="AS349" s="19"/>
      <c r="AT349" s="20"/>
      <c r="AU349" s="20"/>
      <c r="AV349" s="21"/>
      <c r="AW349" s="22"/>
      <c r="AX349" s="19"/>
      <c r="AY349" s="19"/>
      <c r="AZ349" s="19"/>
      <c r="BA349" s="23"/>
      <c r="BB349" s="19"/>
      <c r="BC349" s="19"/>
      <c r="BD349" s="19"/>
    </row>
    <row r="350" spans="1:56">
      <c r="A350" s="13"/>
      <c r="B350" s="11"/>
      <c r="C350" s="12"/>
      <c r="D350" s="12">
        <f t="shared" si="59"/>
        <v>2.0833299999999999E-2</v>
      </c>
      <c r="E350" s="10"/>
      <c r="F350" s="10" t="str">
        <f>IFERROR(VLOOKUP(E350,Data!A$2:B$5,2,TRUE), "")</f>
        <v/>
      </c>
      <c r="G350" s="3"/>
      <c r="H350" s="13" t="str">
        <f>IFERROR(VLOOKUP(A350,Customer_Data!$A$1:$P$114,8,TRUE),"")</f>
        <v/>
      </c>
      <c r="I350" s="13"/>
      <c r="J350" s="3" t="str">
        <f t="shared" si="65"/>
        <v/>
      </c>
      <c r="K350" s="62" t="e">
        <f>(VLOOKUP($J350,Herbicide_Data!$A$1:$L$61,9,TRUE))</f>
        <v>#N/A</v>
      </c>
      <c r="L350" s="62" t="e">
        <f>VLOOKUP($J350,Herbicide_Data!$A$1:$L$61,12,TRUE)</f>
        <v>#N/A</v>
      </c>
      <c r="M350" s="16" t="e">
        <f t="shared" si="60"/>
        <v>#N/A</v>
      </c>
      <c r="N350" s="62" t="str">
        <f t="shared" si="66"/>
        <v/>
      </c>
      <c r="O350" s="63" t="e">
        <f>VLOOKUP($N350,Herbicide_Data!$A$1:$L$61,9)</f>
        <v>#N/A</v>
      </c>
      <c r="P350" s="62" t="e">
        <f>VLOOKUP($N350,Herbicide_Data!$A$1:$P$61,13)</f>
        <v>#N/A</v>
      </c>
      <c r="Q350" s="16" t="e">
        <f t="shared" si="61"/>
        <v>#N/A</v>
      </c>
      <c r="R350" s="62" t="str">
        <f t="shared" si="67"/>
        <v/>
      </c>
      <c r="S350" s="63" t="e">
        <f>VLOOKUP($R350,Herbicide_Data!$A$1:$L$61,9)</f>
        <v>#N/A</v>
      </c>
      <c r="T350" s="62" t="e">
        <f>VLOOKUP($R350,Herbicide_Data!$A$1:$Q$61,13)</f>
        <v>#N/A</v>
      </c>
      <c r="U350" s="16" t="e">
        <f t="shared" si="62"/>
        <v>#N/A</v>
      </c>
      <c r="V350" s="62" t="b">
        <f t="shared" si="68"/>
        <v>0</v>
      </c>
      <c r="W350" s="63" t="e">
        <f>VLOOKUP($V350,Herbicide_Data!$A$1:$L$17,9)</f>
        <v>#N/A</v>
      </c>
      <c r="X350" s="62" t="e">
        <f>VLOOKUP($V350,Herbicide_Data!$A$1:$L$17,12)</f>
        <v>#N/A</v>
      </c>
      <c r="Y350" s="16" t="e">
        <f t="shared" si="63"/>
        <v>#N/A</v>
      </c>
      <c r="Z350" s="15"/>
      <c r="AA350" s="13"/>
      <c r="AB350" s="17"/>
      <c r="AC350" s="3"/>
      <c r="AD350" s="10"/>
      <c r="AE350" s="3"/>
      <c r="AF350" s="10"/>
      <c r="AG350" s="15"/>
      <c r="AH350" s="62" t="str">
        <f t="shared" si="58"/>
        <v/>
      </c>
      <c r="AI350" s="62" t="e">
        <f>VLOOKUP($AH350,Herbicide_Data!$A$1:$Q$61,13)</f>
        <v>#N/A</v>
      </c>
      <c r="AJ350" s="16" t="e">
        <f t="shared" si="64"/>
        <v>#N/A</v>
      </c>
      <c r="AK350" s="3"/>
      <c r="AL350" s="3"/>
      <c r="AM350" s="3"/>
      <c r="AN350" s="3"/>
      <c r="AO350" s="3"/>
      <c r="AP350" s="3"/>
      <c r="AQ350" s="18"/>
      <c r="AR350" s="19"/>
      <c r="AS350" s="19"/>
      <c r="AT350" s="20"/>
      <c r="AU350" s="20"/>
      <c r="AV350" s="21"/>
      <c r="AW350" s="22"/>
      <c r="AX350" s="19"/>
      <c r="AY350" s="19"/>
      <c r="AZ350" s="19"/>
      <c r="BA350" s="23"/>
      <c r="BB350" s="19"/>
      <c r="BC350" s="19"/>
      <c r="BD350" s="19"/>
    </row>
    <row r="351" spans="1:56">
      <c r="A351" s="13"/>
      <c r="B351" s="11"/>
      <c r="C351" s="12"/>
      <c r="D351" s="12">
        <f t="shared" si="59"/>
        <v>2.0833299999999999E-2</v>
      </c>
      <c r="E351" s="10"/>
      <c r="F351" s="10" t="str">
        <f>IFERROR(VLOOKUP(E351,Data!A$2:B$5,2,TRUE), "")</f>
        <v/>
      </c>
      <c r="G351" s="3"/>
      <c r="H351" s="13" t="str">
        <f>IFERROR(VLOOKUP(A351,Customer_Data!$A$1:$P$114,8,TRUE),"")</f>
        <v/>
      </c>
      <c r="I351" s="13"/>
      <c r="J351" s="3" t="str">
        <f t="shared" si="65"/>
        <v/>
      </c>
      <c r="K351" s="62" t="e">
        <f>(VLOOKUP($J351,Herbicide_Data!$A$1:$L$61,9,TRUE))</f>
        <v>#N/A</v>
      </c>
      <c r="L351" s="62" t="e">
        <f>VLOOKUP($J351,Herbicide_Data!$A$1:$L$61,12,TRUE)</f>
        <v>#N/A</v>
      </c>
      <c r="M351" s="16" t="e">
        <f t="shared" si="60"/>
        <v>#N/A</v>
      </c>
      <c r="N351" s="62" t="str">
        <f t="shared" si="66"/>
        <v/>
      </c>
      <c r="O351" s="63" t="e">
        <f>VLOOKUP($N351,Herbicide_Data!$A$1:$L$61,9)</f>
        <v>#N/A</v>
      </c>
      <c r="P351" s="62" t="e">
        <f>VLOOKUP($N351,Herbicide_Data!$A$1:$P$61,13)</f>
        <v>#N/A</v>
      </c>
      <c r="Q351" s="16" t="e">
        <f t="shared" si="61"/>
        <v>#N/A</v>
      </c>
      <c r="R351" s="62" t="str">
        <f t="shared" si="67"/>
        <v/>
      </c>
      <c r="S351" s="63" t="e">
        <f>VLOOKUP($R351,Herbicide_Data!$A$1:$L$61,9)</f>
        <v>#N/A</v>
      </c>
      <c r="T351" s="62" t="e">
        <f>VLOOKUP($R351,Herbicide_Data!$A$1:$Q$61,13)</f>
        <v>#N/A</v>
      </c>
      <c r="U351" s="16" t="e">
        <f t="shared" si="62"/>
        <v>#N/A</v>
      </c>
      <c r="V351" s="62" t="b">
        <f t="shared" si="68"/>
        <v>0</v>
      </c>
      <c r="W351" s="63" t="e">
        <f>VLOOKUP($V351,Herbicide_Data!$A$1:$L$17,9)</f>
        <v>#N/A</v>
      </c>
      <c r="X351" s="62" t="e">
        <f>VLOOKUP($V351,Herbicide_Data!$A$1:$L$17,12)</f>
        <v>#N/A</v>
      </c>
      <c r="Y351" s="16" t="e">
        <f t="shared" si="63"/>
        <v>#N/A</v>
      </c>
      <c r="Z351" s="15"/>
      <c r="AA351" s="13"/>
      <c r="AB351" s="17"/>
      <c r="AC351" s="3"/>
      <c r="AD351" s="10"/>
      <c r="AE351" s="3"/>
      <c r="AF351" s="10"/>
      <c r="AG351" s="15"/>
      <c r="AH351" s="62" t="str">
        <f t="shared" ref="AH351:AH414" si="69">IF($G351=("Spring Preemerge (Jan)"),"Surfactant",IF($G351=("Spring Preemerge (Apr)"),"Surfactant",""))</f>
        <v/>
      </c>
      <c r="AI351" s="62" t="e">
        <f>VLOOKUP($AH351,Herbicide_Data!$A$1:$Q$61,13)</f>
        <v>#N/A</v>
      </c>
      <c r="AJ351" s="16" t="e">
        <f t="shared" si="64"/>
        <v>#N/A</v>
      </c>
      <c r="AK351" s="3"/>
      <c r="AL351" s="3"/>
      <c r="AM351" s="3"/>
      <c r="AN351" s="3"/>
      <c r="AO351" s="3"/>
      <c r="AP351" s="3"/>
      <c r="AQ351" s="18"/>
      <c r="AR351" s="19"/>
      <c r="AS351" s="19"/>
      <c r="AT351" s="20"/>
      <c r="AU351" s="20"/>
      <c r="AV351" s="21"/>
      <c r="AW351" s="22"/>
      <c r="AX351" s="19"/>
      <c r="AY351" s="19"/>
      <c r="AZ351" s="19"/>
      <c r="BA351" s="23"/>
      <c r="BB351" s="19"/>
      <c r="BC351" s="19"/>
      <c r="BD351" s="19"/>
    </row>
    <row r="352" spans="1:56">
      <c r="A352" s="13"/>
      <c r="B352" s="11"/>
      <c r="C352" s="12"/>
      <c r="D352" s="12">
        <f t="shared" si="59"/>
        <v>2.0833299999999999E-2</v>
      </c>
      <c r="E352" s="10"/>
      <c r="F352" s="10" t="str">
        <f>IFERROR(VLOOKUP(E352,Data!A$2:B$5,2,TRUE), "")</f>
        <v/>
      </c>
      <c r="G352" s="3"/>
      <c r="H352" s="13" t="str">
        <f>IFERROR(VLOOKUP(A352,Customer_Data!$A$1:$P$114,8,TRUE),"")</f>
        <v/>
      </c>
      <c r="I352" s="13"/>
      <c r="J352" s="3" t="str">
        <f t="shared" si="65"/>
        <v/>
      </c>
      <c r="K352" s="62" t="e">
        <f>(VLOOKUP($J352,Herbicide_Data!$A$1:$L$61,9,TRUE))</f>
        <v>#N/A</v>
      </c>
      <c r="L352" s="62" t="e">
        <f>VLOOKUP($J352,Herbicide_Data!$A$1:$L$61,12,TRUE)</f>
        <v>#N/A</v>
      </c>
      <c r="M352" s="16" t="e">
        <f t="shared" si="60"/>
        <v>#N/A</v>
      </c>
      <c r="N352" s="62" t="str">
        <f t="shared" si="66"/>
        <v/>
      </c>
      <c r="O352" s="63" t="e">
        <f>VLOOKUP($N352,Herbicide_Data!$A$1:$L$61,9)</f>
        <v>#N/A</v>
      </c>
      <c r="P352" s="62" t="e">
        <f>VLOOKUP($N352,Herbicide_Data!$A$1:$P$61,13)</f>
        <v>#N/A</v>
      </c>
      <c r="Q352" s="16" t="e">
        <f t="shared" si="61"/>
        <v>#N/A</v>
      </c>
      <c r="R352" s="62" t="str">
        <f t="shared" si="67"/>
        <v/>
      </c>
      <c r="S352" s="63" t="e">
        <f>VLOOKUP($R352,Herbicide_Data!$A$1:$L$61,9)</f>
        <v>#N/A</v>
      </c>
      <c r="T352" s="62" t="e">
        <f>VLOOKUP($R352,Herbicide_Data!$A$1:$Q$61,13)</f>
        <v>#N/A</v>
      </c>
      <c r="U352" s="16" t="e">
        <f t="shared" si="62"/>
        <v>#N/A</v>
      </c>
      <c r="V352" s="62" t="b">
        <f t="shared" si="68"/>
        <v>0</v>
      </c>
      <c r="W352" s="63" t="e">
        <f>VLOOKUP($V352,Herbicide_Data!$A$1:$L$17,9)</f>
        <v>#N/A</v>
      </c>
      <c r="X352" s="62" t="e">
        <f>VLOOKUP($V352,Herbicide_Data!$A$1:$L$17,12)</f>
        <v>#N/A</v>
      </c>
      <c r="Y352" s="16" t="e">
        <f t="shared" si="63"/>
        <v>#N/A</v>
      </c>
      <c r="Z352" s="15"/>
      <c r="AA352" s="13"/>
      <c r="AB352" s="17"/>
      <c r="AC352" s="3"/>
      <c r="AD352" s="10"/>
      <c r="AE352" s="3"/>
      <c r="AF352" s="10"/>
      <c r="AG352" s="15"/>
      <c r="AH352" s="62" t="str">
        <f t="shared" si="69"/>
        <v/>
      </c>
      <c r="AI352" s="62" t="e">
        <f>VLOOKUP($AH352,Herbicide_Data!$A$1:$Q$61,13)</f>
        <v>#N/A</v>
      </c>
      <c r="AJ352" s="16" t="e">
        <f t="shared" si="64"/>
        <v>#N/A</v>
      </c>
      <c r="AK352" s="3"/>
      <c r="AL352" s="3"/>
      <c r="AM352" s="3"/>
      <c r="AN352" s="3"/>
      <c r="AO352" s="3"/>
      <c r="AP352" s="3"/>
      <c r="AQ352" s="18"/>
      <c r="AR352" s="19"/>
      <c r="AS352" s="19"/>
      <c r="AT352" s="20"/>
      <c r="AU352" s="20"/>
      <c r="AV352" s="21"/>
      <c r="AW352" s="22"/>
      <c r="AX352" s="19"/>
      <c r="AY352" s="19"/>
      <c r="AZ352" s="19"/>
      <c r="BA352" s="23"/>
      <c r="BB352" s="19"/>
      <c r="BC352" s="19"/>
      <c r="BD352" s="19"/>
    </row>
    <row r="353" spans="1:56">
      <c r="A353" s="13"/>
      <c r="B353" s="11"/>
      <c r="C353" s="12"/>
      <c r="D353" s="12">
        <f t="shared" si="59"/>
        <v>2.0833299999999999E-2</v>
      </c>
      <c r="E353" s="10"/>
      <c r="F353" s="10" t="str">
        <f>IFERROR(VLOOKUP(E353,Data!A$2:B$5,2,TRUE), "")</f>
        <v/>
      </c>
      <c r="G353" s="3"/>
      <c r="H353" s="13" t="str">
        <f>IFERROR(VLOOKUP(A353,Customer_Data!$A$1:$P$114,8,TRUE),"")</f>
        <v/>
      </c>
      <c r="I353" s="13"/>
      <c r="J353" s="3" t="str">
        <f t="shared" si="65"/>
        <v/>
      </c>
      <c r="K353" s="62" t="e">
        <f>(VLOOKUP($J353,Herbicide_Data!$A$1:$L$61,9,TRUE))</f>
        <v>#N/A</v>
      </c>
      <c r="L353" s="62" t="e">
        <f>VLOOKUP($J353,Herbicide_Data!$A$1:$L$61,12,TRUE)</f>
        <v>#N/A</v>
      </c>
      <c r="M353" s="16" t="e">
        <f t="shared" si="60"/>
        <v>#N/A</v>
      </c>
      <c r="N353" s="62" t="str">
        <f t="shared" si="66"/>
        <v/>
      </c>
      <c r="O353" s="63" t="e">
        <f>VLOOKUP($N353,Herbicide_Data!$A$1:$L$61,9)</f>
        <v>#N/A</v>
      </c>
      <c r="P353" s="62" t="e">
        <f>VLOOKUP($N353,Herbicide_Data!$A$1:$P$61,13)</f>
        <v>#N/A</v>
      </c>
      <c r="Q353" s="16" t="e">
        <f t="shared" si="61"/>
        <v>#N/A</v>
      </c>
      <c r="R353" s="62" t="str">
        <f t="shared" si="67"/>
        <v/>
      </c>
      <c r="S353" s="63" t="e">
        <f>VLOOKUP($R353,Herbicide_Data!$A$1:$L$61,9)</f>
        <v>#N/A</v>
      </c>
      <c r="T353" s="62" t="e">
        <f>VLOOKUP($R353,Herbicide_Data!$A$1:$Q$61,13)</f>
        <v>#N/A</v>
      </c>
      <c r="U353" s="16" t="e">
        <f t="shared" si="62"/>
        <v>#N/A</v>
      </c>
      <c r="V353" s="62" t="b">
        <f t="shared" si="68"/>
        <v>0</v>
      </c>
      <c r="W353" s="63" t="e">
        <f>VLOOKUP($V353,Herbicide_Data!$A$1:$L$17,9)</f>
        <v>#N/A</v>
      </c>
      <c r="X353" s="62" t="e">
        <f>VLOOKUP($V353,Herbicide_Data!$A$1:$L$17,12)</f>
        <v>#N/A</v>
      </c>
      <c r="Y353" s="16" t="e">
        <f t="shared" si="63"/>
        <v>#N/A</v>
      </c>
      <c r="Z353" s="15"/>
      <c r="AA353" s="13"/>
      <c r="AB353" s="17"/>
      <c r="AC353" s="3"/>
      <c r="AD353" s="10"/>
      <c r="AE353" s="3"/>
      <c r="AF353" s="10"/>
      <c r="AG353" s="15"/>
      <c r="AH353" s="62" t="str">
        <f t="shared" si="69"/>
        <v/>
      </c>
      <c r="AI353" s="62" t="e">
        <f>VLOOKUP($AH353,Herbicide_Data!$A$1:$Q$61,13)</f>
        <v>#N/A</v>
      </c>
      <c r="AJ353" s="16" t="e">
        <f t="shared" si="64"/>
        <v>#N/A</v>
      </c>
      <c r="AK353" s="3"/>
      <c r="AL353" s="3"/>
      <c r="AM353" s="3"/>
      <c r="AN353" s="3"/>
      <c r="AO353" s="3"/>
      <c r="AP353" s="3"/>
      <c r="AQ353" s="18"/>
      <c r="AR353" s="19"/>
      <c r="AS353" s="19"/>
      <c r="AT353" s="20"/>
      <c r="AU353" s="20"/>
      <c r="AV353" s="21"/>
      <c r="AW353" s="22"/>
      <c r="AX353" s="19"/>
      <c r="AY353" s="19"/>
      <c r="AZ353" s="19"/>
      <c r="BA353" s="23"/>
      <c r="BB353" s="19"/>
      <c r="BC353" s="19"/>
      <c r="BD353" s="19"/>
    </row>
    <row r="354" spans="1:56">
      <c r="A354" s="13"/>
      <c r="B354" s="11"/>
      <c r="C354" s="12"/>
      <c r="D354" s="12">
        <f t="shared" si="59"/>
        <v>2.0833299999999999E-2</v>
      </c>
      <c r="E354" s="10"/>
      <c r="F354" s="10" t="str">
        <f>IFERROR(VLOOKUP(E354,Data!A$2:B$5,2,TRUE), "")</f>
        <v/>
      </c>
      <c r="G354" s="3"/>
      <c r="H354" s="13" t="str">
        <f>IFERROR(VLOOKUP(A354,Customer_Data!$A$1:$P$114,8,TRUE),"")</f>
        <v/>
      </c>
      <c r="I354" s="13"/>
      <c r="J354" s="3" t="str">
        <f t="shared" si="65"/>
        <v/>
      </c>
      <c r="K354" s="62" t="e">
        <f>(VLOOKUP($J354,Herbicide_Data!$A$1:$L$61,9,TRUE))</f>
        <v>#N/A</v>
      </c>
      <c r="L354" s="62" t="e">
        <f>VLOOKUP($J354,Herbicide_Data!$A$1:$L$61,12,TRUE)</f>
        <v>#N/A</v>
      </c>
      <c r="M354" s="16" t="e">
        <f t="shared" si="60"/>
        <v>#N/A</v>
      </c>
      <c r="N354" s="62" t="str">
        <f t="shared" si="66"/>
        <v/>
      </c>
      <c r="O354" s="63" t="e">
        <f>VLOOKUP($N354,Herbicide_Data!$A$1:$L$61,9)</f>
        <v>#N/A</v>
      </c>
      <c r="P354" s="62" t="e">
        <f>VLOOKUP($N354,Herbicide_Data!$A$1:$P$61,13)</f>
        <v>#N/A</v>
      </c>
      <c r="Q354" s="16" t="e">
        <f t="shared" si="61"/>
        <v>#N/A</v>
      </c>
      <c r="R354" s="62" t="str">
        <f t="shared" si="67"/>
        <v/>
      </c>
      <c r="S354" s="63" t="e">
        <f>VLOOKUP($R354,Herbicide_Data!$A$1:$L$61,9)</f>
        <v>#N/A</v>
      </c>
      <c r="T354" s="62" t="e">
        <f>VLOOKUP($R354,Herbicide_Data!$A$1:$Q$61,13)</f>
        <v>#N/A</v>
      </c>
      <c r="U354" s="16" t="e">
        <f t="shared" si="62"/>
        <v>#N/A</v>
      </c>
      <c r="V354" s="62" t="b">
        <f t="shared" si="68"/>
        <v>0</v>
      </c>
      <c r="W354" s="63" t="e">
        <f>VLOOKUP($V354,Herbicide_Data!$A$1:$L$17,9)</f>
        <v>#N/A</v>
      </c>
      <c r="X354" s="62" t="e">
        <f>VLOOKUP($V354,Herbicide_Data!$A$1:$L$17,12)</f>
        <v>#N/A</v>
      </c>
      <c r="Y354" s="16" t="e">
        <f t="shared" si="63"/>
        <v>#N/A</v>
      </c>
      <c r="Z354" s="15"/>
      <c r="AA354" s="13"/>
      <c r="AB354" s="17"/>
      <c r="AC354" s="3"/>
      <c r="AD354" s="10"/>
      <c r="AE354" s="3"/>
      <c r="AF354" s="10"/>
      <c r="AG354" s="15"/>
      <c r="AH354" s="62" t="str">
        <f t="shared" si="69"/>
        <v/>
      </c>
      <c r="AI354" s="62" t="e">
        <f>VLOOKUP($AH354,Herbicide_Data!$A$1:$Q$61,13)</f>
        <v>#N/A</v>
      </c>
      <c r="AJ354" s="16" t="e">
        <f t="shared" si="64"/>
        <v>#N/A</v>
      </c>
      <c r="AK354" s="3"/>
      <c r="AL354" s="3"/>
      <c r="AM354" s="3"/>
      <c r="AN354" s="3"/>
      <c r="AO354" s="3"/>
      <c r="AP354" s="3"/>
      <c r="AQ354" s="18"/>
      <c r="AR354" s="19"/>
      <c r="AS354" s="19"/>
      <c r="AT354" s="20"/>
      <c r="AU354" s="20"/>
      <c r="AV354" s="21"/>
      <c r="AW354" s="22"/>
      <c r="AX354" s="19"/>
      <c r="AY354" s="19"/>
      <c r="AZ354" s="19"/>
      <c r="BA354" s="23"/>
      <c r="BB354" s="19"/>
      <c r="BC354" s="19"/>
      <c r="BD354" s="19"/>
    </row>
    <row r="355" spans="1:56">
      <c r="A355" s="13"/>
      <c r="B355" s="11"/>
      <c r="C355" s="12"/>
      <c r="D355" s="12">
        <f t="shared" si="59"/>
        <v>2.0833299999999999E-2</v>
      </c>
      <c r="E355" s="10"/>
      <c r="F355" s="10" t="str">
        <f>IFERROR(VLOOKUP(E355,Data!A$2:B$5,2,TRUE), "")</f>
        <v/>
      </c>
      <c r="G355" s="3"/>
      <c r="H355" s="13" t="str">
        <f>IFERROR(VLOOKUP(A355,Customer_Data!$A$1:$P$114,8,TRUE),"")</f>
        <v/>
      </c>
      <c r="I355" s="13"/>
      <c r="J355" s="3" t="str">
        <f t="shared" si="65"/>
        <v/>
      </c>
      <c r="K355" s="62" t="e">
        <f>(VLOOKUP($J355,Herbicide_Data!$A$1:$L$61,9,TRUE))</f>
        <v>#N/A</v>
      </c>
      <c r="L355" s="62" t="e">
        <f>VLOOKUP($J355,Herbicide_Data!$A$1:$L$61,12,TRUE)</f>
        <v>#N/A</v>
      </c>
      <c r="M355" s="16" t="e">
        <f t="shared" si="60"/>
        <v>#N/A</v>
      </c>
      <c r="N355" s="62" t="str">
        <f t="shared" si="66"/>
        <v/>
      </c>
      <c r="O355" s="63" t="e">
        <f>VLOOKUP($N355,Herbicide_Data!$A$1:$L$61,9)</f>
        <v>#N/A</v>
      </c>
      <c r="P355" s="62" t="e">
        <f>VLOOKUP($N355,Herbicide_Data!$A$1:$P$61,13)</f>
        <v>#N/A</v>
      </c>
      <c r="Q355" s="16" t="e">
        <f t="shared" si="61"/>
        <v>#N/A</v>
      </c>
      <c r="R355" s="62" t="str">
        <f t="shared" si="67"/>
        <v/>
      </c>
      <c r="S355" s="63" t="e">
        <f>VLOOKUP($R355,Herbicide_Data!$A$1:$L$61,9)</f>
        <v>#N/A</v>
      </c>
      <c r="T355" s="62" t="e">
        <f>VLOOKUP($R355,Herbicide_Data!$A$1:$Q$61,13)</f>
        <v>#N/A</v>
      </c>
      <c r="U355" s="16" t="e">
        <f t="shared" si="62"/>
        <v>#N/A</v>
      </c>
      <c r="V355" s="62" t="b">
        <f t="shared" si="68"/>
        <v>0</v>
      </c>
      <c r="W355" s="63" t="e">
        <f>VLOOKUP($V355,Herbicide_Data!$A$1:$L$17,9)</f>
        <v>#N/A</v>
      </c>
      <c r="X355" s="62" t="e">
        <f>VLOOKUP($V355,Herbicide_Data!$A$1:$L$17,12)</f>
        <v>#N/A</v>
      </c>
      <c r="Y355" s="16" t="e">
        <f t="shared" si="63"/>
        <v>#N/A</v>
      </c>
      <c r="Z355" s="15"/>
      <c r="AA355" s="13"/>
      <c r="AB355" s="17"/>
      <c r="AC355" s="3"/>
      <c r="AD355" s="10"/>
      <c r="AE355" s="3"/>
      <c r="AF355" s="10"/>
      <c r="AG355" s="15"/>
      <c r="AH355" s="62" t="str">
        <f t="shared" si="69"/>
        <v/>
      </c>
      <c r="AI355" s="62" t="e">
        <f>VLOOKUP($AH355,Herbicide_Data!$A$1:$Q$61,13)</f>
        <v>#N/A</v>
      </c>
      <c r="AJ355" s="16" t="e">
        <f t="shared" si="64"/>
        <v>#N/A</v>
      </c>
      <c r="AK355" s="3"/>
      <c r="AL355" s="3"/>
      <c r="AM355" s="3"/>
      <c r="AN355" s="3"/>
      <c r="AO355" s="3"/>
      <c r="AP355" s="3"/>
      <c r="AQ355" s="18"/>
      <c r="AR355" s="19"/>
      <c r="AS355" s="19"/>
      <c r="AT355" s="20"/>
      <c r="AU355" s="20"/>
      <c r="AV355" s="21"/>
      <c r="AW355" s="22"/>
      <c r="AX355" s="19"/>
      <c r="AY355" s="19"/>
      <c r="AZ355" s="19"/>
      <c r="BA355" s="23"/>
      <c r="BB355" s="19"/>
      <c r="BC355" s="19"/>
      <c r="BD355" s="19"/>
    </row>
    <row r="356" spans="1:56">
      <c r="A356" s="13"/>
      <c r="B356" s="11"/>
      <c r="C356" s="12"/>
      <c r="D356" s="12">
        <f t="shared" si="59"/>
        <v>2.0833299999999999E-2</v>
      </c>
      <c r="E356" s="10"/>
      <c r="F356" s="10" t="str">
        <f>IFERROR(VLOOKUP(E356,Data!A$2:B$5,2,TRUE), "")</f>
        <v/>
      </c>
      <c r="G356" s="3"/>
      <c r="H356" s="13" t="str">
        <f>IFERROR(VLOOKUP(A356,Customer_Data!$A$1:$P$114,8,TRUE),"")</f>
        <v/>
      </c>
      <c r="I356" s="13"/>
      <c r="J356" s="3" t="str">
        <f t="shared" si="65"/>
        <v/>
      </c>
      <c r="K356" s="62" t="e">
        <f>(VLOOKUP($J356,Herbicide_Data!$A$1:$L$61,9,TRUE))</f>
        <v>#N/A</v>
      </c>
      <c r="L356" s="62" t="e">
        <f>VLOOKUP($J356,Herbicide_Data!$A$1:$L$61,12,TRUE)</f>
        <v>#N/A</v>
      </c>
      <c r="M356" s="16" t="e">
        <f t="shared" si="60"/>
        <v>#N/A</v>
      </c>
      <c r="N356" s="62" t="str">
        <f t="shared" si="66"/>
        <v/>
      </c>
      <c r="O356" s="63" t="e">
        <f>VLOOKUP($N356,Herbicide_Data!$A$1:$L$61,9)</f>
        <v>#N/A</v>
      </c>
      <c r="P356" s="62" t="e">
        <f>VLOOKUP($N356,Herbicide_Data!$A$1:$P$61,13)</f>
        <v>#N/A</v>
      </c>
      <c r="Q356" s="16" t="e">
        <f t="shared" si="61"/>
        <v>#N/A</v>
      </c>
      <c r="R356" s="62" t="str">
        <f t="shared" si="67"/>
        <v/>
      </c>
      <c r="S356" s="63" t="e">
        <f>VLOOKUP($R356,Herbicide_Data!$A$1:$L$61,9)</f>
        <v>#N/A</v>
      </c>
      <c r="T356" s="62" t="e">
        <f>VLOOKUP($R356,Herbicide_Data!$A$1:$Q$61,13)</f>
        <v>#N/A</v>
      </c>
      <c r="U356" s="16" t="e">
        <f t="shared" si="62"/>
        <v>#N/A</v>
      </c>
      <c r="V356" s="62" t="b">
        <f t="shared" si="68"/>
        <v>0</v>
      </c>
      <c r="W356" s="63" t="e">
        <f>VLOOKUP($V356,Herbicide_Data!$A$1:$L$17,9)</f>
        <v>#N/A</v>
      </c>
      <c r="X356" s="62" t="e">
        <f>VLOOKUP($V356,Herbicide_Data!$A$1:$L$17,12)</f>
        <v>#N/A</v>
      </c>
      <c r="Y356" s="16" t="e">
        <f t="shared" si="63"/>
        <v>#N/A</v>
      </c>
      <c r="Z356" s="15"/>
      <c r="AA356" s="13"/>
      <c r="AB356" s="17"/>
      <c r="AC356" s="3"/>
      <c r="AD356" s="10"/>
      <c r="AE356" s="3"/>
      <c r="AF356" s="10"/>
      <c r="AG356" s="15"/>
      <c r="AH356" s="62" t="str">
        <f t="shared" si="69"/>
        <v/>
      </c>
      <c r="AI356" s="62" t="e">
        <f>VLOOKUP($AH356,Herbicide_Data!$A$1:$Q$61,13)</f>
        <v>#N/A</v>
      </c>
      <c r="AJ356" s="16" t="e">
        <f t="shared" si="64"/>
        <v>#N/A</v>
      </c>
      <c r="AK356" s="3"/>
      <c r="AL356" s="3"/>
      <c r="AM356" s="3"/>
      <c r="AN356" s="3"/>
      <c r="AO356" s="3"/>
      <c r="AP356" s="3"/>
      <c r="AQ356" s="18"/>
      <c r="AR356" s="19"/>
      <c r="AS356" s="19"/>
      <c r="AT356" s="20"/>
      <c r="AU356" s="20"/>
      <c r="AV356" s="21"/>
      <c r="AW356" s="22"/>
      <c r="AX356" s="19"/>
      <c r="AY356" s="19"/>
      <c r="AZ356" s="19"/>
      <c r="BA356" s="23"/>
      <c r="BB356" s="19"/>
      <c r="BC356" s="19"/>
      <c r="BD356" s="19"/>
    </row>
    <row r="357" spans="1:56">
      <c r="A357" s="13"/>
      <c r="B357" s="11"/>
      <c r="C357" s="12"/>
      <c r="D357" s="12">
        <f t="shared" si="59"/>
        <v>2.0833299999999999E-2</v>
      </c>
      <c r="E357" s="10"/>
      <c r="F357" s="10" t="str">
        <f>IFERROR(VLOOKUP(E357,Data!A$2:B$5,2,TRUE), "")</f>
        <v/>
      </c>
      <c r="G357" s="3"/>
      <c r="H357" s="13" t="str">
        <f>IFERROR(VLOOKUP(A357,Customer_Data!$A$1:$P$114,8,TRUE),"")</f>
        <v/>
      </c>
      <c r="I357" s="13"/>
      <c r="J357" s="3" t="str">
        <f t="shared" si="65"/>
        <v/>
      </c>
      <c r="K357" s="62" t="e">
        <f>(VLOOKUP($J357,Herbicide_Data!$A$1:$L$61,9,TRUE))</f>
        <v>#N/A</v>
      </c>
      <c r="L357" s="62" t="e">
        <f>VLOOKUP($J357,Herbicide_Data!$A$1:$L$61,12,TRUE)</f>
        <v>#N/A</v>
      </c>
      <c r="M357" s="16" t="e">
        <f t="shared" si="60"/>
        <v>#N/A</v>
      </c>
      <c r="N357" s="62" t="str">
        <f t="shared" si="66"/>
        <v/>
      </c>
      <c r="O357" s="63" t="e">
        <f>VLOOKUP($N357,Herbicide_Data!$A$1:$L$61,9)</f>
        <v>#N/A</v>
      </c>
      <c r="P357" s="62" t="e">
        <f>VLOOKUP($N357,Herbicide_Data!$A$1:$P$61,13)</f>
        <v>#N/A</v>
      </c>
      <c r="Q357" s="16" t="e">
        <f t="shared" si="61"/>
        <v>#N/A</v>
      </c>
      <c r="R357" s="62" t="str">
        <f t="shared" si="67"/>
        <v/>
      </c>
      <c r="S357" s="63" t="e">
        <f>VLOOKUP($R357,Herbicide_Data!$A$1:$L$61,9)</f>
        <v>#N/A</v>
      </c>
      <c r="T357" s="62" t="e">
        <f>VLOOKUP($R357,Herbicide_Data!$A$1:$Q$61,13)</f>
        <v>#N/A</v>
      </c>
      <c r="U357" s="16" t="e">
        <f t="shared" si="62"/>
        <v>#N/A</v>
      </c>
      <c r="V357" s="62" t="b">
        <f t="shared" si="68"/>
        <v>0</v>
      </c>
      <c r="W357" s="63" t="e">
        <f>VLOOKUP($V357,Herbicide_Data!$A$1:$L$17,9)</f>
        <v>#N/A</v>
      </c>
      <c r="X357" s="62" t="e">
        <f>VLOOKUP($V357,Herbicide_Data!$A$1:$L$17,12)</f>
        <v>#N/A</v>
      </c>
      <c r="Y357" s="16" t="e">
        <f t="shared" si="63"/>
        <v>#N/A</v>
      </c>
      <c r="Z357" s="15"/>
      <c r="AA357" s="13"/>
      <c r="AB357" s="17"/>
      <c r="AC357" s="3"/>
      <c r="AD357" s="10"/>
      <c r="AE357" s="3"/>
      <c r="AF357" s="10"/>
      <c r="AG357" s="15"/>
      <c r="AH357" s="62" t="str">
        <f t="shared" si="69"/>
        <v/>
      </c>
      <c r="AI357" s="62" t="e">
        <f>VLOOKUP($AH357,Herbicide_Data!$A$1:$Q$61,13)</f>
        <v>#N/A</v>
      </c>
      <c r="AJ357" s="16" t="e">
        <f t="shared" si="64"/>
        <v>#N/A</v>
      </c>
      <c r="AK357" s="3"/>
      <c r="AL357" s="3"/>
      <c r="AM357" s="3"/>
      <c r="AN357" s="3"/>
      <c r="AO357" s="3"/>
      <c r="AP357" s="3"/>
      <c r="AQ357" s="18"/>
      <c r="AR357" s="19"/>
      <c r="AS357" s="19"/>
      <c r="AT357" s="20"/>
      <c r="AU357" s="20"/>
      <c r="AV357" s="21"/>
      <c r="AW357" s="22"/>
      <c r="AX357" s="19"/>
      <c r="AY357" s="19"/>
      <c r="AZ357" s="19"/>
      <c r="BA357" s="23"/>
      <c r="BB357" s="19"/>
      <c r="BC357" s="19"/>
      <c r="BD357" s="19"/>
    </row>
    <row r="358" spans="1:56">
      <c r="A358" s="13"/>
      <c r="B358" s="11"/>
      <c r="C358" s="12"/>
      <c r="D358" s="12">
        <f t="shared" si="59"/>
        <v>2.0833299999999999E-2</v>
      </c>
      <c r="E358" s="10"/>
      <c r="F358" s="10" t="str">
        <f>IFERROR(VLOOKUP(E358,Data!A$2:B$5,2,TRUE), "")</f>
        <v/>
      </c>
      <c r="G358" s="3"/>
      <c r="H358" s="13" t="str">
        <f>IFERROR(VLOOKUP(A358,Customer_Data!$A$1:$P$114,8,TRUE),"")</f>
        <v/>
      </c>
      <c r="I358" s="13"/>
      <c r="J358" s="3" t="str">
        <f t="shared" si="65"/>
        <v/>
      </c>
      <c r="K358" s="62" t="e">
        <f>(VLOOKUP($J358,Herbicide_Data!$A$1:$L$61,9,TRUE))</f>
        <v>#N/A</v>
      </c>
      <c r="L358" s="62" t="e">
        <f>VLOOKUP($J358,Herbicide_Data!$A$1:$L$61,12,TRUE)</f>
        <v>#N/A</v>
      </c>
      <c r="M358" s="16" t="e">
        <f t="shared" si="60"/>
        <v>#N/A</v>
      </c>
      <c r="N358" s="62" t="str">
        <f t="shared" si="66"/>
        <v/>
      </c>
      <c r="O358" s="63" t="e">
        <f>VLOOKUP($N358,Herbicide_Data!$A$1:$L$61,9)</f>
        <v>#N/A</v>
      </c>
      <c r="P358" s="62" t="e">
        <f>VLOOKUP($N358,Herbicide_Data!$A$1:$P$61,13)</f>
        <v>#N/A</v>
      </c>
      <c r="Q358" s="16" t="e">
        <f t="shared" si="61"/>
        <v>#N/A</v>
      </c>
      <c r="R358" s="62" t="str">
        <f t="shared" si="67"/>
        <v/>
      </c>
      <c r="S358" s="63" t="e">
        <f>VLOOKUP($R358,Herbicide_Data!$A$1:$L$61,9)</f>
        <v>#N/A</v>
      </c>
      <c r="T358" s="62" t="e">
        <f>VLOOKUP($R358,Herbicide_Data!$A$1:$Q$61,13)</f>
        <v>#N/A</v>
      </c>
      <c r="U358" s="16" t="e">
        <f t="shared" si="62"/>
        <v>#N/A</v>
      </c>
      <c r="V358" s="62" t="b">
        <f t="shared" si="68"/>
        <v>0</v>
      </c>
      <c r="W358" s="63" t="e">
        <f>VLOOKUP($V358,Herbicide_Data!$A$1:$L$17,9)</f>
        <v>#N/A</v>
      </c>
      <c r="X358" s="62" t="e">
        <f>VLOOKUP($V358,Herbicide_Data!$A$1:$L$17,12)</f>
        <v>#N/A</v>
      </c>
      <c r="Y358" s="16" t="e">
        <f t="shared" si="63"/>
        <v>#N/A</v>
      </c>
      <c r="Z358" s="15"/>
      <c r="AA358" s="13"/>
      <c r="AB358" s="17"/>
      <c r="AC358" s="3"/>
      <c r="AD358" s="10"/>
      <c r="AE358" s="3"/>
      <c r="AF358" s="10"/>
      <c r="AG358" s="15"/>
      <c r="AH358" s="62" t="str">
        <f t="shared" si="69"/>
        <v/>
      </c>
      <c r="AI358" s="62" t="e">
        <f>VLOOKUP($AH358,Herbicide_Data!$A$1:$Q$61,13)</f>
        <v>#N/A</v>
      </c>
      <c r="AJ358" s="16" t="e">
        <f t="shared" si="64"/>
        <v>#N/A</v>
      </c>
      <c r="AK358" s="3"/>
      <c r="AL358" s="3"/>
      <c r="AM358" s="3"/>
      <c r="AN358" s="3"/>
      <c r="AO358" s="3"/>
      <c r="AP358" s="3"/>
      <c r="AQ358" s="18"/>
      <c r="AR358" s="19"/>
      <c r="AS358" s="19"/>
      <c r="AT358" s="20"/>
      <c r="AU358" s="20"/>
      <c r="AV358" s="21"/>
      <c r="AW358" s="22"/>
      <c r="AX358" s="19"/>
      <c r="AY358" s="19"/>
      <c r="AZ358" s="19"/>
      <c r="BA358" s="23"/>
      <c r="BB358" s="19"/>
      <c r="BC358" s="19"/>
      <c r="BD358" s="19"/>
    </row>
    <row r="359" spans="1:56">
      <c r="A359" s="13"/>
      <c r="B359" s="11"/>
      <c r="C359" s="12"/>
      <c r="D359" s="12">
        <f t="shared" si="59"/>
        <v>2.0833299999999999E-2</v>
      </c>
      <c r="E359" s="10"/>
      <c r="F359" s="10" t="str">
        <f>IFERROR(VLOOKUP(E359,Data!A$2:B$5,2,TRUE), "")</f>
        <v/>
      </c>
      <c r="G359" s="3"/>
      <c r="H359" s="13" t="str">
        <f>IFERROR(VLOOKUP(A359,Customer_Data!$A$1:$P$114,8,TRUE),"")</f>
        <v/>
      </c>
      <c r="I359" s="13"/>
      <c r="J359" s="3" t="str">
        <f t="shared" si="65"/>
        <v/>
      </c>
      <c r="K359" s="62" t="e">
        <f>(VLOOKUP($J359,Herbicide_Data!$A$1:$L$61,9,TRUE))</f>
        <v>#N/A</v>
      </c>
      <c r="L359" s="62" t="e">
        <f>VLOOKUP($J359,Herbicide_Data!$A$1:$L$61,12,TRUE)</f>
        <v>#N/A</v>
      </c>
      <c r="M359" s="16" t="e">
        <f t="shared" si="60"/>
        <v>#N/A</v>
      </c>
      <c r="N359" s="62" t="str">
        <f t="shared" si="66"/>
        <v/>
      </c>
      <c r="O359" s="63" t="e">
        <f>VLOOKUP($N359,Herbicide_Data!$A$1:$L$61,9)</f>
        <v>#N/A</v>
      </c>
      <c r="P359" s="62" t="e">
        <f>VLOOKUP($N359,Herbicide_Data!$A$1:$P$61,13)</f>
        <v>#N/A</v>
      </c>
      <c r="Q359" s="16" t="e">
        <f t="shared" si="61"/>
        <v>#N/A</v>
      </c>
      <c r="R359" s="62" t="str">
        <f t="shared" si="67"/>
        <v/>
      </c>
      <c r="S359" s="63" t="e">
        <f>VLOOKUP($R359,Herbicide_Data!$A$1:$L$61,9)</f>
        <v>#N/A</v>
      </c>
      <c r="T359" s="62" t="e">
        <f>VLOOKUP($R359,Herbicide_Data!$A$1:$Q$61,13)</f>
        <v>#N/A</v>
      </c>
      <c r="U359" s="16" t="e">
        <f t="shared" si="62"/>
        <v>#N/A</v>
      </c>
      <c r="V359" s="62" t="b">
        <f t="shared" si="68"/>
        <v>0</v>
      </c>
      <c r="W359" s="63" t="e">
        <f>VLOOKUP($V359,Herbicide_Data!$A$1:$L$17,9)</f>
        <v>#N/A</v>
      </c>
      <c r="X359" s="62" t="e">
        <f>VLOOKUP($V359,Herbicide_Data!$A$1:$L$17,12)</f>
        <v>#N/A</v>
      </c>
      <c r="Y359" s="16" t="e">
        <f t="shared" si="63"/>
        <v>#N/A</v>
      </c>
      <c r="Z359" s="15"/>
      <c r="AA359" s="13"/>
      <c r="AB359" s="17"/>
      <c r="AC359" s="3"/>
      <c r="AD359" s="10"/>
      <c r="AE359" s="3"/>
      <c r="AF359" s="10"/>
      <c r="AG359" s="15"/>
      <c r="AH359" s="62" t="str">
        <f t="shared" si="69"/>
        <v/>
      </c>
      <c r="AI359" s="62" t="e">
        <f>VLOOKUP($AH359,Herbicide_Data!$A$1:$Q$61,13)</f>
        <v>#N/A</v>
      </c>
      <c r="AJ359" s="16" t="e">
        <f t="shared" si="64"/>
        <v>#N/A</v>
      </c>
      <c r="AK359" s="3"/>
      <c r="AL359" s="3"/>
      <c r="AM359" s="3"/>
      <c r="AN359" s="3"/>
      <c r="AO359" s="3"/>
      <c r="AP359" s="3"/>
      <c r="AQ359" s="18"/>
      <c r="AR359" s="19"/>
      <c r="AS359" s="19"/>
      <c r="AT359" s="20"/>
      <c r="AU359" s="20"/>
      <c r="AV359" s="21"/>
      <c r="AW359" s="22"/>
      <c r="AX359" s="19"/>
      <c r="AY359" s="19"/>
      <c r="AZ359" s="19"/>
      <c r="BA359" s="23"/>
      <c r="BB359" s="19"/>
      <c r="BC359" s="19"/>
      <c r="BD359" s="19"/>
    </row>
    <row r="360" spans="1:56">
      <c r="A360" s="13"/>
      <c r="B360" s="11"/>
      <c r="C360" s="12"/>
      <c r="D360" s="12">
        <f t="shared" si="59"/>
        <v>2.0833299999999999E-2</v>
      </c>
      <c r="E360" s="10"/>
      <c r="F360" s="10" t="str">
        <f>IFERROR(VLOOKUP(E360,Data!A$2:B$5,2,TRUE), "")</f>
        <v/>
      </c>
      <c r="G360" s="3"/>
      <c r="H360" s="13" t="str">
        <f>IFERROR(VLOOKUP(A360,Customer_Data!$A$1:$P$114,8,TRUE),"")</f>
        <v/>
      </c>
      <c r="I360" s="13"/>
      <c r="J360" s="3" t="str">
        <f t="shared" si="65"/>
        <v/>
      </c>
      <c r="K360" s="62" t="e">
        <f>(VLOOKUP($J360,Herbicide_Data!$A$1:$L$61,9,TRUE))</f>
        <v>#N/A</v>
      </c>
      <c r="L360" s="62" t="e">
        <f>VLOOKUP($J360,Herbicide_Data!$A$1:$L$61,12,TRUE)</f>
        <v>#N/A</v>
      </c>
      <c r="M360" s="16" t="e">
        <f t="shared" si="60"/>
        <v>#N/A</v>
      </c>
      <c r="N360" s="62" t="str">
        <f t="shared" si="66"/>
        <v/>
      </c>
      <c r="O360" s="63" t="e">
        <f>VLOOKUP($N360,Herbicide_Data!$A$1:$L$61,9)</f>
        <v>#N/A</v>
      </c>
      <c r="P360" s="62" t="e">
        <f>VLOOKUP($N360,Herbicide_Data!$A$1:$P$61,13)</f>
        <v>#N/A</v>
      </c>
      <c r="Q360" s="16" t="e">
        <f t="shared" si="61"/>
        <v>#N/A</v>
      </c>
      <c r="R360" s="62" t="str">
        <f t="shared" si="67"/>
        <v/>
      </c>
      <c r="S360" s="63" t="e">
        <f>VLOOKUP($R360,Herbicide_Data!$A$1:$L$61,9)</f>
        <v>#N/A</v>
      </c>
      <c r="T360" s="62" t="e">
        <f>VLOOKUP($R360,Herbicide_Data!$A$1:$Q$61,13)</f>
        <v>#N/A</v>
      </c>
      <c r="U360" s="16" t="e">
        <f t="shared" si="62"/>
        <v>#N/A</v>
      </c>
      <c r="V360" s="62" t="b">
        <f t="shared" si="68"/>
        <v>0</v>
      </c>
      <c r="W360" s="63" t="e">
        <f>VLOOKUP($V360,Herbicide_Data!$A$1:$L$17,9)</f>
        <v>#N/A</v>
      </c>
      <c r="X360" s="62" t="e">
        <f>VLOOKUP($V360,Herbicide_Data!$A$1:$L$17,12)</f>
        <v>#N/A</v>
      </c>
      <c r="Y360" s="16" t="e">
        <f t="shared" si="63"/>
        <v>#N/A</v>
      </c>
      <c r="Z360" s="15"/>
      <c r="AA360" s="13"/>
      <c r="AB360" s="17"/>
      <c r="AC360" s="3"/>
      <c r="AD360" s="10"/>
      <c r="AE360" s="3"/>
      <c r="AF360" s="10"/>
      <c r="AG360" s="15"/>
      <c r="AH360" s="62" t="str">
        <f t="shared" si="69"/>
        <v/>
      </c>
      <c r="AI360" s="62" t="e">
        <f>VLOOKUP($AH360,Herbicide_Data!$A$1:$Q$61,13)</f>
        <v>#N/A</v>
      </c>
      <c r="AJ360" s="16" t="e">
        <f t="shared" si="64"/>
        <v>#N/A</v>
      </c>
      <c r="AK360" s="3"/>
      <c r="AL360" s="3"/>
      <c r="AM360" s="3"/>
      <c r="AN360" s="3"/>
      <c r="AO360" s="3"/>
      <c r="AP360" s="3"/>
      <c r="AQ360" s="18"/>
      <c r="AR360" s="19"/>
      <c r="AS360" s="19"/>
      <c r="AT360" s="20"/>
      <c r="AU360" s="20"/>
      <c r="AV360" s="21"/>
      <c r="AW360" s="22"/>
      <c r="AX360" s="19"/>
      <c r="AY360" s="19"/>
      <c r="AZ360" s="19"/>
      <c r="BA360" s="23"/>
      <c r="BB360" s="19"/>
      <c r="BC360" s="19"/>
      <c r="BD360" s="19"/>
    </row>
    <row r="361" spans="1:56">
      <c r="A361" s="13"/>
      <c r="B361" s="11"/>
      <c r="C361" s="12"/>
      <c r="D361" s="12">
        <f t="shared" si="59"/>
        <v>2.0833299999999999E-2</v>
      </c>
      <c r="E361" s="10"/>
      <c r="F361" s="10" t="str">
        <f>IFERROR(VLOOKUP(E361,Data!A$2:B$5,2,TRUE), "")</f>
        <v/>
      </c>
      <c r="G361" s="3"/>
      <c r="H361" s="13" t="str">
        <f>IFERROR(VLOOKUP(A361,Customer_Data!$A$1:$P$114,8,TRUE),"")</f>
        <v/>
      </c>
      <c r="I361" s="13"/>
      <c r="J361" s="3" t="str">
        <f t="shared" si="65"/>
        <v/>
      </c>
      <c r="K361" s="62" t="e">
        <f>(VLOOKUP($J361,Herbicide_Data!$A$1:$L$61,9,TRUE))</f>
        <v>#N/A</v>
      </c>
      <c r="L361" s="62" t="e">
        <f>VLOOKUP($J361,Herbicide_Data!$A$1:$L$61,12,TRUE)</f>
        <v>#N/A</v>
      </c>
      <c r="M361" s="16" t="e">
        <f t="shared" si="60"/>
        <v>#N/A</v>
      </c>
      <c r="N361" s="62" t="str">
        <f t="shared" si="66"/>
        <v/>
      </c>
      <c r="O361" s="63" t="e">
        <f>VLOOKUP($N361,Herbicide_Data!$A$1:$L$61,9)</f>
        <v>#N/A</v>
      </c>
      <c r="P361" s="62" t="e">
        <f>VLOOKUP($N361,Herbicide_Data!$A$1:$P$61,13)</f>
        <v>#N/A</v>
      </c>
      <c r="Q361" s="16" t="e">
        <f t="shared" si="61"/>
        <v>#N/A</v>
      </c>
      <c r="R361" s="62" t="str">
        <f t="shared" si="67"/>
        <v/>
      </c>
      <c r="S361" s="63" t="e">
        <f>VLOOKUP($R361,Herbicide_Data!$A$1:$L$61,9)</f>
        <v>#N/A</v>
      </c>
      <c r="T361" s="62" t="e">
        <f>VLOOKUP($R361,Herbicide_Data!$A$1:$Q$61,13)</f>
        <v>#N/A</v>
      </c>
      <c r="U361" s="16" t="e">
        <f t="shared" si="62"/>
        <v>#N/A</v>
      </c>
      <c r="V361" s="62" t="b">
        <f t="shared" si="68"/>
        <v>0</v>
      </c>
      <c r="W361" s="63" t="e">
        <f>VLOOKUP($V361,Herbicide_Data!$A$1:$L$17,9)</f>
        <v>#N/A</v>
      </c>
      <c r="X361" s="62" t="e">
        <f>VLOOKUP($V361,Herbicide_Data!$A$1:$L$17,12)</f>
        <v>#N/A</v>
      </c>
      <c r="Y361" s="16" t="e">
        <f t="shared" si="63"/>
        <v>#N/A</v>
      </c>
      <c r="Z361" s="15"/>
      <c r="AA361" s="13"/>
      <c r="AB361" s="17"/>
      <c r="AC361" s="3"/>
      <c r="AD361" s="10"/>
      <c r="AE361" s="3"/>
      <c r="AF361" s="10"/>
      <c r="AG361" s="15"/>
      <c r="AH361" s="62" t="str">
        <f t="shared" si="69"/>
        <v/>
      </c>
      <c r="AI361" s="62" t="e">
        <f>VLOOKUP($AH361,Herbicide_Data!$A$1:$Q$61,13)</f>
        <v>#N/A</v>
      </c>
      <c r="AJ361" s="16" t="e">
        <f t="shared" si="64"/>
        <v>#N/A</v>
      </c>
      <c r="AK361" s="3"/>
      <c r="AL361" s="3"/>
      <c r="AM361" s="3"/>
      <c r="AN361" s="3"/>
      <c r="AO361" s="3"/>
      <c r="AP361" s="3"/>
      <c r="AQ361" s="18"/>
      <c r="AR361" s="19"/>
      <c r="AS361" s="19"/>
      <c r="AT361" s="20"/>
      <c r="AU361" s="20"/>
      <c r="AV361" s="21"/>
      <c r="AW361" s="22"/>
      <c r="AX361" s="19"/>
      <c r="AY361" s="19"/>
      <c r="AZ361" s="19"/>
      <c r="BA361" s="23"/>
      <c r="BB361" s="19"/>
      <c r="BC361" s="19"/>
      <c r="BD361" s="19"/>
    </row>
    <row r="362" spans="1:56">
      <c r="A362" s="13"/>
      <c r="B362" s="11"/>
      <c r="C362" s="12"/>
      <c r="D362" s="12">
        <f t="shared" si="59"/>
        <v>2.0833299999999999E-2</v>
      </c>
      <c r="E362" s="10"/>
      <c r="F362" s="10" t="str">
        <f>IFERROR(VLOOKUP(E362,Data!A$2:B$5,2,TRUE), "")</f>
        <v/>
      </c>
      <c r="G362" s="3"/>
      <c r="H362" s="13" t="str">
        <f>IFERROR(VLOOKUP(A362,Customer_Data!$A$1:$P$114,8,TRUE),"")</f>
        <v/>
      </c>
      <c r="I362" s="13"/>
      <c r="J362" s="3" t="str">
        <f t="shared" si="65"/>
        <v/>
      </c>
      <c r="K362" s="62" t="e">
        <f>(VLOOKUP($J362,Herbicide_Data!$A$1:$L$61,9,TRUE))</f>
        <v>#N/A</v>
      </c>
      <c r="L362" s="62" t="e">
        <f>VLOOKUP($J362,Herbicide_Data!$A$1:$L$61,12,TRUE)</f>
        <v>#N/A</v>
      </c>
      <c r="M362" s="16" t="e">
        <f t="shared" si="60"/>
        <v>#N/A</v>
      </c>
      <c r="N362" s="62" t="str">
        <f t="shared" si="66"/>
        <v/>
      </c>
      <c r="O362" s="63" t="e">
        <f>VLOOKUP($N362,Herbicide_Data!$A$1:$L$61,9)</f>
        <v>#N/A</v>
      </c>
      <c r="P362" s="62" t="e">
        <f>VLOOKUP($N362,Herbicide_Data!$A$1:$P$61,13)</f>
        <v>#N/A</v>
      </c>
      <c r="Q362" s="16" t="e">
        <f t="shared" si="61"/>
        <v>#N/A</v>
      </c>
      <c r="R362" s="62" t="str">
        <f t="shared" si="67"/>
        <v/>
      </c>
      <c r="S362" s="63" t="e">
        <f>VLOOKUP($R362,Herbicide_Data!$A$1:$L$61,9)</f>
        <v>#N/A</v>
      </c>
      <c r="T362" s="62" t="e">
        <f>VLOOKUP($R362,Herbicide_Data!$A$1:$Q$61,13)</f>
        <v>#N/A</v>
      </c>
      <c r="U362" s="16" t="e">
        <f t="shared" si="62"/>
        <v>#N/A</v>
      </c>
      <c r="V362" s="62" t="b">
        <f t="shared" si="68"/>
        <v>0</v>
      </c>
      <c r="W362" s="63" t="e">
        <f>VLOOKUP($V362,Herbicide_Data!$A$1:$L$17,9)</f>
        <v>#N/A</v>
      </c>
      <c r="X362" s="62" t="e">
        <f>VLOOKUP($V362,Herbicide_Data!$A$1:$L$17,12)</f>
        <v>#N/A</v>
      </c>
      <c r="Y362" s="16" t="e">
        <f t="shared" si="63"/>
        <v>#N/A</v>
      </c>
      <c r="Z362" s="15"/>
      <c r="AA362" s="13"/>
      <c r="AB362" s="17"/>
      <c r="AC362" s="3"/>
      <c r="AD362" s="10"/>
      <c r="AE362" s="3"/>
      <c r="AF362" s="10"/>
      <c r="AG362" s="15"/>
      <c r="AH362" s="62" t="str">
        <f t="shared" si="69"/>
        <v/>
      </c>
      <c r="AI362" s="62" t="e">
        <f>VLOOKUP($AH362,Herbicide_Data!$A$1:$Q$61,13)</f>
        <v>#N/A</v>
      </c>
      <c r="AJ362" s="16" t="e">
        <f t="shared" si="64"/>
        <v>#N/A</v>
      </c>
      <c r="AK362" s="3"/>
      <c r="AL362" s="3"/>
      <c r="AM362" s="3"/>
      <c r="AN362" s="3"/>
      <c r="AO362" s="3"/>
      <c r="AP362" s="3"/>
      <c r="AQ362" s="18"/>
      <c r="AR362" s="19"/>
      <c r="AS362" s="19"/>
      <c r="AT362" s="20"/>
      <c r="AU362" s="20"/>
      <c r="AV362" s="21"/>
      <c r="AW362" s="22"/>
      <c r="AX362" s="19"/>
      <c r="AY362" s="19"/>
      <c r="AZ362" s="19"/>
      <c r="BA362" s="23"/>
      <c r="BB362" s="19"/>
      <c r="BC362" s="19"/>
      <c r="BD362" s="19"/>
    </row>
    <row r="363" spans="1:56">
      <c r="A363" s="13"/>
      <c r="B363" s="11"/>
      <c r="C363" s="12"/>
      <c r="D363" s="12">
        <f t="shared" si="59"/>
        <v>2.0833299999999999E-2</v>
      </c>
      <c r="E363" s="10"/>
      <c r="F363" s="10" t="str">
        <f>IFERROR(VLOOKUP(E363,Data!A$2:B$5,2,TRUE), "")</f>
        <v/>
      </c>
      <c r="G363" s="3"/>
      <c r="H363" s="13" t="str">
        <f>IFERROR(VLOOKUP(A363,Customer_Data!$A$1:$P$114,8,TRUE),"")</f>
        <v/>
      </c>
      <c r="I363" s="13"/>
      <c r="J363" s="3" t="str">
        <f t="shared" si="65"/>
        <v/>
      </c>
      <c r="K363" s="62" t="e">
        <f>(VLOOKUP($J363,Herbicide_Data!$A$1:$L$61,9,TRUE))</f>
        <v>#N/A</v>
      </c>
      <c r="L363" s="62" t="e">
        <f>VLOOKUP($J363,Herbicide_Data!$A$1:$L$61,12,TRUE)</f>
        <v>#N/A</v>
      </c>
      <c r="M363" s="16" t="e">
        <f t="shared" si="60"/>
        <v>#N/A</v>
      </c>
      <c r="N363" s="62" t="str">
        <f t="shared" si="66"/>
        <v/>
      </c>
      <c r="O363" s="63" t="e">
        <f>VLOOKUP($N363,Herbicide_Data!$A$1:$L$61,9)</f>
        <v>#N/A</v>
      </c>
      <c r="P363" s="62" t="e">
        <f>VLOOKUP($N363,Herbicide_Data!$A$1:$P$61,13)</f>
        <v>#N/A</v>
      </c>
      <c r="Q363" s="16" t="e">
        <f t="shared" si="61"/>
        <v>#N/A</v>
      </c>
      <c r="R363" s="62" t="str">
        <f t="shared" si="67"/>
        <v/>
      </c>
      <c r="S363" s="63" t="e">
        <f>VLOOKUP($R363,Herbicide_Data!$A$1:$L$61,9)</f>
        <v>#N/A</v>
      </c>
      <c r="T363" s="62" t="e">
        <f>VLOOKUP($R363,Herbicide_Data!$A$1:$Q$61,13)</f>
        <v>#N/A</v>
      </c>
      <c r="U363" s="16" t="e">
        <f t="shared" si="62"/>
        <v>#N/A</v>
      </c>
      <c r="V363" s="62" t="b">
        <f t="shared" si="68"/>
        <v>0</v>
      </c>
      <c r="W363" s="63" t="e">
        <f>VLOOKUP($V363,Herbicide_Data!$A$1:$L$17,9)</f>
        <v>#N/A</v>
      </c>
      <c r="X363" s="62" t="e">
        <f>VLOOKUP($V363,Herbicide_Data!$A$1:$L$17,12)</f>
        <v>#N/A</v>
      </c>
      <c r="Y363" s="16" t="e">
        <f t="shared" si="63"/>
        <v>#N/A</v>
      </c>
      <c r="Z363" s="15"/>
      <c r="AA363" s="13"/>
      <c r="AB363" s="17"/>
      <c r="AC363" s="3"/>
      <c r="AD363" s="10"/>
      <c r="AE363" s="3"/>
      <c r="AF363" s="10"/>
      <c r="AG363" s="15"/>
      <c r="AH363" s="62" t="str">
        <f t="shared" si="69"/>
        <v/>
      </c>
      <c r="AI363" s="62" t="e">
        <f>VLOOKUP($AH363,Herbicide_Data!$A$1:$Q$61,13)</f>
        <v>#N/A</v>
      </c>
      <c r="AJ363" s="16" t="e">
        <f t="shared" si="64"/>
        <v>#N/A</v>
      </c>
      <c r="AK363" s="3"/>
      <c r="AL363" s="3"/>
      <c r="AM363" s="3"/>
      <c r="AN363" s="3"/>
      <c r="AO363" s="3"/>
      <c r="AP363" s="3"/>
      <c r="AQ363" s="18"/>
      <c r="AR363" s="19"/>
      <c r="AS363" s="19"/>
      <c r="AT363" s="20"/>
      <c r="AU363" s="20"/>
      <c r="AV363" s="21"/>
      <c r="AW363" s="22"/>
      <c r="AX363" s="19"/>
      <c r="AY363" s="19"/>
      <c r="AZ363" s="19"/>
      <c r="BA363" s="23"/>
      <c r="BB363" s="19"/>
      <c r="BC363" s="19"/>
      <c r="BD363" s="19"/>
    </row>
    <row r="364" spans="1:56">
      <c r="A364" s="13"/>
      <c r="B364" s="11"/>
      <c r="C364" s="12"/>
      <c r="D364" s="12">
        <f t="shared" si="59"/>
        <v>2.0833299999999999E-2</v>
      </c>
      <c r="E364" s="10"/>
      <c r="F364" s="10" t="str">
        <f>IFERROR(VLOOKUP(E364,Data!A$2:B$5,2,TRUE), "")</f>
        <v/>
      </c>
      <c r="G364" s="3"/>
      <c r="H364" s="13" t="str">
        <f>IFERROR(VLOOKUP(A364,Customer_Data!$A$1:$P$114,8,TRUE),"")</f>
        <v/>
      </c>
      <c r="I364" s="13"/>
      <c r="J364" s="3" t="str">
        <f t="shared" si="65"/>
        <v/>
      </c>
      <c r="K364" s="62" t="e">
        <f>(VLOOKUP($J364,Herbicide_Data!$A$1:$L$61,9,TRUE))</f>
        <v>#N/A</v>
      </c>
      <c r="L364" s="62" t="e">
        <f>VLOOKUP($J364,Herbicide_Data!$A$1:$L$61,12,TRUE)</f>
        <v>#N/A</v>
      </c>
      <c r="M364" s="16" t="e">
        <f t="shared" si="60"/>
        <v>#N/A</v>
      </c>
      <c r="N364" s="62" t="str">
        <f t="shared" si="66"/>
        <v/>
      </c>
      <c r="O364" s="63" t="e">
        <f>VLOOKUP($N364,Herbicide_Data!$A$1:$L$61,9)</f>
        <v>#N/A</v>
      </c>
      <c r="P364" s="62" t="e">
        <f>VLOOKUP($N364,Herbicide_Data!$A$1:$P$61,13)</f>
        <v>#N/A</v>
      </c>
      <c r="Q364" s="16" t="e">
        <f t="shared" si="61"/>
        <v>#N/A</v>
      </c>
      <c r="R364" s="62" t="str">
        <f t="shared" si="67"/>
        <v/>
      </c>
      <c r="S364" s="63" t="e">
        <f>VLOOKUP($R364,Herbicide_Data!$A$1:$L$61,9)</f>
        <v>#N/A</v>
      </c>
      <c r="T364" s="62" t="e">
        <f>VLOOKUP($R364,Herbicide_Data!$A$1:$Q$61,13)</f>
        <v>#N/A</v>
      </c>
      <c r="U364" s="16" t="e">
        <f t="shared" si="62"/>
        <v>#N/A</v>
      </c>
      <c r="V364" s="62" t="b">
        <f t="shared" si="68"/>
        <v>0</v>
      </c>
      <c r="W364" s="63" t="e">
        <f>VLOOKUP($V364,Herbicide_Data!$A$1:$L$17,9)</f>
        <v>#N/A</v>
      </c>
      <c r="X364" s="62" t="e">
        <f>VLOOKUP($V364,Herbicide_Data!$A$1:$L$17,12)</f>
        <v>#N/A</v>
      </c>
      <c r="Y364" s="16" t="e">
        <f t="shared" si="63"/>
        <v>#N/A</v>
      </c>
      <c r="Z364" s="15"/>
      <c r="AA364" s="13"/>
      <c r="AB364" s="17"/>
      <c r="AC364" s="3"/>
      <c r="AD364" s="10"/>
      <c r="AE364" s="3"/>
      <c r="AF364" s="10"/>
      <c r="AG364" s="15"/>
      <c r="AH364" s="62" t="str">
        <f t="shared" si="69"/>
        <v/>
      </c>
      <c r="AI364" s="62" t="e">
        <f>VLOOKUP($AH364,Herbicide_Data!$A$1:$Q$61,13)</f>
        <v>#N/A</v>
      </c>
      <c r="AJ364" s="16" t="e">
        <f t="shared" si="64"/>
        <v>#N/A</v>
      </c>
      <c r="AK364" s="3"/>
      <c r="AL364" s="3"/>
      <c r="AM364" s="3"/>
      <c r="AN364" s="3"/>
      <c r="AO364" s="3"/>
      <c r="AP364" s="3"/>
      <c r="AQ364" s="18"/>
      <c r="AR364" s="19"/>
      <c r="AS364" s="19"/>
      <c r="AT364" s="20"/>
      <c r="AU364" s="20"/>
      <c r="AV364" s="21"/>
      <c r="AW364" s="22"/>
      <c r="AX364" s="19"/>
      <c r="AY364" s="19"/>
      <c r="AZ364" s="19"/>
      <c r="BA364" s="23"/>
      <c r="BB364" s="19"/>
      <c r="BC364" s="19"/>
      <c r="BD364" s="19"/>
    </row>
    <row r="365" spans="1:56">
      <c r="A365" s="13"/>
      <c r="B365" s="11"/>
      <c r="C365" s="12"/>
      <c r="D365" s="12">
        <f t="shared" si="59"/>
        <v>2.0833299999999999E-2</v>
      </c>
      <c r="E365" s="10"/>
      <c r="F365" s="10" t="str">
        <f>IFERROR(VLOOKUP(E365,Data!A$2:B$5,2,TRUE), "")</f>
        <v/>
      </c>
      <c r="G365" s="3"/>
      <c r="H365" s="13" t="str">
        <f>IFERROR(VLOOKUP(A365,Customer_Data!$A$1:$P$114,8,TRUE),"")</f>
        <v/>
      </c>
      <c r="I365" s="13"/>
      <c r="J365" s="3" t="str">
        <f t="shared" si="65"/>
        <v/>
      </c>
      <c r="K365" s="62" t="e">
        <f>(VLOOKUP($J365,Herbicide_Data!$A$1:$L$61,9,TRUE))</f>
        <v>#N/A</v>
      </c>
      <c r="L365" s="62" t="e">
        <f>VLOOKUP($J365,Herbicide_Data!$A$1:$L$61,12,TRUE)</f>
        <v>#N/A</v>
      </c>
      <c r="M365" s="16" t="e">
        <f t="shared" si="60"/>
        <v>#N/A</v>
      </c>
      <c r="N365" s="62" t="str">
        <f t="shared" si="66"/>
        <v/>
      </c>
      <c r="O365" s="63" t="e">
        <f>VLOOKUP($N365,Herbicide_Data!$A$1:$L$61,9)</f>
        <v>#N/A</v>
      </c>
      <c r="P365" s="62" t="e">
        <f>VLOOKUP($N365,Herbicide_Data!$A$1:$P$61,13)</f>
        <v>#N/A</v>
      </c>
      <c r="Q365" s="16" t="e">
        <f t="shared" si="61"/>
        <v>#N/A</v>
      </c>
      <c r="R365" s="62" t="str">
        <f t="shared" si="67"/>
        <v/>
      </c>
      <c r="S365" s="63" t="e">
        <f>VLOOKUP($R365,Herbicide_Data!$A$1:$L$61,9)</f>
        <v>#N/A</v>
      </c>
      <c r="T365" s="62" t="e">
        <f>VLOOKUP($R365,Herbicide_Data!$A$1:$Q$61,13)</f>
        <v>#N/A</v>
      </c>
      <c r="U365" s="16" t="e">
        <f t="shared" si="62"/>
        <v>#N/A</v>
      </c>
      <c r="V365" s="62" t="b">
        <f t="shared" si="68"/>
        <v>0</v>
      </c>
      <c r="W365" s="63" t="e">
        <f>VLOOKUP($V365,Herbicide_Data!$A$1:$L$17,9)</f>
        <v>#N/A</v>
      </c>
      <c r="X365" s="62" t="e">
        <f>VLOOKUP($V365,Herbicide_Data!$A$1:$L$17,12)</f>
        <v>#N/A</v>
      </c>
      <c r="Y365" s="16" t="e">
        <f t="shared" si="63"/>
        <v>#N/A</v>
      </c>
      <c r="Z365" s="15"/>
      <c r="AA365" s="13"/>
      <c r="AB365" s="17"/>
      <c r="AC365" s="3"/>
      <c r="AD365" s="10"/>
      <c r="AE365" s="3"/>
      <c r="AF365" s="10"/>
      <c r="AG365" s="15"/>
      <c r="AH365" s="62" t="str">
        <f t="shared" si="69"/>
        <v/>
      </c>
      <c r="AI365" s="62" t="e">
        <f>VLOOKUP($AH365,Herbicide_Data!$A$1:$Q$61,13)</f>
        <v>#N/A</v>
      </c>
      <c r="AJ365" s="16" t="e">
        <f t="shared" si="64"/>
        <v>#N/A</v>
      </c>
      <c r="AK365" s="3"/>
      <c r="AL365" s="3"/>
      <c r="AM365" s="3"/>
      <c r="AN365" s="3"/>
      <c r="AO365" s="3"/>
      <c r="AP365" s="3"/>
      <c r="AQ365" s="18"/>
      <c r="AR365" s="19"/>
      <c r="AS365" s="19"/>
      <c r="AT365" s="20"/>
      <c r="AU365" s="20"/>
      <c r="AV365" s="21"/>
      <c r="AW365" s="22"/>
      <c r="AX365" s="19"/>
      <c r="AY365" s="19"/>
      <c r="AZ365" s="19"/>
      <c r="BA365" s="23"/>
      <c r="BB365" s="19"/>
      <c r="BC365" s="19"/>
      <c r="BD365" s="19"/>
    </row>
    <row r="366" spans="1:56">
      <c r="A366" s="13"/>
      <c r="B366" s="11"/>
      <c r="C366" s="12"/>
      <c r="D366" s="12">
        <f t="shared" si="59"/>
        <v>2.0833299999999999E-2</v>
      </c>
      <c r="E366" s="10"/>
      <c r="F366" s="10" t="str">
        <f>IFERROR(VLOOKUP(E366,Data!A$2:B$5,2,TRUE), "")</f>
        <v/>
      </c>
      <c r="G366" s="3"/>
      <c r="H366" s="13" t="str">
        <f>IFERROR(VLOOKUP(A366,Customer_Data!$A$1:$P$114,8,TRUE),"")</f>
        <v/>
      </c>
      <c r="I366" s="13"/>
      <c r="J366" s="3" t="str">
        <f t="shared" si="65"/>
        <v/>
      </c>
      <c r="K366" s="62" t="e">
        <f>(VLOOKUP($J366,Herbicide_Data!$A$1:$L$61,9,TRUE))</f>
        <v>#N/A</v>
      </c>
      <c r="L366" s="62" t="e">
        <f>VLOOKUP($J366,Herbicide_Data!$A$1:$L$61,12,TRUE)</f>
        <v>#N/A</v>
      </c>
      <c r="M366" s="16" t="e">
        <f t="shared" si="60"/>
        <v>#N/A</v>
      </c>
      <c r="N366" s="62" t="str">
        <f t="shared" si="66"/>
        <v/>
      </c>
      <c r="O366" s="63" t="e">
        <f>VLOOKUP($N366,Herbicide_Data!$A$1:$L$61,9)</f>
        <v>#N/A</v>
      </c>
      <c r="P366" s="62" t="e">
        <f>VLOOKUP($N366,Herbicide_Data!$A$1:$P$61,13)</f>
        <v>#N/A</v>
      </c>
      <c r="Q366" s="16" t="e">
        <f t="shared" si="61"/>
        <v>#N/A</v>
      </c>
      <c r="R366" s="62" t="str">
        <f t="shared" si="67"/>
        <v/>
      </c>
      <c r="S366" s="63" t="e">
        <f>VLOOKUP($R366,Herbicide_Data!$A$1:$L$61,9)</f>
        <v>#N/A</v>
      </c>
      <c r="T366" s="62" t="e">
        <f>VLOOKUP($R366,Herbicide_Data!$A$1:$Q$61,13)</f>
        <v>#N/A</v>
      </c>
      <c r="U366" s="16" t="e">
        <f t="shared" si="62"/>
        <v>#N/A</v>
      </c>
      <c r="V366" s="62" t="b">
        <f t="shared" si="68"/>
        <v>0</v>
      </c>
      <c r="W366" s="63" t="e">
        <f>VLOOKUP($V366,Herbicide_Data!$A$1:$L$17,9)</f>
        <v>#N/A</v>
      </c>
      <c r="X366" s="62" t="e">
        <f>VLOOKUP($V366,Herbicide_Data!$A$1:$L$17,12)</f>
        <v>#N/A</v>
      </c>
      <c r="Y366" s="16" t="e">
        <f t="shared" si="63"/>
        <v>#N/A</v>
      </c>
      <c r="Z366" s="15"/>
      <c r="AA366" s="13"/>
      <c r="AB366" s="17"/>
      <c r="AC366" s="3"/>
      <c r="AD366" s="10"/>
      <c r="AE366" s="3"/>
      <c r="AF366" s="10"/>
      <c r="AG366" s="15"/>
      <c r="AH366" s="62" t="str">
        <f t="shared" si="69"/>
        <v/>
      </c>
      <c r="AI366" s="62" t="e">
        <f>VLOOKUP($AH366,Herbicide_Data!$A$1:$Q$61,13)</f>
        <v>#N/A</v>
      </c>
      <c r="AJ366" s="16" t="e">
        <f t="shared" si="64"/>
        <v>#N/A</v>
      </c>
      <c r="AK366" s="3"/>
      <c r="AL366" s="3"/>
      <c r="AM366" s="3"/>
      <c r="AN366" s="3"/>
      <c r="AO366" s="3"/>
      <c r="AP366" s="3"/>
      <c r="AQ366" s="18"/>
      <c r="AR366" s="19"/>
      <c r="AS366" s="19"/>
      <c r="AT366" s="20"/>
      <c r="AU366" s="20"/>
      <c r="AV366" s="21"/>
      <c r="AW366" s="22"/>
      <c r="AX366" s="19"/>
      <c r="AY366" s="19"/>
      <c r="AZ366" s="19"/>
      <c r="BA366" s="23"/>
      <c r="BB366" s="19"/>
      <c r="BC366" s="19"/>
      <c r="BD366" s="19"/>
    </row>
    <row r="367" spans="1:56">
      <c r="A367" s="13"/>
      <c r="B367" s="11"/>
      <c r="C367" s="12"/>
      <c r="D367" s="12">
        <f t="shared" si="59"/>
        <v>2.0833299999999999E-2</v>
      </c>
      <c r="E367" s="10"/>
      <c r="F367" s="10" t="str">
        <f>IFERROR(VLOOKUP(E367,Data!A$2:B$5,2,TRUE), "")</f>
        <v/>
      </c>
      <c r="G367" s="3"/>
      <c r="H367" s="13" t="str">
        <f>IFERROR(VLOOKUP(A367,Customer_Data!$A$1:$P$114,8,TRUE),"")</f>
        <v/>
      </c>
      <c r="I367" s="13"/>
      <c r="J367" s="3" t="str">
        <f t="shared" si="65"/>
        <v/>
      </c>
      <c r="K367" s="62" t="e">
        <f>(VLOOKUP($J367,Herbicide_Data!$A$1:$L$61,9,TRUE))</f>
        <v>#N/A</v>
      </c>
      <c r="L367" s="62" t="e">
        <f>VLOOKUP($J367,Herbicide_Data!$A$1:$L$61,12,TRUE)</f>
        <v>#N/A</v>
      </c>
      <c r="M367" s="16" t="e">
        <f t="shared" si="60"/>
        <v>#N/A</v>
      </c>
      <c r="N367" s="62" t="str">
        <f t="shared" si="66"/>
        <v/>
      </c>
      <c r="O367" s="63" t="e">
        <f>VLOOKUP($N367,Herbicide_Data!$A$1:$L$61,9)</f>
        <v>#N/A</v>
      </c>
      <c r="P367" s="62" t="e">
        <f>VLOOKUP($N367,Herbicide_Data!$A$1:$P$61,13)</f>
        <v>#N/A</v>
      </c>
      <c r="Q367" s="16" t="e">
        <f t="shared" si="61"/>
        <v>#N/A</v>
      </c>
      <c r="R367" s="62" t="str">
        <f t="shared" si="67"/>
        <v/>
      </c>
      <c r="S367" s="63" t="e">
        <f>VLOOKUP($R367,Herbicide_Data!$A$1:$L$61,9)</f>
        <v>#N/A</v>
      </c>
      <c r="T367" s="62" t="e">
        <f>VLOOKUP($R367,Herbicide_Data!$A$1:$Q$61,13)</f>
        <v>#N/A</v>
      </c>
      <c r="U367" s="16" t="e">
        <f t="shared" si="62"/>
        <v>#N/A</v>
      </c>
      <c r="V367" s="62" t="b">
        <f t="shared" si="68"/>
        <v>0</v>
      </c>
      <c r="W367" s="63" t="e">
        <f>VLOOKUP($V367,Herbicide_Data!$A$1:$L$17,9)</f>
        <v>#N/A</v>
      </c>
      <c r="X367" s="62" t="e">
        <f>VLOOKUP($V367,Herbicide_Data!$A$1:$L$17,12)</f>
        <v>#N/A</v>
      </c>
      <c r="Y367" s="16" t="e">
        <f t="shared" si="63"/>
        <v>#N/A</v>
      </c>
      <c r="Z367" s="15"/>
      <c r="AA367" s="13"/>
      <c r="AB367" s="17"/>
      <c r="AC367" s="3"/>
      <c r="AD367" s="10"/>
      <c r="AE367" s="3"/>
      <c r="AF367" s="10"/>
      <c r="AG367" s="15"/>
      <c r="AH367" s="62" t="str">
        <f t="shared" si="69"/>
        <v/>
      </c>
      <c r="AI367" s="62" t="e">
        <f>VLOOKUP($AH367,Herbicide_Data!$A$1:$Q$61,13)</f>
        <v>#N/A</v>
      </c>
      <c r="AJ367" s="16" t="e">
        <f t="shared" si="64"/>
        <v>#N/A</v>
      </c>
      <c r="AK367" s="3"/>
      <c r="AL367" s="3"/>
      <c r="AM367" s="3"/>
      <c r="AN367" s="3"/>
      <c r="AO367" s="3"/>
      <c r="AP367" s="3"/>
      <c r="AQ367" s="18"/>
      <c r="AR367" s="19"/>
      <c r="AS367" s="19"/>
      <c r="AT367" s="20"/>
      <c r="AU367" s="20"/>
      <c r="AV367" s="21"/>
      <c r="AW367" s="22"/>
      <c r="AX367" s="19"/>
      <c r="AY367" s="19"/>
      <c r="AZ367" s="19"/>
      <c r="BA367" s="23"/>
      <c r="BB367" s="19"/>
      <c r="BC367" s="19"/>
      <c r="BD367" s="19"/>
    </row>
    <row r="368" spans="1:56">
      <c r="A368" s="13"/>
      <c r="B368" s="11"/>
      <c r="C368" s="12"/>
      <c r="D368" s="12">
        <f t="shared" si="59"/>
        <v>2.0833299999999999E-2</v>
      </c>
      <c r="E368" s="10"/>
      <c r="F368" s="10" t="str">
        <f>IFERROR(VLOOKUP(E368,Data!A$2:B$5,2,TRUE), "")</f>
        <v/>
      </c>
      <c r="G368" s="3"/>
      <c r="H368" s="13" t="str">
        <f>IFERROR(VLOOKUP(A368,Customer_Data!$A$1:$P$114,8,TRUE),"")</f>
        <v/>
      </c>
      <c r="I368" s="13"/>
      <c r="J368" s="3" t="str">
        <f t="shared" si="65"/>
        <v/>
      </c>
      <c r="K368" s="62" t="e">
        <f>(VLOOKUP($J368,Herbicide_Data!$A$1:$L$61,9,TRUE))</f>
        <v>#N/A</v>
      </c>
      <c r="L368" s="62" t="e">
        <f>VLOOKUP($J368,Herbicide_Data!$A$1:$L$61,12,TRUE)</f>
        <v>#N/A</v>
      </c>
      <c r="M368" s="16" t="e">
        <f t="shared" si="60"/>
        <v>#N/A</v>
      </c>
      <c r="N368" s="62" t="str">
        <f t="shared" si="66"/>
        <v/>
      </c>
      <c r="O368" s="63" t="e">
        <f>VLOOKUP($N368,Herbicide_Data!$A$1:$L$61,9)</f>
        <v>#N/A</v>
      </c>
      <c r="P368" s="62" t="e">
        <f>VLOOKUP($N368,Herbicide_Data!$A$1:$P$61,13)</f>
        <v>#N/A</v>
      </c>
      <c r="Q368" s="16" t="e">
        <f t="shared" si="61"/>
        <v>#N/A</v>
      </c>
      <c r="R368" s="62" t="str">
        <f t="shared" si="67"/>
        <v/>
      </c>
      <c r="S368" s="63" t="e">
        <f>VLOOKUP($R368,Herbicide_Data!$A$1:$L$61,9)</f>
        <v>#N/A</v>
      </c>
      <c r="T368" s="62" t="e">
        <f>VLOOKUP($R368,Herbicide_Data!$A$1:$Q$61,13)</f>
        <v>#N/A</v>
      </c>
      <c r="U368" s="16" t="e">
        <f t="shared" si="62"/>
        <v>#N/A</v>
      </c>
      <c r="V368" s="62" t="b">
        <f t="shared" si="68"/>
        <v>0</v>
      </c>
      <c r="W368" s="63" t="e">
        <f>VLOOKUP($V368,Herbicide_Data!$A$1:$L$17,9)</f>
        <v>#N/A</v>
      </c>
      <c r="X368" s="62" t="e">
        <f>VLOOKUP($V368,Herbicide_Data!$A$1:$L$17,12)</f>
        <v>#N/A</v>
      </c>
      <c r="Y368" s="16" t="e">
        <f t="shared" si="63"/>
        <v>#N/A</v>
      </c>
      <c r="Z368" s="15"/>
      <c r="AA368" s="13"/>
      <c r="AB368" s="17"/>
      <c r="AC368" s="3"/>
      <c r="AD368" s="10"/>
      <c r="AE368" s="3"/>
      <c r="AF368" s="10"/>
      <c r="AG368" s="15"/>
      <c r="AH368" s="62" t="str">
        <f t="shared" si="69"/>
        <v/>
      </c>
      <c r="AI368" s="62" t="e">
        <f>VLOOKUP($AH368,Herbicide_Data!$A$1:$Q$61,13)</f>
        <v>#N/A</v>
      </c>
      <c r="AJ368" s="16" t="e">
        <f t="shared" si="64"/>
        <v>#N/A</v>
      </c>
      <c r="AK368" s="3"/>
      <c r="AL368" s="3"/>
      <c r="AM368" s="3"/>
      <c r="AN368" s="3"/>
      <c r="AO368" s="3"/>
      <c r="AP368" s="3"/>
      <c r="AQ368" s="18"/>
      <c r="AR368" s="19"/>
      <c r="AS368" s="19"/>
      <c r="AT368" s="20"/>
      <c r="AU368" s="20"/>
      <c r="AV368" s="21"/>
      <c r="AW368" s="22"/>
      <c r="AX368" s="19"/>
      <c r="AY368" s="19"/>
      <c r="AZ368" s="19"/>
      <c r="BA368" s="23"/>
      <c r="BB368" s="19"/>
      <c r="BC368" s="19"/>
      <c r="BD368" s="19"/>
    </row>
    <row r="369" spans="1:56">
      <c r="A369" s="13"/>
      <c r="B369" s="11"/>
      <c r="C369" s="12"/>
      <c r="D369" s="12">
        <f t="shared" si="59"/>
        <v>2.0833299999999999E-2</v>
      </c>
      <c r="E369" s="10"/>
      <c r="F369" s="10" t="str">
        <f>IFERROR(VLOOKUP(E369,Data!A$2:B$5,2,TRUE), "")</f>
        <v/>
      </c>
      <c r="G369" s="3"/>
      <c r="H369" s="13" t="str">
        <f>IFERROR(VLOOKUP(A369,Customer_Data!$A$1:$P$114,8,TRUE),"")</f>
        <v/>
      </c>
      <c r="I369" s="13"/>
      <c r="J369" s="3" t="str">
        <f t="shared" si="65"/>
        <v/>
      </c>
      <c r="K369" s="62" t="e">
        <f>(VLOOKUP($J369,Herbicide_Data!$A$1:$L$61,9,TRUE))</f>
        <v>#N/A</v>
      </c>
      <c r="L369" s="62" t="e">
        <f>VLOOKUP($J369,Herbicide_Data!$A$1:$L$61,12,TRUE)</f>
        <v>#N/A</v>
      </c>
      <c r="M369" s="16" t="e">
        <f t="shared" si="60"/>
        <v>#N/A</v>
      </c>
      <c r="N369" s="62" t="str">
        <f t="shared" si="66"/>
        <v/>
      </c>
      <c r="O369" s="63" t="e">
        <f>VLOOKUP($N369,Herbicide_Data!$A$1:$L$61,9)</f>
        <v>#N/A</v>
      </c>
      <c r="P369" s="62" t="e">
        <f>VLOOKUP($N369,Herbicide_Data!$A$1:$P$61,13)</f>
        <v>#N/A</v>
      </c>
      <c r="Q369" s="16" t="e">
        <f t="shared" si="61"/>
        <v>#N/A</v>
      </c>
      <c r="R369" s="62" t="str">
        <f t="shared" si="67"/>
        <v/>
      </c>
      <c r="S369" s="63" t="e">
        <f>VLOOKUP($R369,Herbicide_Data!$A$1:$L$61,9)</f>
        <v>#N/A</v>
      </c>
      <c r="T369" s="62" t="e">
        <f>VLOOKUP($R369,Herbicide_Data!$A$1:$Q$61,13)</f>
        <v>#N/A</v>
      </c>
      <c r="U369" s="16" t="e">
        <f t="shared" si="62"/>
        <v>#N/A</v>
      </c>
      <c r="V369" s="62" t="b">
        <f t="shared" si="68"/>
        <v>0</v>
      </c>
      <c r="W369" s="63" t="e">
        <f>VLOOKUP($V369,Herbicide_Data!$A$1:$L$17,9)</f>
        <v>#N/A</v>
      </c>
      <c r="X369" s="62" t="e">
        <f>VLOOKUP($V369,Herbicide_Data!$A$1:$L$17,12)</f>
        <v>#N/A</v>
      </c>
      <c r="Y369" s="16" t="e">
        <f t="shared" si="63"/>
        <v>#N/A</v>
      </c>
      <c r="Z369" s="15"/>
      <c r="AA369" s="13"/>
      <c r="AB369" s="17"/>
      <c r="AC369" s="3"/>
      <c r="AD369" s="10"/>
      <c r="AE369" s="3"/>
      <c r="AF369" s="10"/>
      <c r="AG369" s="15"/>
      <c r="AH369" s="62" t="str">
        <f t="shared" si="69"/>
        <v/>
      </c>
      <c r="AI369" s="62" t="e">
        <f>VLOOKUP($AH369,Herbicide_Data!$A$1:$Q$61,13)</f>
        <v>#N/A</v>
      </c>
      <c r="AJ369" s="16" t="e">
        <f t="shared" si="64"/>
        <v>#N/A</v>
      </c>
      <c r="AK369" s="3"/>
      <c r="AL369" s="3"/>
      <c r="AM369" s="3"/>
      <c r="AN369" s="3"/>
      <c r="AO369" s="3"/>
      <c r="AP369" s="3"/>
      <c r="AQ369" s="18"/>
      <c r="AR369" s="19"/>
      <c r="AS369" s="19"/>
      <c r="AT369" s="20"/>
      <c r="AU369" s="20"/>
      <c r="AV369" s="21"/>
      <c r="AW369" s="22"/>
      <c r="AX369" s="19"/>
      <c r="AY369" s="19"/>
      <c r="AZ369" s="19"/>
      <c r="BA369" s="23"/>
      <c r="BB369" s="19"/>
      <c r="BC369" s="19"/>
      <c r="BD369" s="19"/>
    </row>
    <row r="370" spans="1:56">
      <c r="A370" s="13"/>
      <c r="B370" s="11"/>
      <c r="C370" s="12"/>
      <c r="D370" s="12">
        <f t="shared" si="59"/>
        <v>2.0833299999999999E-2</v>
      </c>
      <c r="E370" s="10"/>
      <c r="F370" s="10" t="str">
        <f>IFERROR(VLOOKUP(E370,Data!A$2:B$5,2,TRUE), "")</f>
        <v/>
      </c>
      <c r="G370" s="3"/>
      <c r="H370" s="13" t="str">
        <f>IFERROR(VLOOKUP(A370,Customer_Data!$A$1:$P$114,8,TRUE),"")</f>
        <v/>
      </c>
      <c r="I370" s="13"/>
      <c r="J370" s="3" t="str">
        <f t="shared" si="65"/>
        <v/>
      </c>
      <c r="K370" s="62" t="e">
        <f>(VLOOKUP($J370,Herbicide_Data!$A$1:$L$61,9,TRUE))</f>
        <v>#N/A</v>
      </c>
      <c r="L370" s="62" t="e">
        <f>VLOOKUP($J370,Herbicide_Data!$A$1:$L$61,12,TRUE)</f>
        <v>#N/A</v>
      </c>
      <c r="M370" s="16" t="e">
        <f t="shared" si="60"/>
        <v>#N/A</v>
      </c>
      <c r="N370" s="62" t="str">
        <f t="shared" si="66"/>
        <v/>
      </c>
      <c r="O370" s="63" t="e">
        <f>VLOOKUP($N370,Herbicide_Data!$A$1:$L$61,9)</f>
        <v>#N/A</v>
      </c>
      <c r="P370" s="62" t="e">
        <f>VLOOKUP($N370,Herbicide_Data!$A$1:$P$61,13)</f>
        <v>#N/A</v>
      </c>
      <c r="Q370" s="16" t="e">
        <f t="shared" si="61"/>
        <v>#N/A</v>
      </c>
      <c r="R370" s="62" t="str">
        <f t="shared" si="67"/>
        <v/>
      </c>
      <c r="S370" s="63" t="e">
        <f>VLOOKUP($R370,Herbicide_Data!$A$1:$L$61,9)</f>
        <v>#N/A</v>
      </c>
      <c r="T370" s="62" t="e">
        <f>VLOOKUP($R370,Herbicide_Data!$A$1:$Q$61,13)</f>
        <v>#N/A</v>
      </c>
      <c r="U370" s="16" t="e">
        <f t="shared" si="62"/>
        <v>#N/A</v>
      </c>
      <c r="V370" s="62" t="b">
        <f t="shared" si="68"/>
        <v>0</v>
      </c>
      <c r="W370" s="63" t="e">
        <f>VLOOKUP($V370,Herbicide_Data!$A$1:$L$17,9)</f>
        <v>#N/A</v>
      </c>
      <c r="X370" s="62" t="e">
        <f>VLOOKUP($V370,Herbicide_Data!$A$1:$L$17,12)</f>
        <v>#N/A</v>
      </c>
      <c r="Y370" s="16" t="e">
        <f t="shared" si="63"/>
        <v>#N/A</v>
      </c>
      <c r="Z370" s="15"/>
      <c r="AA370" s="13"/>
      <c r="AB370" s="17"/>
      <c r="AC370" s="3"/>
      <c r="AD370" s="10"/>
      <c r="AE370" s="3"/>
      <c r="AF370" s="10"/>
      <c r="AG370" s="15"/>
      <c r="AH370" s="62" t="str">
        <f t="shared" si="69"/>
        <v/>
      </c>
      <c r="AI370" s="62" t="e">
        <f>VLOOKUP($AH370,Herbicide_Data!$A$1:$Q$61,13)</f>
        <v>#N/A</v>
      </c>
      <c r="AJ370" s="16" t="e">
        <f t="shared" si="64"/>
        <v>#N/A</v>
      </c>
      <c r="AK370" s="3"/>
      <c r="AL370" s="3"/>
      <c r="AM370" s="3"/>
      <c r="AN370" s="3"/>
      <c r="AO370" s="3"/>
      <c r="AP370" s="3"/>
      <c r="AQ370" s="18"/>
      <c r="AR370" s="19"/>
      <c r="AS370" s="19"/>
      <c r="AT370" s="20"/>
      <c r="AU370" s="20"/>
      <c r="AV370" s="21"/>
      <c r="AW370" s="22"/>
      <c r="AX370" s="19"/>
      <c r="AY370" s="19"/>
      <c r="AZ370" s="19"/>
      <c r="BA370" s="23"/>
      <c r="BB370" s="19"/>
      <c r="BC370" s="19"/>
      <c r="BD370" s="19"/>
    </row>
    <row r="371" spans="1:56">
      <c r="A371" s="13"/>
      <c r="B371" s="11"/>
      <c r="C371" s="12"/>
      <c r="D371" s="12">
        <f t="shared" si="59"/>
        <v>2.0833299999999999E-2</v>
      </c>
      <c r="E371" s="10"/>
      <c r="F371" s="10" t="str">
        <f>IFERROR(VLOOKUP(E371,Data!A$2:B$5,2,TRUE), "")</f>
        <v/>
      </c>
      <c r="G371" s="3"/>
      <c r="H371" s="13" t="str">
        <f>IFERROR(VLOOKUP(A371,Customer_Data!$A$1:$P$114,8,TRUE),"")</f>
        <v/>
      </c>
      <c r="I371" s="13"/>
      <c r="J371" s="3" t="str">
        <f t="shared" si="65"/>
        <v/>
      </c>
      <c r="K371" s="62" t="e">
        <f>(VLOOKUP($J371,Herbicide_Data!$A$1:$L$61,9,TRUE))</f>
        <v>#N/A</v>
      </c>
      <c r="L371" s="62" t="e">
        <f>VLOOKUP($J371,Herbicide_Data!$A$1:$L$61,12,TRUE)</f>
        <v>#N/A</v>
      </c>
      <c r="M371" s="16" t="e">
        <f t="shared" si="60"/>
        <v>#N/A</v>
      </c>
      <c r="N371" s="62" t="str">
        <f t="shared" si="66"/>
        <v/>
      </c>
      <c r="O371" s="63" t="e">
        <f>VLOOKUP($N371,Herbicide_Data!$A$1:$L$61,9)</f>
        <v>#N/A</v>
      </c>
      <c r="P371" s="62" t="e">
        <f>VLOOKUP($N371,Herbicide_Data!$A$1:$P$61,13)</f>
        <v>#N/A</v>
      </c>
      <c r="Q371" s="16" t="e">
        <f t="shared" si="61"/>
        <v>#N/A</v>
      </c>
      <c r="R371" s="62" t="str">
        <f t="shared" si="67"/>
        <v/>
      </c>
      <c r="S371" s="63" t="e">
        <f>VLOOKUP($R371,Herbicide_Data!$A$1:$L$61,9)</f>
        <v>#N/A</v>
      </c>
      <c r="T371" s="62" t="e">
        <f>VLOOKUP($R371,Herbicide_Data!$A$1:$Q$61,13)</f>
        <v>#N/A</v>
      </c>
      <c r="U371" s="16" t="e">
        <f t="shared" si="62"/>
        <v>#N/A</v>
      </c>
      <c r="V371" s="62" t="b">
        <f t="shared" si="68"/>
        <v>0</v>
      </c>
      <c r="W371" s="63" t="e">
        <f>VLOOKUP($V371,Herbicide_Data!$A$1:$L$17,9)</f>
        <v>#N/A</v>
      </c>
      <c r="X371" s="62" t="e">
        <f>VLOOKUP($V371,Herbicide_Data!$A$1:$L$17,12)</f>
        <v>#N/A</v>
      </c>
      <c r="Y371" s="16" t="e">
        <f t="shared" si="63"/>
        <v>#N/A</v>
      </c>
      <c r="Z371" s="15"/>
      <c r="AA371" s="13"/>
      <c r="AB371" s="17"/>
      <c r="AC371" s="3"/>
      <c r="AD371" s="10"/>
      <c r="AE371" s="3"/>
      <c r="AF371" s="10"/>
      <c r="AG371" s="15"/>
      <c r="AH371" s="62" t="str">
        <f t="shared" si="69"/>
        <v/>
      </c>
      <c r="AI371" s="62" t="e">
        <f>VLOOKUP($AH371,Herbicide_Data!$A$1:$Q$61,13)</f>
        <v>#N/A</v>
      </c>
      <c r="AJ371" s="16" t="e">
        <f t="shared" si="64"/>
        <v>#N/A</v>
      </c>
      <c r="AK371" s="3"/>
      <c r="AL371" s="3"/>
      <c r="AM371" s="3"/>
      <c r="AN371" s="3"/>
      <c r="AO371" s="3"/>
      <c r="AP371" s="3"/>
      <c r="AQ371" s="18"/>
      <c r="AR371" s="19"/>
      <c r="AS371" s="19"/>
      <c r="AT371" s="20"/>
      <c r="AU371" s="20"/>
      <c r="AV371" s="21"/>
      <c r="AW371" s="22"/>
      <c r="AX371" s="19"/>
      <c r="AY371" s="19"/>
      <c r="AZ371" s="19"/>
      <c r="BA371" s="23"/>
      <c r="BB371" s="19"/>
      <c r="BC371" s="19"/>
      <c r="BD371" s="19"/>
    </row>
    <row r="372" spans="1:56">
      <c r="A372" s="13"/>
      <c r="B372" s="11"/>
      <c r="C372" s="12"/>
      <c r="D372" s="12">
        <f t="shared" si="59"/>
        <v>2.0833299999999999E-2</v>
      </c>
      <c r="E372" s="10"/>
      <c r="F372" s="10" t="str">
        <f>IFERROR(VLOOKUP(E372,Data!A$2:B$5,2,TRUE), "")</f>
        <v/>
      </c>
      <c r="G372" s="3"/>
      <c r="H372" s="13" t="str">
        <f>IFERROR(VLOOKUP(A372,Customer_Data!$A$1:$P$114,8,TRUE),"")</f>
        <v/>
      </c>
      <c r="I372" s="13"/>
      <c r="J372" s="3" t="str">
        <f t="shared" si="65"/>
        <v/>
      </c>
      <c r="K372" s="62" t="e">
        <f>(VLOOKUP($J372,Herbicide_Data!$A$1:$L$61,9,TRUE))</f>
        <v>#N/A</v>
      </c>
      <c r="L372" s="62" t="e">
        <f>VLOOKUP($J372,Herbicide_Data!$A$1:$L$61,12,TRUE)</f>
        <v>#N/A</v>
      </c>
      <c r="M372" s="16" t="e">
        <f t="shared" si="60"/>
        <v>#N/A</v>
      </c>
      <c r="N372" s="62" t="str">
        <f t="shared" si="66"/>
        <v/>
      </c>
      <c r="O372" s="63" t="e">
        <f>VLOOKUP($N372,Herbicide_Data!$A$1:$L$61,9)</f>
        <v>#N/A</v>
      </c>
      <c r="P372" s="62" t="e">
        <f>VLOOKUP($N372,Herbicide_Data!$A$1:$P$61,13)</f>
        <v>#N/A</v>
      </c>
      <c r="Q372" s="16" t="e">
        <f t="shared" si="61"/>
        <v>#N/A</v>
      </c>
      <c r="R372" s="62" t="str">
        <f t="shared" si="67"/>
        <v/>
      </c>
      <c r="S372" s="63" t="e">
        <f>VLOOKUP($R372,Herbicide_Data!$A$1:$L$61,9)</f>
        <v>#N/A</v>
      </c>
      <c r="T372" s="62" t="e">
        <f>VLOOKUP($R372,Herbicide_Data!$A$1:$Q$61,13)</f>
        <v>#N/A</v>
      </c>
      <c r="U372" s="16" t="e">
        <f t="shared" si="62"/>
        <v>#N/A</v>
      </c>
      <c r="V372" s="62" t="b">
        <f t="shared" si="68"/>
        <v>0</v>
      </c>
      <c r="W372" s="63" t="e">
        <f>VLOOKUP($V372,Herbicide_Data!$A$1:$L$17,9)</f>
        <v>#N/A</v>
      </c>
      <c r="X372" s="62" t="e">
        <f>VLOOKUP($V372,Herbicide_Data!$A$1:$L$17,12)</f>
        <v>#N/A</v>
      </c>
      <c r="Y372" s="16" t="e">
        <f t="shared" si="63"/>
        <v>#N/A</v>
      </c>
      <c r="Z372" s="15"/>
      <c r="AA372" s="13"/>
      <c r="AB372" s="17"/>
      <c r="AC372" s="3"/>
      <c r="AD372" s="10"/>
      <c r="AE372" s="3"/>
      <c r="AF372" s="10"/>
      <c r="AG372" s="15"/>
      <c r="AH372" s="62" t="str">
        <f t="shared" si="69"/>
        <v/>
      </c>
      <c r="AI372" s="62" t="e">
        <f>VLOOKUP($AH372,Herbicide_Data!$A$1:$Q$61,13)</f>
        <v>#N/A</v>
      </c>
      <c r="AJ372" s="16" t="e">
        <f t="shared" si="64"/>
        <v>#N/A</v>
      </c>
      <c r="AK372" s="3"/>
      <c r="AL372" s="3"/>
      <c r="AM372" s="3"/>
      <c r="AN372" s="3"/>
      <c r="AO372" s="3"/>
      <c r="AP372" s="3"/>
      <c r="AQ372" s="18"/>
      <c r="AR372" s="19"/>
      <c r="AS372" s="19"/>
      <c r="AT372" s="20"/>
      <c r="AU372" s="20"/>
      <c r="AV372" s="21"/>
      <c r="AW372" s="22"/>
      <c r="AX372" s="19"/>
      <c r="AY372" s="19"/>
      <c r="AZ372" s="19"/>
      <c r="BA372" s="23"/>
      <c r="BB372" s="19"/>
      <c r="BC372" s="19"/>
      <c r="BD372" s="19"/>
    </row>
    <row r="373" spans="1:56">
      <c r="A373" s="13"/>
      <c r="B373" s="11"/>
      <c r="C373" s="12"/>
      <c r="D373" s="12">
        <f t="shared" si="59"/>
        <v>2.0833299999999999E-2</v>
      </c>
      <c r="E373" s="10"/>
      <c r="F373" s="10" t="str">
        <f>IFERROR(VLOOKUP(E373,Data!A$2:B$5,2,TRUE), "")</f>
        <v/>
      </c>
      <c r="G373" s="3"/>
      <c r="H373" s="13" t="str">
        <f>IFERROR(VLOOKUP(A373,Customer_Data!$A$1:$P$114,8,TRUE),"")</f>
        <v/>
      </c>
      <c r="I373" s="13"/>
      <c r="J373" s="3" t="str">
        <f t="shared" si="65"/>
        <v/>
      </c>
      <c r="K373" s="62" t="e">
        <f>(VLOOKUP($J373,Herbicide_Data!$A$1:$L$61,9,TRUE))</f>
        <v>#N/A</v>
      </c>
      <c r="L373" s="62" t="e">
        <f>VLOOKUP($J373,Herbicide_Data!$A$1:$L$61,12,TRUE)</f>
        <v>#N/A</v>
      </c>
      <c r="M373" s="16" t="e">
        <f t="shared" si="60"/>
        <v>#N/A</v>
      </c>
      <c r="N373" s="62" t="str">
        <f t="shared" si="66"/>
        <v/>
      </c>
      <c r="O373" s="63" t="e">
        <f>VLOOKUP($N373,Herbicide_Data!$A$1:$L$61,9)</f>
        <v>#N/A</v>
      </c>
      <c r="P373" s="62" t="e">
        <f>VLOOKUP($N373,Herbicide_Data!$A$1:$P$61,13)</f>
        <v>#N/A</v>
      </c>
      <c r="Q373" s="16" t="e">
        <f t="shared" si="61"/>
        <v>#N/A</v>
      </c>
      <c r="R373" s="62" t="str">
        <f t="shared" si="67"/>
        <v/>
      </c>
      <c r="S373" s="63" t="e">
        <f>VLOOKUP($R373,Herbicide_Data!$A$1:$L$61,9)</f>
        <v>#N/A</v>
      </c>
      <c r="T373" s="62" t="e">
        <f>VLOOKUP($R373,Herbicide_Data!$A$1:$Q$61,13)</f>
        <v>#N/A</v>
      </c>
      <c r="U373" s="16" t="e">
        <f t="shared" si="62"/>
        <v>#N/A</v>
      </c>
      <c r="V373" s="62" t="b">
        <f t="shared" si="68"/>
        <v>0</v>
      </c>
      <c r="W373" s="63" t="e">
        <f>VLOOKUP($V373,Herbicide_Data!$A$1:$L$17,9)</f>
        <v>#N/A</v>
      </c>
      <c r="X373" s="62" t="e">
        <f>VLOOKUP($V373,Herbicide_Data!$A$1:$L$17,12)</f>
        <v>#N/A</v>
      </c>
      <c r="Y373" s="16" t="e">
        <f t="shared" si="63"/>
        <v>#N/A</v>
      </c>
      <c r="Z373" s="15"/>
      <c r="AA373" s="13"/>
      <c r="AB373" s="17"/>
      <c r="AC373" s="3"/>
      <c r="AD373" s="10"/>
      <c r="AE373" s="3"/>
      <c r="AF373" s="10"/>
      <c r="AG373" s="15"/>
      <c r="AH373" s="62" t="str">
        <f t="shared" si="69"/>
        <v/>
      </c>
      <c r="AI373" s="62" t="e">
        <f>VLOOKUP($AH373,Herbicide_Data!$A$1:$Q$61,13)</f>
        <v>#N/A</v>
      </c>
      <c r="AJ373" s="16" t="e">
        <f t="shared" si="64"/>
        <v>#N/A</v>
      </c>
      <c r="AK373" s="3"/>
      <c r="AL373" s="3"/>
      <c r="AM373" s="3"/>
      <c r="AN373" s="3"/>
      <c r="AO373" s="3"/>
      <c r="AP373" s="3"/>
      <c r="AQ373" s="18"/>
      <c r="AR373" s="19"/>
      <c r="AS373" s="19"/>
      <c r="AT373" s="20"/>
      <c r="AU373" s="20"/>
      <c r="AV373" s="21"/>
      <c r="AW373" s="22"/>
      <c r="AX373" s="19"/>
      <c r="AY373" s="19"/>
      <c r="AZ373" s="19"/>
      <c r="BA373" s="23"/>
      <c r="BB373" s="19"/>
      <c r="BC373" s="19"/>
      <c r="BD373" s="19"/>
    </row>
    <row r="374" spans="1:56">
      <c r="A374" s="13"/>
      <c r="B374" s="11"/>
      <c r="C374" s="12"/>
      <c r="D374" s="12">
        <f t="shared" si="59"/>
        <v>2.0833299999999999E-2</v>
      </c>
      <c r="E374" s="10"/>
      <c r="F374" s="10" t="str">
        <f>IFERROR(VLOOKUP(E374,Data!A$2:B$5,2,TRUE), "")</f>
        <v/>
      </c>
      <c r="G374" s="3"/>
      <c r="H374" s="13" t="str">
        <f>IFERROR(VLOOKUP(A374,Customer_Data!$A$1:$P$114,8,TRUE),"")</f>
        <v/>
      </c>
      <c r="I374" s="13"/>
      <c r="J374" s="3" t="str">
        <f t="shared" si="65"/>
        <v/>
      </c>
      <c r="K374" s="62" t="e">
        <f>(VLOOKUP($J374,Herbicide_Data!$A$1:$L$61,9,TRUE))</f>
        <v>#N/A</v>
      </c>
      <c r="L374" s="62" t="e">
        <f>VLOOKUP($J374,Herbicide_Data!$A$1:$L$61,12,TRUE)</f>
        <v>#N/A</v>
      </c>
      <c r="M374" s="16" t="e">
        <f t="shared" si="60"/>
        <v>#N/A</v>
      </c>
      <c r="N374" s="62" t="str">
        <f t="shared" si="66"/>
        <v/>
      </c>
      <c r="O374" s="63" t="e">
        <f>VLOOKUP($N374,Herbicide_Data!$A$1:$L$61,9)</f>
        <v>#N/A</v>
      </c>
      <c r="P374" s="62" t="e">
        <f>VLOOKUP($N374,Herbicide_Data!$A$1:$P$61,13)</f>
        <v>#N/A</v>
      </c>
      <c r="Q374" s="16" t="e">
        <f t="shared" si="61"/>
        <v>#N/A</v>
      </c>
      <c r="R374" s="62" t="str">
        <f t="shared" si="67"/>
        <v/>
      </c>
      <c r="S374" s="63" t="e">
        <f>VLOOKUP($R374,Herbicide_Data!$A$1:$L$61,9)</f>
        <v>#N/A</v>
      </c>
      <c r="T374" s="62" t="e">
        <f>VLOOKUP($R374,Herbicide_Data!$A$1:$Q$61,13)</f>
        <v>#N/A</v>
      </c>
      <c r="U374" s="16" t="e">
        <f t="shared" si="62"/>
        <v>#N/A</v>
      </c>
      <c r="V374" s="62" t="b">
        <f t="shared" si="68"/>
        <v>0</v>
      </c>
      <c r="W374" s="63" t="e">
        <f>VLOOKUP($V374,Herbicide_Data!$A$1:$L$17,9)</f>
        <v>#N/A</v>
      </c>
      <c r="X374" s="62" t="e">
        <f>VLOOKUP($V374,Herbicide_Data!$A$1:$L$17,12)</f>
        <v>#N/A</v>
      </c>
      <c r="Y374" s="16" t="e">
        <f t="shared" si="63"/>
        <v>#N/A</v>
      </c>
      <c r="Z374" s="15"/>
      <c r="AA374" s="13"/>
      <c r="AB374" s="17"/>
      <c r="AC374" s="3"/>
      <c r="AD374" s="10"/>
      <c r="AE374" s="3"/>
      <c r="AF374" s="10"/>
      <c r="AG374" s="15"/>
      <c r="AH374" s="62" t="str">
        <f t="shared" si="69"/>
        <v/>
      </c>
      <c r="AI374" s="62" t="e">
        <f>VLOOKUP($AH374,Herbicide_Data!$A$1:$Q$61,13)</f>
        <v>#N/A</v>
      </c>
      <c r="AJ374" s="16" t="e">
        <f t="shared" si="64"/>
        <v>#N/A</v>
      </c>
      <c r="AK374" s="3"/>
      <c r="AL374" s="3"/>
      <c r="AM374" s="3"/>
      <c r="AN374" s="3"/>
      <c r="AO374" s="3"/>
      <c r="AP374" s="3"/>
      <c r="AQ374" s="18"/>
      <c r="AR374" s="19"/>
      <c r="AS374" s="19"/>
      <c r="AT374" s="20"/>
      <c r="AU374" s="20"/>
      <c r="AV374" s="21"/>
      <c r="AW374" s="22"/>
      <c r="AX374" s="19"/>
      <c r="AY374" s="19"/>
      <c r="AZ374" s="19"/>
      <c r="BA374" s="23"/>
      <c r="BB374" s="19"/>
      <c r="BC374" s="19"/>
      <c r="BD374" s="19"/>
    </row>
    <row r="375" spans="1:56">
      <c r="A375" s="13"/>
      <c r="B375" s="11"/>
      <c r="C375" s="12"/>
      <c r="D375" s="12">
        <f t="shared" si="59"/>
        <v>2.0833299999999999E-2</v>
      </c>
      <c r="E375" s="10"/>
      <c r="F375" s="10" t="str">
        <f>IFERROR(VLOOKUP(E375,Data!A$2:B$5,2,TRUE), "")</f>
        <v/>
      </c>
      <c r="G375" s="3"/>
      <c r="H375" s="13" t="str">
        <f>IFERROR(VLOOKUP(A375,Customer_Data!$A$1:$P$114,8,TRUE),"")</f>
        <v/>
      </c>
      <c r="I375" s="13"/>
      <c r="J375" s="3" t="str">
        <f t="shared" si="65"/>
        <v/>
      </c>
      <c r="K375" s="62" t="e">
        <f>(VLOOKUP($J375,Herbicide_Data!$A$1:$L$61,9,TRUE))</f>
        <v>#N/A</v>
      </c>
      <c r="L375" s="62" t="e">
        <f>VLOOKUP($J375,Herbicide_Data!$A$1:$L$61,12,TRUE)</f>
        <v>#N/A</v>
      </c>
      <c r="M375" s="16" t="e">
        <f t="shared" si="60"/>
        <v>#N/A</v>
      </c>
      <c r="N375" s="62" t="str">
        <f t="shared" si="66"/>
        <v/>
      </c>
      <c r="O375" s="63" t="e">
        <f>VLOOKUP($N375,Herbicide_Data!$A$1:$L$61,9)</f>
        <v>#N/A</v>
      </c>
      <c r="P375" s="62" t="e">
        <f>VLOOKUP($N375,Herbicide_Data!$A$1:$P$61,13)</f>
        <v>#N/A</v>
      </c>
      <c r="Q375" s="16" t="e">
        <f t="shared" si="61"/>
        <v>#N/A</v>
      </c>
      <c r="R375" s="62" t="str">
        <f t="shared" si="67"/>
        <v/>
      </c>
      <c r="S375" s="63" t="e">
        <f>VLOOKUP($R375,Herbicide_Data!$A$1:$L$61,9)</f>
        <v>#N/A</v>
      </c>
      <c r="T375" s="62" t="e">
        <f>VLOOKUP($R375,Herbicide_Data!$A$1:$Q$61,13)</f>
        <v>#N/A</v>
      </c>
      <c r="U375" s="16" t="e">
        <f t="shared" si="62"/>
        <v>#N/A</v>
      </c>
      <c r="V375" s="62" t="b">
        <f t="shared" si="68"/>
        <v>0</v>
      </c>
      <c r="W375" s="63" t="e">
        <f>VLOOKUP($V375,Herbicide_Data!$A$1:$L$17,9)</f>
        <v>#N/A</v>
      </c>
      <c r="X375" s="62" t="e">
        <f>VLOOKUP($V375,Herbicide_Data!$A$1:$L$17,12)</f>
        <v>#N/A</v>
      </c>
      <c r="Y375" s="16" t="e">
        <f t="shared" si="63"/>
        <v>#N/A</v>
      </c>
      <c r="Z375" s="15"/>
      <c r="AA375" s="13"/>
      <c r="AB375" s="17"/>
      <c r="AC375" s="3"/>
      <c r="AD375" s="10"/>
      <c r="AE375" s="3"/>
      <c r="AF375" s="10"/>
      <c r="AG375" s="15"/>
      <c r="AH375" s="62" t="str">
        <f t="shared" si="69"/>
        <v/>
      </c>
      <c r="AI375" s="62" t="e">
        <f>VLOOKUP($AH375,Herbicide_Data!$A$1:$Q$61,13)</f>
        <v>#N/A</v>
      </c>
      <c r="AJ375" s="16" t="e">
        <f t="shared" si="64"/>
        <v>#N/A</v>
      </c>
      <c r="AK375" s="3"/>
      <c r="AL375" s="3"/>
      <c r="AM375" s="3"/>
      <c r="AN375" s="3"/>
      <c r="AO375" s="3"/>
      <c r="AP375" s="3"/>
      <c r="AQ375" s="18"/>
      <c r="AR375" s="19"/>
      <c r="AS375" s="19"/>
      <c r="AT375" s="20"/>
      <c r="AU375" s="20"/>
      <c r="AV375" s="21"/>
      <c r="AW375" s="22"/>
      <c r="AX375" s="19"/>
      <c r="AY375" s="19"/>
      <c r="AZ375" s="19"/>
      <c r="BA375" s="23"/>
      <c r="BB375" s="19"/>
      <c r="BC375" s="19"/>
      <c r="BD375" s="19"/>
    </row>
    <row r="376" spans="1:56">
      <c r="A376" s="13"/>
      <c r="B376" s="11"/>
      <c r="C376" s="12"/>
      <c r="D376" s="12">
        <f t="shared" si="59"/>
        <v>2.0833299999999999E-2</v>
      </c>
      <c r="E376" s="10"/>
      <c r="F376" s="10" t="str">
        <f>IFERROR(VLOOKUP(E376,Data!A$2:B$5,2,TRUE), "")</f>
        <v/>
      </c>
      <c r="G376" s="3"/>
      <c r="H376" s="13" t="str">
        <f>IFERROR(VLOOKUP(A376,Customer_Data!$A$1:$P$114,8,TRUE),"")</f>
        <v/>
      </c>
      <c r="I376" s="13"/>
      <c r="J376" s="3" t="str">
        <f t="shared" si="65"/>
        <v/>
      </c>
      <c r="K376" s="62" t="e">
        <f>(VLOOKUP($J376,Herbicide_Data!$A$1:$L$61,9,TRUE))</f>
        <v>#N/A</v>
      </c>
      <c r="L376" s="62" t="e">
        <f>VLOOKUP($J376,Herbicide_Data!$A$1:$L$61,12,TRUE)</f>
        <v>#N/A</v>
      </c>
      <c r="M376" s="16" t="e">
        <f t="shared" si="60"/>
        <v>#N/A</v>
      </c>
      <c r="N376" s="62" t="str">
        <f t="shared" si="66"/>
        <v/>
      </c>
      <c r="O376" s="63" t="e">
        <f>VLOOKUP($N376,Herbicide_Data!$A$1:$L$61,9)</f>
        <v>#N/A</v>
      </c>
      <c r="P376" s="62" t="e">
        <f>VLOOKUP($N376,Herbicide_Data!$A$1:$P$61,13)</f>
        <v>#N/A</v>
      </c>
      <c r="Q376" s="16" t="e">
        <f t="shared" si="61"/>
        <v>#N/A</v>
      </c>
      <c r="R376" s="62" t="str">
        <f t="shared" si="67"/>
        <v/>
      </c>
      <c r="S376" s="63" t="e">
        <f>VLOOKUP($R376,Herbicide_Data!$A$1:$L$61,9)</f>
        <v>#N/A</v>
      </c>
      <c r="T376" s="62" t="e">
        <f>VLOOKUP($R376,Herbicide_Data!$A$1:$Q$61,13)</f>
        <v>#N/A</v>
      </c>
      <c r="U376" s="16" t="e">
        <f t="shared" si="62"/>
        <v>#N/A</v>
      </c>
      <c r="V376" s="62" t="b">
        <f t="shared" si="68"/>
        <v>0</v>
      </c>
      <c r="W376" s="63" t="e">
        <f>VLOOKUP($V376,Herbicide_Data!$A$1:$L$17,9)</f>
        <v>#N/A</v>
      </c>
      <c r="X376" s="62" t="e">
        <f>VLOOKUP($V376,Herbicide_Data!$A$1:$L$17,12)</f>
        <v>#N/A</v>
      </c>
      <c r="Y376" s="16" t="e">
        <f t="shared" si="63"/>
        <v>#N/A</v>
      </c>
      <c r="Z376" s="15"/>
      <c r="AA376" s="13"/>
      <c r="AB376" s="17"/>
      <c r="AC376" s="3"/>
      <c r="AD376" s="10"/>
      <c r="AE376" s="3"/>
      <c r="AF376" s="10"/>
      <c r="AG376" s="15"/>
      <c r="AH376" s="62" t="str">
        <f t="shared" si="69"/>
        <v/>
      </c>
      <c r="AI376" s="62" t="e">
        <f>VLOOKUP($AH376,Herbicide_Data!$A$1:$Q$61,13)</f>
        <v>#N/A</v>
      </c>
      <c r="AJ376" s="16" t="e">
        <f t="shared" si="64"/>
        <v>#N/A</v>
      </c>
      <c r="AK376" s="3"/>
      <c r="AL376" s="3"/>
      <c r="AM376" s="3"/>
      <c r="AN376" s="3"/>
      <c r="AO376" s="3"/>
      <c r="AP376" s="3"/>
      <c r="AQ376" s="18"/>
      <c r="AR376" s="19"/>
      <c r="AS376" s="19"/>
      <c r="AT376" s="20"/>
      <c r="AU376" s="20"/>
      <c r="AV376" s="21"/>
      <c r="AW376" s="22"/>
      <c r="AX376" s="19"/>
      <c r="AY376" s="19"/>
      <c r="AZ376" s="19"/>
      <c r="BA376" s="23"/>
      <c r="BB376" s="19"/>
      <c r="BC376" s="19"/>
      <c r="BD376" s="19"/>
    </row>
    <row r="377" spans="1:56">
      <c r="A377" s="13"/>
      <c r="B377" s="11"/>
      <c r="C377" s="12"/>
      <c r="D377" s="12">
        <f t="shared" si="59"/>
        <v>2.0833299999999999E-2</v>
      </c>
      <c r="E377" s="10"/>
      <c r="F377" s="10" t="str">
        <f>IFERROR(VLOOKUP(E377,Data!A$2:B$5,2,TRUE), "")</f>
        <v/>
      </c>
      <c r="G377" s="3"/>
      <c r="H377" s="13" t="str">
        <f>IFERROR(VLOOKUP(A377,Customer_Data!$A$1:$P$114,8,TRUE),"")</f>
        <v/>
      </c>
      <c r="I377" s="13"/>
      <c r="J377" s="3" t="str">
        <f t="shared" si="65"/>
        <v/>
      </c>
      <c r="K377" s="62" t="e">
        <f>(VLOOKUP($J377,Herbicide_Data!$A$1:$L$61,9,TRUE))</f>
        <v>#N/A</v>
      </c>
      <c r="L377" s="62" t="e">
        <f>VLOOKUP($J377,Herbicide_Data!$A$1:$L$61,12,TRUE)</f>
        <v>#N/A</v>
      </c>
      <c r="M377" s="16" t="e">
        <f t="shared" si="60"/>
        <v>#N/A</v>
      </c>
      <c r="N377" s="62" t="str">
        <f t="shared" si="66"/>
        <v/>
      </c>
      <c r="O377" s="63" t="e">
        <f>VLOOKUP($N377,Herbicide_Data!$A$1:$L$61,9)</f>
        <v>#N/A</v>
      </c>
      <c r="P377" s="62" t="e">
        <f>VLOOKUP($N377,Herbicide_Data!$A$1:$P$61,13)</f>
        <v>#N/A</v>
      </c>
      <c r="Q377" s="16" t="e">
        <f t="shared" si="61"/>
        <v>#N/A</v>
      </c>
      <c r="R377" s="62" t="str">
        <f t="shared" si="67"/>
        <v/>
      </c>
      <c r="S377" s="63" t="e">
        <f>VLOOKUP($R377,Herbicide_Data!$A$1:$L$61,9)</f>
        <v>#N/A</v>
      </c>
      <c r="T377" s="62" t="e">
        <f>VLOOKUP($R377,Herbicide_Data!$A$1:$Q$61,13)</f>
        <v>#N/A</v>
      </c>
      <c r="U377" s="16" t="e">
        <f t="shared" si="62"/>
        <v>#N/A</v>
      </c>
      <c r="V377" s="62" t="b">
        <f t="shared" si="68"/>
        <v>0</v>
      </c>
      <c r="W377" s="63" t="e">
        <f>VLOOKUP($V377,Herbicide_Data!$A$1:$L$17,9)</f>
        <v>#N/A</v>
      </c>
      <c r="X377" s="62" t="e">
        <f>VLOOKUP($V377,Herbicide_Data!$A$1:$L$17,12)</f>
        <v>#N/A</v>
      </c>
      <c r="Y377" s="16" t="e">
        <f t="shared" si="63"/>
        <v>#N/A</v>
      </c>
      <c r="Z377" s="15"/>
      <c r="AA377" s="13"/>
      <c r="AB377" s="17"/>
      <c r="AC377" s="3"/>
      <c r="AD377" s="10"/>
      <c r="AE377" s="3"/>
      <c r="AF377" s="10"/>
      <c r="AG377" s="15"/>
      <c r="AH377" s="62" t="str">
        <f t="shared" si="69"/>
        <v/>
      </c>
      <c r="AI377" s="62" t="e">
        <f>VLOOKUP($AH377,Herbicide_Data!$A$1:$Q$61,13)</f>
        <v>#N/A</v>
      </c>
      <c r="AJ377" s="16" t="e">
        <f t="shared" si="64"/>
        <v>#N/A</v>
      </c>
      <c r="AK377" s="3"/>
      <c r="AL377" s="3"/>
      <c r="AM377" s="3"/>
      <c r="AN377" s="3"/>
      <c r="AO377" s="3"/>
      <c r="AP377" s="3"/>
      <c r="AQ377" s="18"/>
      <c r="AR377" s="19"/>
      <c r="AS377" s="19"/>
      <c r="AT377" s="20"/>
      <c r="AU377" s="20"/>
      <c r="AV377" s="21"/>
      <c r="AW377" s="22"/>
      <c r="AX377" s="19"/>
      <c r="AY377" s="19"/>
      <c r="AZ377" s="19"/>
      <c r="BA377" s="23"/>
      <c r="BB377" s="19"/>
      <c r="BC377" s="19"/>
      <c r="BD377" s="19"/>
    </row>
    <row r="378" spans="1:56">
      <c r="A378" s="13"/>
      <c r="B378" s="11"/>
      <c r="C378" s="12"/>
      <c r="D378" s="12">
        <f t="shared" si="59"/>
        <v>2.0833299999999999E-2</v>
      </c>
      <c r="E378" s="10"/>
      <c r="F378" s="10" t="str">
        <f>IFERROR(VLOOKUP(E378,Data!A$2:B$5,2,TRUE), "")</f>
        <v/>
      </c>
      <c r="G378" s="3"/>
      <c r="H378" s="13" t="str">
        <f>IFERROR(VLOOKUP(A378,Customer_Data!$A$1:$P$114,8,TRUE),"")</f>
        <v/>
      </c>
      <c r="I378" s="13"/>
      <c r="J378" s="3" t="str">
        <f t="shared" si="65"/>
        <v/>
      </c>
      <c r="K378" s="62" t="e">
        <f>(VLOOKUP($J378,Herbicide_Data!$A$1:$L$61,9,TRUE))</f>
        <v>#N/A</v>
      </c>
      <c r="L378" s="62" t="e">
        <f>VLOOKUP($J378,Herbicide_Data!$A$1:$L$61,12,TRUE)</f>
        <v>#N/A</v>
      </c>
      <c r="M378" s="16" t="e">
        <f t="shared" si="60"/>
        <v>#N/A</v>
      </c>
      <c r="N378" s="62" t="str">
        <f t="shared" si="66"/>
        <v/>
      </c>
      <c r="O378" s="63" t="e">
        <f>VLOOKUP($N378,Herbicide_Data!$A$1:$L$61,9)</f>
        <v>#N/A</v>
      </c>
      <c r="P378" s="62" t="e">
        <f>VLOOKUP($N378,Herbicide_Data!$A$1:$P$61,13)</f>
        <v>#N/A</v>
      </c>
      <c r="Q378" s="16" t="e">
        <f t="shared" si="61"/>
        <v>#N/A</v>
      </c>
      <c r="R378" s="62" t="str">
        <f t="shared" si="67"/>
        <v/>
      </c>
      <c r="S378" s="63" t="e">
        <f>VLOOKUP($R378,Herbicide_Data!$A$1:$L$61,9)</f>
        <v>#N/A</v>
      </c>
      <c r="T378" s="62" t="e">
        <f>VLOOKUP($R378,Herbicide_Data!$A$1:$Q$61,13)</f>
        <v>#N/A</v>
      </c>
      <c r="U378" s="16" t="e">
        <f t="shared" si="62"/>
        <v>#N/A</v>
      </c>
      <c r="V378" s="62" t="b">
        <f t="shared" si="68"/>
        <v>0</v>
      </c>
      <c r="W378" s="63" t="e">
        <f>VLOOKUP($V378,Herbicide_Data!$A$1:$L$17,9)</f>
        <v>#N/A</v>
      </c>
      <c r="X378" s="62" t="e">
        <f>VLOOKUP($V378,Herbicide_Data!$A$1:$L$17,12)</f>
        <v>#N/A</v>
      </c>
      <c r="Y378" s="16" t="e">
        <f t="shared" si="63"/>
        <v>#N/A</v>
      </c>
      <c r="Z378" s="15"/>
      <c r="AA378" s="13"/>
      <c r="AB378" s="17"/>
      <c r="AC378" s="3"/>
      <c r="AD378" s="10"/>
      <c r="AE378" s="3"/>
      <c r="AF378" s="10"/>
      <c r="AG378" s="15"/>
      <c r="AH378" s="62" t="str">
        <f t="shared" si="69"/>
        <v/>
      </c>
      <c r="AI378" s="62" t="e">
        <f>VLOOKUP($AH378,Herbicide_Data!$A$1:$Q$61,13)</f>
        <v>#N/A</v>
      </c>
      <c r="AJ378" s="16" t="e">
        <f t="shared" si="64"/>
        <v>#N/A</v>
      </c>
      <c r="AK378" s="3"/>
      <c r="AL378" s="3"/>
      <c r="AM378" s="3"/>
      <c r="AN378" s="3"/>
      <c r="AO378" s="3"/>
      <c r="AP378" s="3"/>
      <c r="AQ378" s="18"/>
      <c r="AR378" s="19"/>
      <c r="AS378" s="19"/>
      <c r="AT378" s="20"/>
      <c r="AU378" s="20"/>
      <c r="AV378" s="21"/>
      <c r="AW378" s="22"/>
      <c r="AX378" s="19"/>
      <c r="AY378" s="19"/>
      <c r="AZ378" s="19"/>
      <c r="BA378" s="23"/>
      <c r="BB378" s="19"/>
      <c r="BC378" s="19"/>
      <c r="BD378" s="19"/>
    </row>
    <row r="379" spans="1:56">
      <c r="A379" s="13"/>
      <c r="B379" s="11"/>
      <c r="C379" s="12"/>
      <c r="D379" s="12">
        <f t="shared" si="59"/>
        <v>2.0833299999999999E-2</v>
      </c>
      <c r="E379" s="10"/>
      <c r="F379" s="10" t="str">
        <f>IFERROR(VLOOKUP(E379,Data!A$2:B$5,2,TRUE), "")</f>
        <v/>
      </c>
      <c r="G379" s="3"/>
      <c r="H379" s="13" t="str">
        <f>IFERROR(VLOOKUP(A379,Customer_Data!$A$1:$P$114,8,TRUE),"")</f>
        <v/>
      </c>
      <c r="I379" s="13"/>
      <c r="J379" s="3" t="str">
        <f t="shared" si="65"/>
        <v/>
      </c>
      <c r="K379" s="62" t="e">
        <f>(VLOOKUP($J379,Herbicide_Data!$A$1:$L$61,9,TRUE))</f>
        <v>#N/A</v>
      </c>
      <c r="L379" s="62" t="e">
        <f>VLOOKUP($J379,Herbicide_Data!$A$1:$L$61,12,TRUE)</f>
        <v>#N/A</v>
      </c>
      <c r="M379" s="16" t="e">
        <f t="shared" si="60"/>
        <v>#N/A</v>
      </c>
      <c r="N379" s="62" t="str">
        <f t="shared" si="66"/>
        <v/>
      </c>
      <c r="O379" s="63" t="e">
        <f>VLOOKUP($N379,Herbicide_Data!$A$1:$L$61,9)</f>
        <v>#N/A</v>
      </c>
      <c r="P379" s="62" t="e">
        <f>VLOOKUP($N379,Herbicide_Data!$A$1:$P$61,13)</f>
        <v>#N/A</v>
      </c>
      <c r="Q379" s="16" t="e">
        <f t="shared" si="61"/>
        <v>#N/A</v>
      </c>
      <c r="R379" s="62" t="str">
        <f t="shared" si="67"/>
        <v/>
      </c>
      <c r="S379" s="63" t="e">
        <f>VLOOKUP($R379,Herbicide_Data!$A$1:$L$61,9)</f>
        <v>#N/A</v>
      </c>
      <c r="T379" s="62" t="e">
        <f>VLOOKUP($R379,Herbicide_Data!$A$1:$Q$61,13)</f>
        <v>#N/A</v>
      </c>
      <c r="U379" s="16" t="e">
        <f t="shared" si="62"/>
        <v>#N/A</v>
      </c>
      <c r="V379" s="62" t="b">
        <f t="shared" si="68"/>
        <v>0</v>
      </c>
      <c r="W379" s="63" t="e">
        <f>VLOOKUP($V379,Herbicide_Data!$A$1:$L$17,9)</f>
        <v>#N/A</v>
      </c>
      <c r="X379" s="62" t="e">
        <f>VLOOKUP($V379,Herbicide_Data!$A$1:$L$17,12)</f>
        <v>#N/A</v>
      </c>
      <c r="Y379" s="16" t="e">
        <f t="shared" si="63"/>
        <v>#N/A</v>
      </c>
      <c r="Z379" s="15"/>
      <c r="AA379" s="13"/>
      <c r="AB379" s="17"/>
      <c r="AC379" s="3"/>
      <c r="AD379" s="10"/>
      <c r="AE379" s="3"/>
      <c r="AF379" s="10"/>
      <c r="AG379" s="15"/>
      <c r="AH379" s="62" t="str">
        <f t="shared" si="69"/>
        <v/>
      </c>
      <c r="AI379" s="62" t="e">
        <f>VLOOKUP($AH379,Herbicide_Data!$A$1:$Q$61,13)</f>
        <v>#N/A</v>
      </c>
      <c r="AJ379" s="16" t="e">
        <f t="shared" si="64"/>
        <v>#N/A</v>
      </c>
      <c r="AK379" s="3"/>
      <c r="AL379" s="3"/>
      <c r="AM379" s="3"/>
      <c r="AN379" s="3"/>
      <c r="AO379" s="3"/>
      <c r="AP379" s="3"/>
      <c r="AQ379" s="18"/>
      <c r="AR379" s="19"/>
      <c r="AS379" s="19"/>
      <c r="AT379" s="20"/>
      <c r="AU379" s="20"/>
      <c r="AV379" s="21"/>
      <c r="AW379" s="22"/>
      <c r="AX379" s="19"/>
      <c r="AY379" s="19"/>
      <c r="AZ379" s="19"/>
      <c r="BA379" s="23"/>
      <c r="BB379" s="19"/>
      <c r="BC379" s="19"/>
      <c r="BD379" s="19"/>
    </row>
    <row r="380" spans="1:56">
      <c r="A380" s="13"/>
      <c r="B380" s="11"/>
      <c r="C380" s="12"/>
      <c r="D380" s="12">
        <f t="shared" si="59"/>
        <v>2.0833299999999999E-2</v>
      </c>
      <c r="E380" s="10"/>
      <c r="F380" s="10" t="str">
        <f>IFERROR(VLOOKUP(E380,Data!A$2:B$5,2,TRUE), "")</f>
        <v/>
      </c>
      <c r="G380" s="3"/>
      <c r="H380" s="13" t="str">
        <f>IFERROR(VLOOKUP(A380,Customer_Data!$A$1:$P$114,8,TRUE),"")</f>
        <v/>
      </c>
      <c r="I380" s="13"/>
      <c r="J380" s="3" t="str">
        <f t="shared" si="65"/>
        <v/>
      </c>
      <c r="K380" s="62" t="e">
        <f>(VLOOKUP($J380,Herbicide_Data!$A$1:$L$61,9,TRUE))</f>
        <v>#N/A</v>
      </c>
      <c r="L380" s="62" t="e">
        <f>VLOOKUP($J380,Herbicide_Data!$A$1:$L$61,12,TRUE)</f>
        <v>#N/A</v>
      </c>
      <c r="M380" s="16" t="e">
        <f t="shared" si="60"/>
        <v>#N/A</v>
      </c>
      <c r="N380" s="62" t="str">
        <f t="shared" si="66"/>
        <v/>
      </c>
      <c r="O380" s="63" t="e">
        <f>VLOOKUP($N380,Herbicide_Data!$A$1:$L$61,9)</f>
        <v>#N/A</v>
      </c>
      <c r="P380" s="62" t="e">
        <f>VLOOKUP($N380,Herbicide_Data!$A$1:$P$61,13)</f>
        <v>#N/A</v>
      </c>
      <c r="Q380" s="16" t="e">
        <f t="shared" si="61"/>
        <v>#N/A</v>
      </c>
      <c r="R380" s="62" t="str">
        <f t="shared" si="67"/>
        <v/>
      </c>
      <c r="S380" s="63" t="e">
        <f>VLOOKUP($R380,Herbicide_Data!$A$1:$L$61,9)</f>
        <v>#N/A</v>
      </c>
      <c r="T380" s="62" t="e">
        <f>VLOOKUP($R380,Herbicide_Data!$A$1:$Q$61,13)</f>
        <v>#N/A</v>
      </c>
      <c r="U380" s="16" t="e">
        <f t="shared" si="62"/>
        <v>#N/A</v>
      </c>
      <c r="V380" s="62" t="b">
        <f t="shared" si="68"/>
        <v>0</v>
      </c>
      <c r="W380" s="63" t="e">
        <f>VLOOKUP($V380,Herbicide_Data!$A$1:$L$17,9)</f>
        <v>#N/A</v>
      </c>
      <c r="X380" s="62" t="e">
        <f>VLOOKUP($V380,Herbicide_Data!$A$1:$L$17,12)</f>
        <v>#N/A</v>
      </c>
      <c r="Y380" s="16" t="e">
        <f t="shared" si="63"/>
        <v>#N/A</v>
      </c>
      <c r="Z380" s="15"/>
      <c r="AA380" s="13"/>
      <c r="AB380" s="17"/>
      <c r="AC380" s="3"/>
      <c r="AD380" s="10"/>
      <c r="AE380" s="3"/>
      <c r="AF380" s="10"/>
      <c r="AG380" s="15"/>
      <c r="AH380" s="62" t="str">
        <f t="shared" si="69"/>
        <v/>
      </c>
      <c r="AI380" s="62" t="e">
        <f>VLOOKUP($AH380,Herbicide_Data!$A$1:$Q$61,13)</f>
        <v>#N/A</v>
      </c>
      <c r="AJ380" s="16" t="e">
        <f t="shared" si="64"/>
        <v>#N/A</v>
      </c>
      <c r="AK380" s="3"/>
      <c r="AL380" s="3"/>
      <c r="AM380" s="3"/>
      <c r="AN380" s="3"/>
      <c r="AO380" s="3"/>
      <c r="AP380" s="3"/>
      <c r="AQ380" s="18"/>
      <c r="AR380" s="19"/>
      <c r="AS380" s="19"/>
      <c r="AT380" s="20"/>
      <c r="AU380" s="20"/>
      <c r="AV380" s="21"/>
      <c r="AW380" s="22"/>
      <c r="AX380" s="19"/>
      <c r="AY380" s="19"/>
      <c r="AZ380" s="19"/>
      <c r="BA380" s="23"/>
      <c r="BB380" s="19"/>
      <c r="BC380" s="19"/>
      <c r="BD380" s="19"/>
    </row>
    <row r="381" spans="1:56">
      <c r="A381" s="13"/>
      <c r="B381" s="11"/>
      <c r="C381" s="12"/>
      <c r="D381" s="12">
        <f t="shared" si="59"/>
        <v>2.0833299999999999E-2</v>
      </c>
      <c r="E381" s="10"/>
      <c r="F381" s="10" t="str">
        <f>IFERROR(VLOOKUP(E381,Data!A$2:B$5,2,TRUE), "")</f>
        <v/>
      </c>
      <c r="G381" s="3"/>
      <c r="H381" s="13" t="str">
        <f>IFERROR(VLOOKUP(A381,Customer_Data!$A$1:$P$114,8,TRUE),"")</f>
        <v/>
      </c>
      <c r="I381" s="13"/>
      <c r="J381" s="3" t="str">
        <f t="shared" si="65"/>
        <v/>
      </c>
      <c r="K381" s="62" t="e">
        <f>(VLOOKUP($J381,Herbicide_Data!$A$1:$L$61,9,TRUE))</f>
        <v>#N/A</v>
      </c>
      <c r="L381" s="62" t="e">
        <f>VLOOKUP($J381,Herbicide_Data!$A$1:$L$61,12,TRUE)</f>
        <v>#N/A</v>
      </c>
      <c r="M381" s="16" t="e">
        <f t="shared" si="60"/>
        <v>#N/A</v>
      </c>
      <c r="N381" s="62" t="str">
        <f t="shared" si="66"/>
        <v/>
      </c>
      <c r="O381" s="63" t="e">
        <f>VLOOKUP($N381,Herbicide_Data!$A$1:$L$61,9)</f>
        <v>#N/A</v>
      </c>
      <c r="P381" s="62" t="e">
        <f>VLOOKUP($N381,Herbicide_Data!$A$1:$P$61,13)</f>
        <v>#N/A</v>
      </c>
      <c r="Q381" s="16" t="e">
        <f t="shared" si="61"/>
        <v>#N/A</v>
      </c>
      <c r="R381" s="62" t="str">
        <f t="shared" si="67"/>
        <v/>
      </c>
      <c r="S381" s="63" t="e">
        <f>VLOOKUP($R381,Herbicide_Data!$A$1:$L$61,9)</f>
        <v>#N/A</v>
      </c>
      <c r="T381" s="62" t="e">
        <f>VLOOKUP($R381,Herbicide_Data!$A$1:$Q$61,13)</f>
        <v>#N/A</v>
      </c>
      <c r="U381" s="16" t="e">
        <f t="shared" si="62"/>
        <v>#N/A</v>
      </c>
      <c r="V381" s="62" t="b">
        <f t="shared" si="68"/>
        <v>0</v>
      </c>
      <c r="W381" s="63" t="e">
        <f>VLOOKUP($V381,Herbicide_Data!$A$1:$L$17,9)</f>
        <v>#N/A</v>
      </c>
      <c r="X381" s="62" t="e">
        <f>VLOOKUP($V381,Herbicide_Data!$A$1:$L$17,12)</f>
        <v>#N/A</v>
      </c>
      <c r="Y381" s="16" t="e">
        <f t="shared" si="63"/>
        <v>#N/A</v>
      </c>
      <c r="Z381" s="15"/>
      <c r="AA381" s="13"/>
      <c r="AB381" s="17"/>
      <c r="AC381" s="3"/>
      <c r="AD381" s="10"/>
      <c r="AE381" s="3"/>
      <c r="AF381" s="10"/>
      <c r="AG381" s="15"/>
      <c r="AH381" s="62" t="str">
        <f t="shared" si="69"/>
        <v/>
      </c>
      <c r="AI381" s="62" t="e">
        <f>VLOOKUP($AH381,Herbicide_Data!$A$1:$Q$61,13)</f>
        <v>#N/A</v>
      </c>
      <c r="AJ381" s="16" t="e">
        <f t="shared" si="64"/>
        <v>#N/A</v>
      </c>
      <c r="AK381" s="3"/>
      <c r="AL381" s="3"/>
      <c r="AM381" s="3"/>
      <c r="AN381" s="3"/>
      <c r="AO381" s="3"/>
      <c r="AP381" s="3"/>
      <c r="AQ381" s="18"/>
      <c r="AR381" s="19"/>
      <c r="AS381" s="19"/>
      <c r="AT381" s="20"/>
      <c r="AU381" s="20"/>
      <c r="AV381" s="21"/>
      <c r="AW381" s="22"/>
      <c r="AX381" s="19"/>
      <c r="AY381" s="19"/>
      <c r="AZ381" s="19"/>
      <c r="BA381" s="23"/>
      <c r="BB381" s="19"/>
      <c r="BC381" s="19"/>
      <c r="BD381" s="19"/>
    </row>
    <row r="382" spans="1:56">
      <c r="A382" s="13"/>
      <c r="B382" s="11"/>
      <c r="C382" s="12"/>
      <c r="D382" s="12">
        <f t="shared" si="59"/>
        <v>2.0833299999999999E-2</v>
      </c>
      <c r="E382" s="10"/>
      <c r="F382" s="10" t="str">
        <f>IFERROR(VLOOKUP(E382,Data!A$2:B$5,2,TRUE), "")</f>
        <v/>
      </c>
      <c r="G382" s="3"/>
      <c r="H382" s="13" t="str">
        <f>IFERROR(VLOOKUP(A382,Customer_Data!$A$1:$P$114,8,TRUE),"")</f>
        <v/>
      </c>
      <c r="I382" s="13"/>
      <c r="J382" s="3" t="str">
        <f t="shared" si="65"/>
        <v/>
      </c>
      <c r="K382" s="62" t="e">
        <f>(VLOOKUP($J382,Herbicide_Data!$A$1:$L$61,9,TRUE))</f>
        <v>#N/A</v>
      </c>
      <c r="L382" s="62" t="e">
        <f>VLOOKUP($J382,Herbicide_Data!$A$1:$L$61,12,TRUE)</f>
        <v>#N/A</v>
      </c>
      <c r="M382" s="16" t="e">
        <f t="shared" si="60"/>
        <v>#N/A</v>
      </c>
      <c r="N382" s="62" t="str">
        <f t="shared" si="66"/>
        <v/>
      </c>
      <c r="O382" s="63" t="e">
        <f>VLOOKUP($N382,Herbicide_Data!$A$1:$L$61,9)</f>
        <v>#N/A</v>
      </c>
      <c r="P382" s="62" t="e">
        <f>VLOOKUP($N382,Herbicide_Data!$A$1:$P$61,13)</f>
        <v>#N/A</v>
      </c>
      <c r="Q382" s="16" t="e">
        <f t="shared" si="61"/>
        <v>#N/A</v>
      </c>
      <c r="R382" s="62" t="str">
        <f t="shared" si="67"/>
        <v/>
      </c>
      <c r="S382" s="63" t="e">
        <f>VLOOKUP($R382,Herbicide_Data!$A$1:$L$61,9)</f>
        <v>#N/A</v>
      </c>
      <c r="T382" s="62" t="e">
        <f>VLOOKUP($R382,Herbicide_Data!$A$1:$Q$61,13)</f>
        <v>#N/A</v>
      </c>
      <c r="U382" s="16" t="e">
        <f t="shared" si="62"/>
        <v>#N/A</v>
      </c>
      <c r="V382" s="62" t="b">
        <f t="shared" si="68"/>
        <v>0</v>
      </c>
      <c r="W382" s="63" t="e">
        <f>VLOOKUP($V382,Herbicide_Data!$A$1:$L$17,9)</f>
        <v>#N/A</v>
      </c>
      <c r="X382" s="62" t="e">
        <f>VLOOKUP($V382,Herbicide_Data!$A$1:$L$17,12)</f>
        <v>#N/A</v>
      </c>
      <c r="Y382" s="16" t="e">
        <f t="shared" si="63"/>
        <v>#N/A</v>
      </c>
      <c r="Z382" s="15"/>
      <c r="AA382" s="13"/>
      <c r="AB382" s="17"/>
      <c r="AC382" s="3"/>
      <c r="AD382" s="10"/>
      <c r="AE382" s="3"/>
      <c r="AF382" s="10"/>
      <c r="AG382" s="15"/>
      <c r="AH382" s="62" t="str">
        <f t="shared" si="69"/>
        <v/>
      </c>
      <c r="AI382" s="62" t="e">
        <f>VLOOKUP($AH382,Herbicide_Data!$A$1:$Q$61,13)</f>
        <v>#N/A</v>
      </c>
      <c r="AJ382" s="16" t="e">
        <f t="shared" si="64"/>
        <v>#N/A</v>
      </c>
      <c r="AK382" s="3"/>
      <c r="AL382" s="3"/>
      <c r="AM382" s="3"/>
      <c r="AN382" s="3"/>
      <c r="AO382" s="3"/>
      <c r="AP382" s="3"/>
      <c r="AQ382" s="18"/>
      <c r="AR382" s="19"/>
      <c r="AS382" s="19"/>
      <c r="AT382" s="20"/>
      <c r="AU382" s="20"/>
      <c r="AV382" s="21"/>
      <c r="AW382" s="22"/>
      <c r="AX382" s="19"/>
      <c r="AY382" s="19"/>
      <c r="AZ382" s="19"/>
      <c r="BA382" s="23"/>
      <c r="BB382" s="19"/>
      <c r="BC382" s="19"/>
      <c r="BD382" s="19"/>
    </row>
    <row r="383" spans="1:56">
      <c r="A383" s="13"/>
      <c r="B383" s="11"/>
      <c r="C383" s="12"/>
      <c r="D383" s="12">
        <f t="shared" si="59"/>
        <v>2.0833299999999999E-2</v>
      </c>
      <c r="E383" s="10"/>
      <c r="F383" s="10" t="str">
        <f>IFERROR(VLOOKUP(E383,Data!A$2:B$5,2,TRUE), "")</f>
        <v/>
      </c>
      <c r="G383" s="3"/>
      <c r="H383" s="13" t="str">
        <f>IFERROR(VLOOKUP(A383,Customer_Data!$A$1:$P$114,8,TRUE),"")</f>
        <v/>
      </c>
      <c r="I383" s="13"/>
      <c r="J383" s="3" t="str">
        <f t="shared" si="65"/>
        <v/>
      </c>
      <c r="K383" s="62" t="e">
        <f>(VLOOKUP($J383,Herbicide_Data!$A$1:$L$61,9,TRUE))</f>
        <v>#N/A</v>
      </c>
      <c r="L383" s="62" t="e">
        <f>VLOOKUP($J383,Herbicide_Data!$A$1:$L$61,12,TRUE)</f>
        <v>#N/A</v>
      </c>
      <c r="M383" s="16" t="e">
        <f t="shared" si="60"/>
        <v>#N/A</v>
      </c>
      <c r="N383" s="62" t="str">
        <f t="shared" si="66"/>
        <v/>
      </c>
      <c r="O383" s="63" t="e">
        <f>VLOOKUP($N383,Herbicide_Data!$A$1:$L$61,9)</f>
        <v>#N/A</v>
      </c>
      <c r="P383" s="62" t="e">
        <f>VLOOKUP($N383,Herbicide_Data!$A$1:$P$61,13)</f>
        <v>#N/A</v>
      </c>
      <c r="Q383" s="16" t="e">
        <f t="shared" si="61"/>
        <v>#N/A</v>
      </c>
      <c r="R383" s="62" t="str">
        <f t="shared" si="67"/>
        <v/>
      </c>
      <c r="S383" s="63" t="e">
        <f>VLOOKUP($R383,Herbicide_Data!$A$1:$L$61,9)</f>
        <v>#N/A</v>
      </c>
      <c r="T383" s="62" t="e">
        <f>VLOOKUP($R383,Herbicide_Data!$A$1:$Q$61,13)</f>
        <v>#N/A</v>
      </c>
      <c r="U383" s="16" t="e">
        <f t="shared" si="62"/>
        <v>#N/A</v>
      </c>
      <c r="V383" s="62" t="b">
        <f t="shared" si="68"/>
        <v>0</v>
      </c>
      <c r="W383" s="63" t="e">
        <f>VLOOKUP($V383,Herbicide_Data!$A$1:$L$17,9)</f>
        <v>#N/A</v>
      </c>
      <c r="X383" s="62" t="e">
        <f>VLOOKUP($V383,Herbicide_Data!$A$1:$L$17,12)</f>
        <v>#N/A</v>
      </c>
      <c r="Y383" s="16" t="e">
        <f t="shared" si="63"/>
        <v>#N/A</v>
      </c>
      <c r="Z383" s="15"/>
      <c r="AA383" s="13"/>
      <c r="AB383" s="17"/>
      <c r="AC383" s="3"/>
      <c r="AD383" s="10"/>
      <c r="AE383" s="3"/>
      <c r="AF383" s="10"/>
      <c r="AG383" s="15"/>
      <c r="AH383" s="62" t="str">
        <f t="shared" si="69"/>
        <v/>
      </c>
      <c r="AI383" s="62" t="e">
        <f>VLOOKUP($AH383,Herbicide_Data!$A$1:$Q$61,13)</f>
        <v>#N/A</v>
      </c>
      <c r="AJ383" s="16" t="e">
        <f t="shared" si="64"/>
        <v>#N/A</v>
      </c>
      <c r="AK383" s="3"/>
      <c r="AL383" s="3"/>
      <c r="AM383" s="3"/>
      <c r="AN383" s="3"/>
      <c r="AO383" s="3"/>
      <c r="AP383" s="3"/>
      <c r="AQ383" s="18"/>
      <c r="AR383" s="19"/>
      <c r="AS383" s="19"/>
      <c r="AT383" s="20"/>
      <c r="AU383" s="20"/>
      <c r="AV383" s="21"/>
      <c r="AW383" s="22"/>
      <c r="AX383" s="19"/>
      <c r="AY383" s="19"/>
      <c r="AZ383" s="19"/>
      <c r="BA383" s="23"/>
      <c r="BB383" s="19"/>
      <c r="BC383" s="19"/>
      <c r="BD383" s="19"/>
    </row>
    <row r="384" spans="1:56">
      <c r="A384" s="13"/>
      <c r="B384" s="11"/>
      <c r="C384" s="12"/>
      <c r="D384" s="12">
        <f t="shared" si="59"/>
        <v>2.0833299999999999E-2</v>
      </c>
      <c r="E384" s="10"/>
      <c r="F384" s="10" t="str">
        <f>IFERROR(VLOOKUP(E384,Data!A$2:B$5,2,TRUE), "")</f>
        <v/>
      </c>
      <c r="G384" s="3"/>
      <c r="H384" s="13" t="str">
        <f>IFERROR(VLOOKUP(A384,Customer_Data!$A$1:$P$114,8,TRUE),"")</f>
        <v/>
      </c>
      <c r="I384" s="13"/>
      <c r="J384" s="3" t="str">
        <f t="shared" si="65"/>
        <v/>
      </c>
      <c r="K384" s="62" t="e">
        <f>(VLOOKUP($J384,Herbicide_Data!$A$1:$L$61,9,TRUE))</f>
        <v>#N/A</v>
      </c>
      <c r="L384" s="62" t="e">
        <f>VLOOKUP($J384,Herbicide_Data!$A$1:$L$61,12,TRUE)</f>
        <v>#N/A</v>
      </c>
      <c r="M384" s="16" t="e">
        <f t="shared" si="60"/>
        <v>#N/A</v>
      </c>
      <c r="N384" s="62" t="str">
        <f t="shared" si="66"/>
        <v/>
      </c>
      <c r="O384" s="63" t="e">
        <f>VLOOKUP($N384,Herbicide_Data!$A$1:$L$61,9)</f>
        <v>#N/A</v>
      </c>
      <c r="P384" s="62" t="e">
        <f>VLOOKUP($N384,Herbicide_Data!$A$1:$P$61,13)</f>
        <v>#N/A</v>
      </c>
      <c r="Q384" s="16" t="e">
        <f t="shared" si="61"/>
        <v>#N/A</v>
      </c>
      <c r="R384" s="62" t="str">
        <f t="shared" si="67"/>
        <v/>
      </c>
      <c r="S384" s="63" t="e">
        <f>VLOOKUP($R384,Herbicide_Data!$A$1:$L$61,9)</f>
        <v>#N/A</v>
      </c>
      <c r="T384" s="62" t="e">
        <f>VLOOKUP($R384,Herbicide_Data!$A$1:$Q$61,13)</f>
        <v>#N/A</v>
      </c>
      <c r="U384" s="16" t="e">
        <f t="shared" si="62"/>
        <v>#N/A</v>
      </c>
      <c r="V384" s="62" t="b">
        <f t="shared" si="68"/>
        <v>0</v>
      </c>
      <c r="W384" s="63" t="e">
        <f>VLOOKUP($V384,Herbicide_Data!$A$1:$L$17,9)</f>
        <v>#N/A</v>
      </c>
      <c r="X384" s="62" t="e">
        <f>VLOOKUP($V384,Herbicide_Data!$A$1:$L$17,12)</f>
        <v>#N/A</v>
      </c>
      <c r="Y384" s="16" t="e">
        <f t="shared" si="63"/>
        <v>#N/A</v>
      </c>
      <c r="Z384" s="15"/>
      <c r="AA384" s="13"/>
      <c r="AB384" s="17"/>
      <c r="AC384" s="3"/>
      <c r="AD384" s="10"/>
      <c r="AE384" s="3"/>
      <c r="AF384" s="10"/>
      <c r="AG384" s="15"/>
      <c r="AH384" s="62" t="str">
        <f t="shared" si="69"/>
        <v/>
      </c>
      <c r="AI384" s="62" t="e">
        <f>VLOOKUP($AH384,Herbicide_Data!$A$1:$Q$61,13)</f>
        <v>#N/A</v>
      </c>
      <c r="AJ384" s="16" t="e">
        <f t="shared" si="64"/>
        <v>#N/A</v>
      </c>
      <c r="AK384" s="3"/>
      <c r="AL384" s="3"/>
      <c r="AM384" s="3"/>
      <c r="AN384" s="3"/>
      <c r="AO384" s="3"/>
      <c r="AP384" s="3"/>
      <c r="AQ384" s="18"/>
      <c r="AR384" s="19"/>
      <c r="AS384" s="19"/>
      <c r="AT384" s="20"/>
      <c r="AU384" s="20"/>
      <c r="AV384" s="21"/>
      <c r="AW384" s="22"/>
      <c r="AX384" s="19"/>
      <c r="AY384" s="19"/>
      <c r="AZ384" s="19"/>
      <c r="BA384" s="23"/>
      <c r="BB384" s="19"/>
      <c r="BC384" s="19"/>
      <c r="BD384" s="19"/>
    </row>
    <row r="385" spans="1:56">
      <c r="A385" s="13"/>
      <c r="B385" s="11"/>
      <c r="C385" s="12"/>
      <c r="D385" s="12">
        <f t="shared" si="59"/>
        <v>2.0833299999999999E-2</v>
      </c>
      <c r="E385" s="10"/>
      <c r="F385" s="10" t="str">
        <f>IFERROR(VLOOKUP(E385,Data!A$2:B$5,2,TRUE), "")</f>
        <v/>
      </c>
      <c r="G385" s="3"/>
      <c r="H385" s="13" t="str">
        <f>IFERROR(VLOOKUP(A385,Customer_Data!$A$1:$P$114,8,TRUE),"")</f>
        <v/>
      </c>
      <c r="I385" s="13"/>
      <c r="J385" s="3" t="str">
        <f t="shared" si="65"/>
        <v/>
      </c>
      <c r="K385" s="62" t="e">
        <f>(VLOOKUP($J385,Herbicide_Data!$A$1:$L$61,9,TRUE))</f>
        <v>#N/A</v>
      </c>
      <c r="L385" s="62" t="e">
        <f>VLOOKUP($J385,Herbicide_Data!$A$1:$L$61,12,TRUE)</f>
        <v>#N/A</v>
      </c>
      <c r="M385" s="16" t="e">
        <f t="shared" si="60"/>
        <v>#N/A</v>
      </c>
      <c r="N385" s="62" t="str">
        <f t="shared" si="66"/>
        <v/>
      </c>
      <c r="O385" s="63" t="e">
        <f>VLOOKUP($N385,Herbicide_Data!$A$1:$L$61,9)</f>
        <v>#N/A</v>
      </c>
      <c r="P385" s="62" t="e">
        <f>VLOOKUP($N385,Herbicide_Data!$A$1:$P$61,13)</f>
        <v>#N/A</v>
      </c>
      <c r="Q385" s="16" t="e">
        <f t="shared" si="61"/>
        <v>#N/A</v>
      </c>
      <c r="R385" s="62" t="str">
        <f t="shared" si="67"/>
        <v/>
      </c>
      <c r="S385" s="63" t="e">
        <f>VLOOKUP($R385,Herbicide_Data!$A$1:$L$61,9)</f>
        <v>#N/A</v>
      </c>
      <c r="T385" s="62" t="e">
        <f>VLOOKUP($R385,Herbicide_Data!$A$1:$Q$61,13)</f>
        <v>#N/A</v>
      </c>
      <c r="U385" s="16" t="e">
        <f t="shared" si="62"/>
        <v>#N/A</v>
      </c>
      <c r="V385" s="62" t="b">
        <f t="shared" si="68"/>
        <v>0</v>
      </c>
      <c r="W385" s="63" t="e">
        <f>VLOOKUP($V385,Herbicide_Data!$A$1:$L$17,9)</f>
        <v>#N/A</v>
      </c>
      <c r="X385" s="62" t="e">
        <f>VLOOKUP($V385,Herbicide_Data!$A$1:$L$17,12)</f>
        <v>#N/A</v>
      </c>
      <c r="Y385" s="16" t="e">
        <f t="shared" si="63"/>
        <v>#N/A</v>
      </c>
      <c r="Z385" s="15"/>
      <c r="AA385" s="13"/>
      <c r="AB385" s="17"/>
      <c r="AC385" s="3"/>
      <c r="AD385" s="10"/>
      <c r="AE385" s="3"/>
      <c r="AF385" s="10"/>
      <c r="AG385" s="15"/>
      <c r="AH385" s="62" t="str">
        <f t="shared" si="69"/>
        <v/>
      </c>
      <c r="AI385" s="62" t="e">
        <f>VLOOKUP($AH385,Herbicide_Data!$A$1:$Q$61,13)</f>
        <v>#N/A</v>
      </c>
      <c r="AJ385" s="16" t="e">
        <f t="shared" si="64"/>
        <v>#N/A</v>
      </c>
      <c r="AK385" s="3"/>
      <c r="AL385" s="3"/>
      <c r="AM385" s="3"/>
      <c r="AN385" s="3"/>
      <c r="AO385" s="3"/>
      <c r="AP385" s="3"/>
      <c r="AQ385" s="18"/>
      <c r="AR385" s="19"/>
      <c r="AS385" s="19"/>
      <c r="AT385" s="20"/>
      <c r="AU385" s="20"/>
      <c r="AV385" s="21"/>
      <c r="AW385" s="22"/>
      <c r="AX385" s="19"/>
      <c r="AY385" s="19"/>
      <c r="AZ385" s="19"/>
      <c r="BA385" s="23"/>
      <c r="BB385" s="19"/>
      <c r="BC385" s="19"/>
      <c r="BD385" s="19"/>
    </row>
    <row r="386" spans="1:56">
      <c r="A386" s="13"/>
      <c r="B386" s="11"/>
      <c r="C386" s="12"/>
      <c r="D386" s="12">
        <f t="shared" ref="D386:D449" si="70">C386+0.0208333</f>
        <v>2.0833299999999999E-2</v>
      </c>
      <c r="E386" s="10"/>
      <c r="F386" s="10" t="str">
        <f>IFERROR(VLOOKUP(E386,Data!A$2:B$5,2,TRUE), "")</f>
        <v/>
      </c>
      <c r="G386" s="3"/>
      <c r="H386" s="13" t="str">
        <f>IFERROR(VLOOKUP(A386,Customer_Data!$A$1:$P$114,8,TRUE),"")</f>
        <v/>
      </c>
      <c r="I386" s="13"/>
      <c r="J386" s="3" t="str">
        <f t="shared" si="65"/>
        <v/>
      </c>
      <c r="K386" s="62" t="e">
        <f>(VLOOKUP($J386,Herbicide_Data!$A$1:$L$61,9,TRUE))</f>
        <v>#N/A</v>
      </c>
      <c r="L386" s="62" t="e">
        <f>VLOOKUP($J386,Herbicide_Data!$A$1:$L$61,12,TRUE)</f>
        <v>#N/A</v>
      </c>
      <c r="M386" s="16" t="e">
        <f t="shared" ref="M386:M449" si="71">L386*(H386/43560)</f>
        <v>#N/A</v>
      </c>
      <c r="N386" s="62" t="str">
        <f t="shared" si="66"/>
        <v/>
      </c>
      <c r="O386" s="63" t="e">
        <f>VLOOKUP($N386,Herbicide_Data!$A$1:$L$61,9)</f>
        <v>#N/A</v>
      </c>
      <c r="P386" s="62" t="e">
        <f>VLOOKUP($N386,Herbicide_Data!$A$1:$P$61,13)</f>
        <v>#N/A</v>
      </c>
      <c r="Q386" s="16" t="e">
        <f t="shared" ref="Q386:Q449" si="72">P386*($H386/43560)</f>
        <v>#N/A</v>
      </c>
      <c r="R386" s="62" t="str">
        <f t="shared" si="67"/>
        <v/>
      </c>
      <c r="S386" s="63" t="e">
        <f>VLOOKUP($R386,Herbicide_Data!$A$1:$L$61,9)</f>
        <v>#N/A</v>
      </c>
      <c r="T386" s="62" t="e">
        <f>VLOOKUP($R386,Herbicide_Data!$A$1:$Q$61,13)</f>
        <v>#N/A</v>
      </c>
      <c r="U386" s="16" t="e">
        <f t="shared" ref="U386:U449" si="73">T386*($H386/43560)</f>
        <v>#N/A</v>
      </c>
      <c r="V386" s="62" t="b">
        <f t="shared" si="68"/>
        <v>0</v>
      </c>
      <c r="W386" s="63" t="e">
        <f>VLOOKUP($V386,Herbicide_Data!$A$1:$L$17,9)</f>
        <v>#N/A</v>
      </c>
      <c r="X386" s="62" t="e">
        <f>VLOOKUP($V386,Herbicide_Data!$A$1:$L$17,12)</f>
        <v>#N/A</v>
      </c>
      <c r="Y386" s="16" t="e">
        <f t="shared" ref="Y386:Y449" si="74">X386*($H386/43560)</f>
        <v>#N/A</v>
      </c>
      <c r="Z386" s="15"/>
      <c r="AA386" s="13"/>
      <c r="AB386" s="17"/>
      <c r="AC386" s="3"/>
      <c r="AD386" s="10"/>
      <c r="AE386" s="3"/>
      <c r="AF386" s="10"/>
      <c r="AG386" s="15"/>
      <c r="AH386" s="62" t="str">
        <f t="shared" si="69"/>
        <v/>
      </c>
      <c r="AI386" s="62" t="e">
        <f>VLOOKUP($AH386,Herbicide_Data!$A$1:$Q$61,13)</f>
        <v>#N/A</v>
      </c>
      <c r="AJ386" s="16" t="e">
        <f t="shared" ref="AJ386:AJ449" si="75">AI386*($H386/43560)</f>
        <v>#N/A</v>
      </c>
      <c r="AK386" s="3"/>
      <c r="AL386" s="3"/>
      <c r="AM386" s="3"/>
      <c r="AN386" s="3"/>
      <c r="AO386" s="3"/>
      <c r="AP386" s="3"/>
      <c r="AQ386" s="18"/>
      <c r="AR386" s="19"/>
      <c r="AS386" s="19"/>
      <c r="AT386" s="20"/>
      <c r="AU386" s="20"/>
      <c r="AV386" s="21"/>
      <c r="AW386" s="22"/>
      <c r="AX386" s="19"/>
      <c r="AY386" s="19"/>
      <c r="AZ386" s="19"/>
      <c r="BA386" s="23"/>
      <c r="BB386" s="19"/>
      <c r="BC386" s="19"/>
      <c r="BD386" s="19"/>
    </row>
    <row r="387" spans="1:56">
      <c r="A387" s="13"/>
      <c r="B387" s="11"/>
      <c r="C387" s="12"/>
      <c r="D387" s="12">
        <f t="shared" si="70"/>
        <v>2.0833299999999999E-2</v>
      </c>
      <c r="E387" s="10"/>
      <c r="F387" s="10" t="str">
        <f>IFERROR(VLOOKUP(E387,Data!A$2:B$5,2,TRUE), "")</f>
        <v/>
      </c>
      <c r="G387" s="3"/>
      <c r="H387" s="13" t="str">
        <f>IFERROR(VLOOKUP(A387,Customer_Data!$A$1:$P$114,8,TRUE),"")</f>
        <v/>
      </c>
      <c r="I387" s="13"/>
      <c r="J387" s="3" t="str">
        <f t="shared" ref="J387:J450" si="76">IF($G387=("Fall (pre/post emerge)"),"Princep Liquid (100-526)", IF($G387=("Fertilize"),"Harrell's 34-0-5",IF($G387=("Spot Treat"),"Outrider (59639-223)","")))</f>
        <v/>
      </c>
      <c r="K387" s="62" t="e">
        <f>(VLOOKUP($J387,Herbicide_Data!$A$1:$L$61,9,TRUE))</f>
        <v>#N/A</v>
      </c>
      <c r="L387" s="62" t="e">
        <f>VLOOKUP($J387,Herbicide_Data!$A$1:$L$61,12,TRUE)</f>
        <v>#N/A</v>
      </c>
      <c r="M387" s="16" t="e">
        <f t="shared" si="71"/>
        <v>#N/A</v>
      </c>
      <c r="N387" s="62" t="str">
        <f t="shared" ref="N387:N450" si="77">IF($G387=("Fall (pre/post emerge)"),"Triplet SF (3-Way) 228-312",IF($G387=("Spring Preemerge (Jan)"),"Triplet SF (3-Way) 228-312",IF($G387=("Spring Preemerge (Apr)"),"Triplet SF (3-Way) 228-312","")))</f>
        <v/>
      </c>
      <c r="O387" s="63" t="e">
        <f>VLOOKUP($N387,Herbicide_Data!$A$1:$L$61,9)</f>
        <v>#N/A</v>
      </c>
      <c r="P387" s="62" t="e">
        <f>VLOOKUP($N387,Herbicide_Data!$A$1:$P$61,13)</f>
        <v>#N/A</v>
      </c>
      <c r="Q387" s="16" t="e">
        <f t="shared" si="72"/>
        <v>#N/A</v>
      </c>
      <c r="R387" s="62" t="str">
        <f t="shared" ref="R387:R450" si="78">IF($G387=("Fall (pre/post emerge)"),"Resolute 4Fl (100-1139)",IF($G387=("Spring Preemerge (Jan)"),"Resolute 4Fl (100-1139)",IF($G387=("Spring Preemerge (Apr)"),"Certinty Turf 59639-226","")))</f>
        <v/>
      </c>
      <c r="S387" s="63" t="e">
        <f>VLOOKUP($R387,Herbicide_Data!$A$1:$L$61,9)</f>
        <v>#N/A</v>
      </c>
      <c r="T387" s="62" t="e">
        <f>VLOOKUP($R387,Herbicide_Data!$A$1:$Q$61,13)</f>
        <v>#N/A</v>
      </c>
      <c r="U387" s="16" t="e">
        <f t="shared" si="73"/>
        <v>#N/A</v>
      </c>
      <c r="V387" s="62" t="b">
        <f t="shared" ref="V387:V450" si="79">IF($G387 = ("Preemerge"),"MSM Turf 228-373")</f>
        <v>0</v>
      </c>
      <c r="W387" s="63" t="e">
        <f>VLOOKUP($V387,Herbicide_Data!$A$1:$L$17,9)</f>
        <v>#N/A</v>
      </c>
      <c r="X387" s="62" t="e">
        <f>VLOOKUP($V387,Herbicide_Data!$A$1:$L$17,12)</f>
        <v>#N/A</v>
      </c>
      <c r="Y387" s="16" t="e">
        <f t="shared" si="74"/>
        <v>#N/A</v>
      </c>
      <c r="Z387" s="15"/>
      <c r="AA387" s="13"/>
      <c r="AB387" s="17"/>
      <c r="AC387" s="3"/>
      <c r="AD387" s="10"/>
      <c r="AE387" s="3"/>
      <c r="AF387" s="10"/>
      <c r="AG387" s="15"/>
      <c r="AH387" s="62" t="str">
        <f t="shared" si="69"/>
        <v/>
      </c>
      <c r="AI387" s="62" t="e">
        <f>VLOOKUP($AH387,Herbicide_Data!$A$1:$Q$61,13)</f>
        <v>#N/A</v>
      </c>
      <c r="AJ387" s="16" t="e">
        <f t="shared" si="75"/>
        <v>#N/A</v>
      </c>
      <c r="AK387" s="3"/>
      <c r="AL387" s="3"/>
      <c r="AM387" s="3"/>
      <c r="AN387" s="3"/>
      <c r="AO387" s="3"/>
      <c r="AP387" s="3"/>
      <c r="AQ387" s="18"/>
      <c r="AR387" s="19"/>
      <c r="AS387" s="19"/>
      <c r="AT387" s="20"/>
      <c r="AU387" s="20"/>
      <c r="AV387" s="21"/>
      <c r="AW387" s="22"/>
      <c r="AX387" s="19"/>
      <c r="AY387" s="19"/>
      <c r="AZ387" s="19"/>
      <c r="BA387" s="23"/>
      <c r="BB387" s="19"/>
      <c r="BC387" s="19"/>
      <c r="BD387" s="19"/>
    </row>
    <row r="388" spans="1:56">
      <c r="A388" s="13"/>
      <c r="B388" s="11"/>
      <c r="C388" s="12"/>
      <c r="D388" s="12">
        <f t="shared" si="70"/>
        <v>2.0833299999999999E-2</v>
      </c>
      <c r="E388" s="10"/>
      <c r="F388" s="10" t="str">
        <f>IFERROR(VLOOKUP(E388,Data!A$2:B$5,2,TRUE), "")</f>
        <v/>
      </c>
      <c r="G388" s="3"/>
      <c r="H388" s="13" t="str">
        <f>IFERROR(VLOOKUP(A388,Customer_Data!$A$1:$P$114,8,TRUE),"")</f>
        <v/>
      </c>
      <c r="I388" s="13"/>
      <c r="J388" s="3" t="str">
        <f t="shared" si="76"/>
        <v/>
      </c>
      <c r="K388" s="62" t="e">
        <f>(VLOOKUP($J388,Herbicide_Data!$A$1:$L$61,9,TRUE))</f>
        <v>#N/A</v>
      </c>
      <c r="L388" s="62" t="e">
        <f>VLOOKUP($J388,Herbicide_Data!$A$1:$L$61,12,TRUE)</f>
        <v>#N/A</v>
      </c>
      <c r="M388" s="16" t="e">
        <f t="shared" si="71"/>
        <v>#N/A</v>
      </c>
      <c r="N388" s="62" t="str">
        <f t="shared" si="77"/>
        <v/>
      </c>
      <c r="O388" s="63" t="e">
        <f>VLOOKUP($N388,Herbicide_Data!$A$1:$L$61,9)</f>
        <v>#N/A</v>
      </c>
      <c r="P388" s="62" t="e">
        <f>VLOOKUP($N388,Herbicide_Data!$A$1:$P$61,13)</f>
        <v>#N/A</v>
      </c>
      <c r="Q388" s="16" t="e">
        <f t="shared" si="72"/>
        <v>#N/A</v>
      </c>
      <c r="R388" s="62" t="str">
        <f t="shared" si="78"/>
        <v/>
      </c>
      <c r="S388" s="63" t="e">
        <f>VLOOKUP($R388,Herbicide_Data!$A$1:$L$61,9)</f>
        <v>#N/A</v>
      </c>
      <c r="T388" s="62" t="e">
        <f>VLOOKUP($R388,Herbicide_Data!$A$1:$Q$61,13)</f>
        <v>#N/A</v>
      </c>
      <c r="U388" s="16" t="e">
        <f t="shared" si="73"/>
        <v>#N/A</v>
      </c>
      <c r="V388" s="62" t="b">
        <f t="shared" si="79"/>
        <v>0</v>
      </c>
      <c r="W388" s="63" t="e">
        <f>VLOOKUP($V388,Herbicide_Data!$A$1:$L$17,9)</f>
        <v>#N/A</v>
      </c>
      <c r="X388" s="62" t="e">
        <f>VLOOKUP($V388,Herbicide_Data!$A$1:$L$17,12)</f>
        <v>#N/A</v>
      </c>
      <c r="Y388" s="16" t="e">
        <f t="shared" si="74"/>
        <v>#N/A</v>
      </c>
      <c r="Z388" s="15"/>
      <c r="AA388" s="13"/>
      <c r="AB388" s="17"/>
      <c r="AC388" s="3"/>
      <c r="AD388" s="10"/>
      <c r="AE388" s="3"/>
      <c r="AF388" s="10"/>
      <c r="AG388" s="15"/>
      <c r="AH388" s="62" t="str">
        <f t="shared" si="69"/>
        <v/>
      </c>
      <c r="AI388" s="62" t="e">
        <f>VLOOKUP($AH388,Herbicide_Data!$A$1:$Q$61,13)</f>
        <v>#N/A</v>
      </c>
      <c r="AJ388" s="16" t="e">
        <f t="shared" si="75"/>
        <v>#N/A</v>
      </c>
      <c r="AK388" s="3"/>
      <c r="AL388" s="3"/>
      <c r="AM388" s="3"/>
      <c r="AN388" s="3"/>
      <c r="AO388" s="3"/>
      <c r="AP388" s="3"/>
      <c r="AQ388" s="18"/>
      <c r="AR388" s="19"/>
      <c r="AS388" s="19"/>
      <c r="AT388" s="20"/>
      <c r="AU388" s="20"/>
      <c r="AV388" s="21"/>
      <c r="AW388" s="22"/>
      <c r="AX388" s="19"/>
      <c r="AY388" s="19"/>
      <c r="AZ388" s="19"/>
      <c r="BA388" s="23"/>
      <c r="BB388" s="19"/>
      <c r="BC388" s="19"/>
      <c r="BD388" s="19"/>
    </row>
    <row r="389" spans="1:56">
      <c r="A389" s="13"/>
      <c r="B389" s="11"/>
      <c r="C389" s="12"/>
      <c r="D389" s="12">
        <f t="shared" si="70"/>
        <v>2.0833299999999999E-2</v>
      </c>
      <c r="E389" s="10"/>
      <c r="F389" s="10" t="str">
        <f>IFERROR(VLOOKUP(E389,Data!A$2:B$5,2,TRUE), "")</f>
        <v/>
      </c>
      <c r="G389" s="3"/>
      <c r="H389" s="13" t="str">
        <f>IFERROR(VLOOKUP(A389,Customer_Data!$A$1:$P$114,8,TRUE),"")</f>
        <v/>
      </c>
      <c r="I389" s="13"/>
      <c r="J389" s="3" t="str">
        <f t="shared" si="76"/>
        <v/>
      </c>
      <c r="K389" s="62" t="e">
        <f>(VLOOKUP($J389,Herbicide_Data!$A$1:$L$61,9,TRUE))</f>
        <v>#N/A</v>
      </c>
      <c r="L389" s="62" t="e">
        <f>VLOOKUP($J389,Herbicide_Data!$A$1:$L$61,12,TRUE)</f>
        <v>#N/A</v>
      </c>
      <c r="M389" s="16" t="e">
        <f t="shared" si="71"/>
        <v>#N/A</v>
      </c>
      <c r="N389" s="62" t="str">
        <f t="shared" si="77"/>
        <v/>
      </c>
      <c r="O389" s="63" t="e">
        <f>VLOOKUP($N389,Herbicide_Data!$A$1:$L$61,9)</f>
        <v>#N/A</v>
      </c>
      <c r="P389" s="62" t="e">
        <f>VLOOKUP($N389,Herbicide_Data!$A$1:$P$61,13)</f>
        <v>#N/A</v>
      </c>
      <c r="Q389" s="16" t="e">
        <f t="shared" si="72"/>
        <v>#N/A</v>
      </c>
      <c r="R389" s="62" t="str">
        <f t="shared" si="78"/>
        <v/>
      </c>
      <c r="S389" s="63" t="e">
        <f>VLOOKUP($R389,Herbicide_Data!$A$1:$L$61,9)</f>
        <v>#N/A</v>
      </c>
      <c r="T389" s="62" t="e">
        <f>VLOOKUP($R389,Herbicide_Data!$A$1:$Q$61,13)</f>
        <v>#N/A</v>
      </c>
      <c r="U389" s="16" t="e">
        <f t="shared" si="73"/>
        <v>#N/A</v>
      </c>
      <c r="V389" s="62" t="b">
        <f t="shared" si="79"/>
        <v>0</v>
      </c>
      <c r="W389" s="63" t="e">
        <f>VLOOKUP($V389,Herbicide_Data!$A$1:$L$17,9)</f>
        <v>#N/A</v>
      </c>
      <c r="X389" s="62" t="e">
        <f>VLOOKUP($V389,Herbicide_Data!$A$1:$L$17,12)</f>
        <v>#N/A</v>
      </c>
      <c r="Y389" s="16" t="e">
        <f t="shared" si="74"/>
        <v>#N/A</v>
      </c>
      <c r="Z389" s="15"/>
      <c r="AA389" s="13"/>
      <c r="AB389" s="17"/>
      <c r="AC389" s="3"/>
      <c r="AD389" s="10"/>
      <c r="AE389" s="3"/>
      <c r="AF389" s="10"/>
      <c r="AG389" s="15"/>
      <c r="AH389" s="62" t="str">
        <f t="shared" si="69"/>
        <v/>
      </c>
      <c r="AI389" s="62" t="e">
        <f>VLOOKUP($AH389,Herbicide_Data!$A$1:$Q$61,13)</f>
        <v>#N/A</v>
      </c>
      <c r="AJ389" s="16" t="e">
        <f t="shared" si="75"/>
        <v>#N/A</v>
      </c>
      <c r="AK389" s="3"/>
      <c r="AL389" s="3"/>
      <c r="AM389" s="3"/>
      <c r="AN389" s="3"/>
      <c r="AO389" s="3"/>
      <c r="AP389" s="3"/>
      <c r="AQ389" s="18"/>
      <c r="AR389" s="19"/>
      <c r="AS389" s="19"/>
      <c r="AT389" s="20"/>
      <c r="AU389" s="20"/>
      <c r="AV389" s="21"/>
      <c r="AW389" s="22"/>
      <c r="AX389" s="19"/>
      <c r="AY389" s="19"/>
      <c r="AZ389" s="19"/>
      <c r="BA389" s="23"/>
      <c r="BB389" s="19"/>
      <c r="BC389" s="19"/>
      <c r="BD389" s="19"/>
    </row>
    <row r="390" spans="1:56">
      <c r="A390" s="13"/>
      <c r="B390" s="11"/>
      <c r="C390" s="12"/>
      <c r="D390" s="12">
        <f t="shared" si="70"/>
        <v>2.0833299999999999E-2</v>
      </c>
      <c r="E390" s="10"/>
      <c r="F390" s="10" t="str">
        <f>IFERROR(VLOOKUP(E390,Data!A$2:B$5,2,TRUE), "")</f>
        <v/>
      </c>
      <c r="G390" s="3"/>
      <c r="H390" s="13" t="str">
        <f>IFERROR(VLOOKUP(A390,Customer_Data!$A$1:$P$114,8,TRUE),"")</f>
        <v/>
      </c>
      <c r="I390" s="13"/>
      <c r="J390" s="3" t="str">
        <f t="shared" si="76"/>
        <v/>
      </c>
      <c r="K390" s="62" t="e">
        <f>(VLOOKUP($J390,Herbicide_Data!$A$1:$L$61,9,TRUE))</f>
        <v>#N/A</v>
      </c>
      <c r="L390" s="62" t="e">
        <f>VLOOKUP($J390,Herbicide_Data!$A$1:$L$61,12,TRUE)</f>
        <v>#N/A</v>
      </c>
      <c r="M390" s="16" t="e">
        <f t="shared" si="71"/>
        <v>#N/A</v>
      </c>
      <c r="N390" s="62" t="str">
        <f t="shared" si="77"/>
        <v/>
      </c>
      <c r="O390" s="63" t="e">
        <f>VLOOKUP($N390,Herbicide_Data!$A$1:$L$61,9)</f>
        <v>#N/A</v>
      </c>
      <c r="P390" s="62" t="e">
        <f>VLOOKUP($N390,Herbicide_Data!$A$1:$P$61,13)</f>
        <v>#N/A</v>
      </c>
      <c r="Q390" s="16" t="e">
        <f t="shared" si="72"/>
        <v>#N/A</v>
      </c>
      <c r="R390" s="62" t="str">
        <f t="shared" si="78"/>
        <v/>
      </c>
      <c r="S390" s="63" t="e">
        <f>VLOOKUP($R390,Herbicide_Data!$A$1:$L$61,9)</f>
        <v>#N/A</v>
      </c>
      <c r="T390" s="62" t="e">
        <f>VLOOKUP($R390,Herbicide_Data!$A$1:$Q$61,13)</f>
        <v>#N/A</v>
      </c>
      <c r="U390" s="16" t="e">
        <f t="shared" si="73"/>
        <v>#N/A</v>
      </c>
      <c r="V390" s="62" t="b">
        <f t="shared" si="79"/>
        <v>0</v>
      </c>
      <c r="W390" s="63" t="e">
        <f>VLOOKUP($V390,Herbicide_Data!$A$1:$L$17,9)</f>
        <v>#N/A</v>
      </c>
      <c r="X390" s="62" t="e">
        <f>VLOOKUP($V390,Herbicide_Data!$A$1:$L$17,12)</f>
        <v>#N/A</v>
      </c>
      <c r="Y390" s="16" t="e">
        <f t="shared" si="74"/>
        <v>#N/A</v>
      </c>
      <c r="Z390" s="15"/>
      <c r="AA390" s="13"/>
      <c r="AB390" s="17"/>
      <c r="AC390" s="3"/>
      <c r="AD390" s="10"/>
      <c r="AE390" s="3"/>
      <c r="AF390" s="10"/>
      <c r="AG390" s="15"/>
      <c r="AH390" s="62" t="str">
        <f t="shared" si="69"/>
        <v/>
      </c>
      <c r="AI390" s="62" t="e">
        <f>VLOOKUP($AH390,Herbicide_Data!$A$1:$Q$61,13)</f>
        <v>#N/A</v>
      </c>
      <c r="AJ390" s="16" t="e">
        <f t="shared" si="75"/>
        <v>#N/A</v>
      </c>
      <c r="AK390" s="3"/>
      <c r="AL390" s="3"/>
      <c r="AM390" s="3"/>
      <c r="AN390" s="3"/>
      <c r="AO390" s="3"/>
      <c r="AP390" s="3"/>
      <c r="AQ390" s="18"/>
      <c r="AR390" s="19"/>
      <c r="AS390" s="19"/>
      <c r="AT390" s="20"/>
      <c r="AU390" s="20"/>
      <c r="AV390" s="21"/>
      <c r="AW390" s="22"/>
      <c r="AX390" s="19"/>
      <c r="AY390" s="19"/>
      <c r="AZ390" s="19"/>
      <c r="BA390" s="23"/>
      <c r="BB390" s="19"/>
      <c r="BC390" s="19"/>
      <c r="BD390" s="19"/>
    </row>
    <row r="391" spans="1:56">
      <c r="A391" s="13"/>
      <c r="B391" s="11"/>
      <c r="C391" s="12"/>
      <c r="D391" s="12">
        <f t="shared" si="70"/>
        <v>2.0833299999999999E-2</v>
      </c>
      <c r="E391" s="10"/>
      <c r="F391" s="10" t="str">
        <f>IFERROR(VLOOKUP(E391,Data!A$2:B$5,2,TRUE), "")</f>
        <v/>
      </c>
      <c r="G391" s="3"/>
      <c r="H391" s="13" t="str">
        <f>IFERROR(VLOOKUP(A391,Customer_Data!$A$1:$P$114,8,TRUE),"")</f>
        <v/>
      </c>
      <c r="I391" s="13"/>
      <c r="J391" s="3" t="str">
        <f t="shared" si="76"/>
        <v/>
      </c>
      <c r="K391" s="62" t="e">
        <f>(VLOOKUP($J391,Herbicide_Data!$A$1:$L$61,9,TRUE))</f>
        <v>#N/A</v>
      </c>
      <c r="L391" s="62" t="e">
        <f>VLOOKUP($J391,Herbicide_Data!$A$1:$L$61,12,TRUE)</f>
        <v>#N/A</v>
      </c>
      <c r="M391" s="16" t="e">
        <f t="shared" si="71"/>
        <v>#N/A</v>
      </c>
      <c r="N391" s="62" t="str">
        <f t="shared" si="77"/>
        <v/>
      </c>
      <c r="O391" s="63" t="e">
        <f>VLOOKUP($N391,Herbicide_Data!$A$1:$L$61,9)</f>
        <v>#N/A</v>
      </c>
      <c r="P391" s="62" t="e">
        <f>VLOOKUP($N391,Herbicide_Data!$A$1:$P$61,13)</f>
        <v>#N/A</v>
      </c>
      <c r="Q391" s="16" t="e">
        <f t="shared" si="72"/>
        <v>#N/A</v>
      </c>
      <c r="R391" s="62" t="str">
        <f t="shared" si="78"/>
        <v/>
      </c>
      <c r="S391" s="63" t="e">
        <f>VLOOKUP($R391,Herbicide_Data!$A$1:$L$61,9)</f>
        <v>#N/A</v>
      </c>
      <c r="T391" s="62" t="e">
        <f>VLOOKUP($R391,Herbicide_Data!$A$1:$Q$61,13)</f>
        <v>#N/A</v>
      </c>
      <c r="U391" s="16" t="e">
        <f t="shared" si="73"/>
        <v>#N/A</v>
      </c>
      <c r="V391" s="62" t="b">
        <f t="shared" si="79"/>
        <v>0</v>
      </c>
      <c r="W391" s="63" t="e">
        <f>VLOOKUP($V391,Herbicide_Data!$A$1:$L$17,9)</f>
        <v>#N/A</v>
      </c>
      <c r="X391" s="62" t="e">
        <f>VLOOKUP($V391,Herbicide_Data!$A$1:$L$17,12)</f>
        <v>#N/A</v>
      </c>
      <c r="Y391" s="16" t="e">
        <f t="shared" si="74"/>
        <v>#N/A</v>
      </c>
      <c r="Z391" s="15"/>
      <c r="AA391" s="13"/>
      <c r="AB391" s="17"/>
      <c r="AC391" s="3"/>
      <c r="AD391" s="10"/>
      <c r="AE391" s="3"/>
      <c r="AF391" s="10"/>
      <c r="AG391" s="15"/>
      <c r="AH391" s="62" t="str">
        <f t="shared" si="69"/>
        <v/>
      </c>
      <c r="AI391" s="62" t="e">
        <f>VLOOKUP($AH391,Herbicide_Data!$A$1:$Q$61,13)</f>
        <v>#N/A</v>
      </c>
      <c r="AJ391" s="16" t="e">
        <f t="shared" si="75"/>
        <v>#N/A</v>
      </c>
      <c r="AK391" s="3"/>
      <c r="AL391" s="3"/>
      <c r="AM391" s="3"/>
      <c r="AN391" s="3"/>
      <c r="AO391" s="3"/>
      <c r="AP391" s="3"/>
      <c r="AQ391" s="18"/>
      <c r="AR391" s="19"/>
      <c r="AS391" s="19"/>
      <c r="AT391" s="20"/>
      <c r="AU391" s="20"/>
      <c r="AV391" s="21"/>
      <c r="AW391" s="22"/>
      <c r="AX391" s="19"/>
      <c r="AY391" s="19"/>
      <c r="AZ391" s="19"/>
      <c r="BA391" s="23"/>
      <c r="BB391" s="19"/>
      <c r="BC391" s="19"/>
      <c r="BD391" s="19"/>
    </row>
    <row r="392" spans="1:56">
      <c r="A392" s="13"/>
      <c r="B392" s="11"/>
      <c r="C392" s="12"/>
      <c r="D392" s="12">
        <f t="shared" si="70"/>
        <v>2.0833299999999999E-2</v>
      </c>
      <c r="E392" s="10"/>
      <c r="F392" s="10" t="str">
        <f>IFERROR(VLOOKUP(E392,Data!A$2:B$5,2,TRUE), "")</f>
        <v/>
      </c>
      <c r="G392" s="3"/>
      <c r="H392" s="13" t="str">
        <f>IFERROR(VLOOKUP(A392,Customer_Data!$A$1:$P$114,8,TRUE),"")</f>
        <v/>
      </c>
      <c r="I392" s="13"/>
      <c r="J392" s="3" t="str">
        <f t="shared" si="76"/>
        <v/>
      </c>
      <c r="K392" s="62" t="e">
        <f>(VLOOKUP($J392,Herbicide_Data!$A$1:$L$61,9,TRUE))</f>
        <v>#N/A</v>
      </c>
      <c r="L392" s="62" t="e">
        <f>VLOOKUP($J392,Herbicide_Data!$A$1:$L$61,12,TRUE)</f>
        <v>#N/A</v>
      </c>
      <c r="M392" s="16" t="e">
        <f t="shared" si="71"/>
        <v>#N/A</v>
      </c>
      <c r="N392" s="62" t="str">
        <f t="shared" si="77"/>
        <v/>
      </c>
      <c r="O392" s="63" t="e">
        <f>VLOOKUP($N392,Herbicide_Data!$A$1:$L$61,9)</f>
        <v>#N/A</v>
      </c>
      <c r="P392" s="62" t="e">
        <f>VLOOKUP($N392,Herbicide_Data!$A$1:$P$61,13)</f>
        <v>#N/A</v>
      </c>
      <c r="Q392" s="16" t="e">
        <f t="shared" si="72"/>
        <v>#N/A</v>
      </c>
      <c r="R392" s="62" t="str">
        <f t="shared" si="78"/>
        <v/>
      </c>
      <c r="S392" s="63" t="e">
        <f>VLOOKUP($R392,Herbicide_Data!$A$1:$L$61,9)</f>
        <v>#N/A</v>
      </c>
      <c r="T392" s="62" t="e">
        <f>VLOOKUP($R392,Herbicide_Data!$A$1:$Q$61,13)</f>
        <v>#N/A</v>
      </c>
      <c r="U392" s="16" t="e">
        <f t="shared" si="73"/>
        <v>#N/A</v>
      </c>
      <c r="V392" s="62" t="b">
        <f t="shared" si="79"/>
        <v>0</v>
      </c>
      <c r="W392" s="63" t="e">
        <f>VLOOKUP($V392,Herbicide_Data!$A$1:$L$17,9)</f>
        <v>#N/A</v>
      </c>
      <c r="X392" s="62" t="e">
        <f>VLOOKUP($V392,Herbicide_Data!$A$1:$L$17,12)</f>
        <v>#N/A</v>
      </c>
      <c r="Y392" s="16" t="e">
        <f t="shared" si="74"/>
        <v>#N/A</v>
      </c>
      <c r="Z392" s="15"/>
      <c r="AA392" s="13"/>
      <c r="AB392" s="17"/>
      <c r="AC392" s="3"/>
      <c r="AD392" s="10"/>
      <c r="AE392" s="3"/>
      <c r="AF392" s="10"/>
      <c r="AG392" s="15"/>
      <c r="AH392" s="62" t="str">
        <f t="shared" si="69"/>
        <v/>
      </c>
      <c r="AI392" s="62" t="e">
        <f>VLOOKUP($AH392,Herbicide_Data!$A$1:$Q$61,13)</f>
        <v>#N/A</v>
      </c>
      <c r="AJ392" s="16" t="e">
        <f t="shared" si="75"/>
        <v>#N/A</v>
      </c>
      <c r="AK392" s="3"/>
      <c r="AL392" s="3"/>
      <c r="AM392" s="3"/>
      <c r="AN392" s="3"/>
      <c r="AO392" s="3"/>
      <c r="AP392" s="3"/>
      <c r="AQ392" s="18"/>
      <c r="AR392" s="19"/>
      <c r="AS392" s="19"/>
      <c r="AT392" s="20"/>
      <c r="AU392" s="20"/>
      <c r="AV392" s="21"/>
      <c r="AW392" s="22"/>
      <c r="AX392" s="19"/>
      <c r="AY392" s="19"/>
      <c r="AZ392" s="19"/>
      <c r="BA392" s="23"/>
      <c r="BB392" s="19"/>
      <c r="BC392" s="19"/>
      <c r="BD392" s="19"/>
    </row>
    <row r="393" spans="1:56">
      <c r="A393" s="13"/>
      <c r="B393" s="11"/>
      <c r="C393" s="12"/>
      <c r="D393" s="12">
        <f t="shared" si="70"/>
        <v>2.0833299999999999E-2</v>
      </c>
      <c r="E393" s="10"/>
      <c r="F393" s="10" t="str">
        <f>IFERROR(VLOOKUP(E393,Data!A$2:B$5,2,TRUE), "")</f>
        <v/>
      </c>
      <c r="G393" s="3"/>
      <c r="H393" s="13" t="str">
        <f>IFERROR(VLOOKUP(A393,Customer_Data!$A$1:$P$114,8,TRUE),"")</f>
        <v/>
      </c>
      <c r="I393" s="13"/>
      <c r="J393" s="3" t="str">
        <f t="shared" si="76"/>
        <v/>
      </c>
      <c r="K393" s="62" t="e">
        <f>(VLOOKUP($J393,Herbicide_Data!$A$1:$L$61,9,TRUE))</f>
        <v>#N/A</v>
      </c>
      <c r="L393" s="62" t="e">
        <f>VLOOKUP($J393,Herbicide_Data!$A$1:$L$61,12,TRUE)</f>
        <v>#N/A</v>
      </c>
      <c r="M393" s="16" t="e">
        <f t="shared" si="71"/>
        <v>#N/A</v>
      </c>
      <c r="N393" s="62" t="str">
        <f t="shared" si="77"/>
        <v/>
      </c>
      <c r="O393" s="63" t="e">
        <f>VLOOKUP($N393,Herbicide_Data!$A$1:$L$61,9)</f>
        <v>#N/A</v>
      </c>
      <c r="P393" s="62" t="e">
        <f>VLOOKUP($N393,Herbicide_Data!$A$1:$P$61,13)</f>
        <v>#N/A</v>
      </c>
      <c r="Q393" s="16" t="e">
        <f t="shared" si="72"/>
        <v>#N/A</v>
      </c>
      <c r="R393" s="62" t="str">
        <f t="shared" si="78"/>
        <v/>
      </c>
      <c r="S393" s="63" t="e">
        <f>VLOOKUP($R393,Herbicide_Data!$A$1:$L$61,9)</f>
        <v>#N/A</v>
      </c>
      <c r="T393" s="62" t="e">
        <f>VLOOKUP($R393,Herbicide_Data!$A$1:$Q$61,13)</f>
        <v>#N/A</v>
      </c>
      <c r="U393" s="16" t="e">
        <f t="shared" si="73"/>
        <v>#N/A</v>
      </c>
      <c r="V393" s="62" t="b">
        <f t="shared" si="79"/>
        <v>0</v>
      </c>
      <c r="W393" s="63" t="e">
        <f>VLOOKUP($V393,Herbicide_Data!$A$1:$L$17,9)</f>
        <v>#N/A</v>
      </c>
      <c r="X393" s="62" t="e">
        <f>VLOOKUP($V393,Herbicide_Data!$A$1:$L$17,12)</f>
        <v>#N/A</v>
      </c>
      <c r="Y393" s="16" t="e">
        <f t="shared" si="74"/>
        <v>#N/A</v>
      </c>
      <c r="Z393" s="15"/>
      <c r="AA393" s="13"/>
      <c r="AB393" s="17"/>
      <c r="AC393" s="3"/>
      <c r="AD393" s="10"/>
      <c r="AE393" s="3"/>
      <c r="AF393" s="10"/>
      <c r="AG393" s="15"/>
      <c r="AH393" s="62" t="str">
        <f t="shared" si="69"/>
        <v/>
      </c>
      <c r="AI393" s="62" t="e">
        <f>VLOOKUP($AH393,Herbicide_Data!$A$1:$Q$61,13)</f>
        <v>#N/A</v>
      </c>
      <c r="AJ393" s="16" t="e">
        <f t="shared" si="75"/>
        <v>#N/A</v>
      </c>
      <c r="AK393" s="3"/>
      <c r="AL393" s="3"/>
      <c r="AM393" s="3"/>
      <c r="AN393" s="3"/>
      <c r="AO393" s="3"/>
      <c r="AP393" s="3"/>
      <c r="AQ393" s="18"/>
      <c r="AR393" s="19"/>
      <c r="AS393" s="19"/>
      <c r="AT393" s="20"/>
      <c r="AU393" s="20"/>
      <c r="AV393" s="21"/>
      <c r="AW393" s="22"/>
      <c r="AX393" s="19"/>
      <c r="AY393" s="19"/>
      <c r="AZ393" s="19"/>
      <c r="BA393" s="23"/>
      <c r="BB393" s="19"/>
      <c r="BC393" s="19"/>
      <c r="BD393" s="19"/>
    </row>
    <row r="394" spans="1:56">
      <c r="A394" s="13"/>
      <c r="B394" s="11"/>
      <c r="C394" s="12"/>
      <c r="D394" s="12">
        <f t="shared" si="70"/>
        <v>2.0833299999999999E-2</v>
      </c>
      <c r="E394" s="10"/>
      <c r="F394" s="10" t="str">
        <f>IFERROR(VLOOKUP(E394,Data!A$2:B$5,2,TRUE), "")</f>
        <v/>
      </c>
      <c r="G394" s="3"/>
      <c r="H394" s="13" t="str">
        <f>IFERROR(VLOOKUP(A394,Customer_Data!$A$1:$P$114,8,TRUE),"")</f>
        <v/>
      </c>
      <c r="I394" s="13"/>
      <c r="J394" s="3" t="str">
        <f t="shared" si="76"/>
        <v/>
      </c>
      <c r="K394" s="62" t="e">
        <f>(VLOOKUP($J394,Herbicide_Data!$A$1:$L$61,9,TRUE))</f>
        <v>#N/A</v>
      </c>
      <c r="L394" s="62" t="e">
        <f>VLOOKUP($J394,Herbicide_Data!$A$1:$L$61,12,TRUE)</f>
        <v>#N/A</v>
      </c>
      <c r="M394" s="16" t="e">
        <f t="shared" si="71"/>
        <v>#N/A</v>
      </c>
      <c r="N394" s="62" t="str">
        <f t="shared" si="77"/>
        <v/>
      </c>
      <c r="O394" s="63" t="e">
        <f>VLOOKUP($N394,Herbicide_Data!$A$1:$L$61,9)</f>
        <v>#N/A</v>
      </c>
      <c r="P394" s="62" t="e">
        <f>VLOOKUP($N394,Herbicide_Data!$A$1:$P$61,13)</f>
        <v>#N/A</v>
      </c>
      <c r="Q394" s="16" t="e">
        <f t="shared" si="72"/>
        <v>#N/A</v>
      </c>
      <c r="R394" s="62" t="str">
        <f t="shared" si="78"/>
        <v/>
      </c>
      <c r="S394" s="63" t="e">
        <f>VLOOKUP($R394,Herbicide_Data!$A$1:$L$61,9)</f>
        <v>#N/A</v>
      </c>
      <c r="T394" s="62" t="e">
        <f>VLOOKUP($R394,Herbicide_Data!$A$1:$Q$61,13)</f>
        <v>#N/A</v>
      </c>
      <c r="U394" s="16" t="e">
        <f t="shared" si="73"/>
        <v>#N/A</v>
      </c>
      <c r="V394" s="62" t="b">
        <f t="shared" si="79"/>
        <v>0</v>
      </c>
      <c r="W394" s="63" t="e">
        <f>VLOOKUP($V394,Herbicide_Data!$A$1:$L$17,9)</f>
        <v>#N/A</v>
      </c>
      <c r="X394" s="62" t="e">
        <f>VLOOKUP($V394,Herbicide_Data!$A$1:$L$17,12)</f>
        <v>#N/A</v>
      </c>
      <c r="Y394" s="16" t="e">
        <f t="shared" si="74"/>
        <v>#N/A</v>
      </c>
      <c r="Z394" s="15"/>
      <c r="AA394" s="13"/>
      <c r="AB394" s="17"/>
      <c r="AC394" s="3"/>
      <c r="AD394" s="10"/>
      <c r="AE394" s="3"/>
      <c r="AF394" s="10"/>
      <c r="AG394" s="15"/>
      <c r="AH394" s="62" t="str">
        <f t="shared" si="69"/>
        <v/>
      </c>
      <c r="AI394" s="62" t="e">
        <f>VLOOKUP($AH394,Herbicide_Data!$A$1:$Q$61,13)</f>
        <v>#N/A</v>
      </c>
      <c r="AJ394" s="16" t="e">
        <f t="shared" si="75"/>
        <v>#N/A</v>
      </c>
      <c r="AK394" s="3"/>
      <c r="AL394" s="3"/>
      <c r="AM394" s="3"/>
      <c r="AN394" s="3"/>
      <c r="AO394" s="3"/>
      <c r="AP394" s="3"/>
      <c r="AQ394" s="18"/>
      <c r="AR394" s="19"/>
      <c r="AS394" s="19"/>
      <c r="AT394" s="20"/>
      <c r="AU394" s="20"/>
      <c r="AV394" s="21"/>
      <c r="AW394" s="22"/>
      <c r="AX394" s="19"/>
      <c r="AY394" s="19"/>
      <c r="AZ394" s="19"/>
      <c r="BA394" s="23"/>
      <c r="BB394" s="19"/>
      <c r="BC394" s="19"/>
      <c r="BD394" s="19"/>
    </row>
    <row r="395" spans="1:56">
      <c r="A395" s="13"/>
      <c r="B395" s="11"/>
      <c r="C395" s="12"/>
      <c r="D395" s="12">
        <f t="shared" si="70"/>
        <v>2.0833299999999999E-2</v>
      </c>
      <c r="E395" s="10"/>
      <c r="F395" s="10" t="str">
        <f>IFERROR(VLOOKUP(E395,Data!A$2:B$5,2,TRUE), "")</f>
        <v/>
      </c>
      <c r="G395" s="3"/>
      <c r="H395" s="13" t="str">
        <f>IFERROR(VLOOKUP(A395,Customer_Data!$A$1:$P$114,8,TRUE),"")</f>
        <v/>
      </c>
      <c r="I395" s="13"/>
      <c r="J395" s="3" t="str">
        <f t="shared" si="76"/>
        <v/>
      </c>
      <c r="K395" s="62" t="e">
        <f>(VLOOKUP($J395,Herbicide_Data!$A$1:$L$61,9,TRUE))</f>
        <v>#N/A</v>
      </c>
      <c r="L395" s="62" t="e">
        <f>VLOOKUP($J395,Herbicide_Data!$A$1:$L$61,12,TRUE)</f>
        <v>#N/A</v>
      </c>
      <c r="M395" s="16" t="e">
        <f t="shared" si="71"/>
        <v>#N/A</v>
      </c>
      <c r="N395" s="62" t="str">
        <f t="shared" si="77"/>
        <v/>
      </c>
      <c r="O395" s="63" t="e">
        <f>VLOOKUP($N395,Herbicide_Data!$A$1:$L$61,9)</f>
        <v>#N/A</v>
      </c>
      <c r="P395" s="62" t="e">
        <f>VLOOKUP($N395,Herbicide_Data!$A$1:$P$61,13)</f>
        <v>#N/A</v>
      </c>
      <c r="Q395" s="16" t="e">
        <f t="shared" si="72"/>
        <v>#N/A</v>
      </c>
      <c r="R395" s="62" t="str">
        <f t="shared" si="78"/>
        <v/>
      </c>
      <c r="S395" s="63" t="e">
        <f>VLOOKUP($R395,Herbicide_Data!$A$1:$L$61,9)</f>
        <v>#N/A</v>
      </c>
      <c r="T395" s="62" t="e">
        <f>VLOOKUP($R395,Herbicide_Data!$A$1:$Q$61,13)</f>
        <v>#N/A</v>
      </c>
      <c r="U395" s="16" t="e">
        <f t="shared" si="73"/>
        <v>#N/A</v>
      </c>
      <c r="V395" s="62" t="b">
        <f t="shared" si="79"/>
        <v>0</v>
      </c>
      <c r="W395" s="63" t="e">
        <f>VLOOKUP($V395,Herbicide_Data!$A$1:$L$17,9)</f>
        <v>#N/A</v>
      </c>
      <c r="X395" s="62" t="e">
        <f>VLOOKUP($V395,Herbicide_Data!$A$1:$L$17,12)</f>
        <v>#N/A</v>
      </c>
      <c r="Y395" s="16" t="e">
        <f t="shared" si="74"/>
        <v>#N/A</v>
      </c>
      <c r="Z395" s="15"/>
      <c r="AA395" s="13"/>
      <c r="AB395" s="17"/>
      <c r="AC395" s="3"/>
      <c r="AD395" s="10"/>
      <c r="AE395" s="3"/>
      <c r="AF395" s="10"/>
      <c r="AG395" s="15"/>
      <c r="AH395" s="62" t="str">
        <f t="shared" si="69"/>
        <v/>
      </c>
      <c r="AI395" s="62" t="e">
        <f>VLOOKUP($AH395,Herbicide_Data!$A$1:$Q$61,13)</f>
        <v>#N/A</v>
      </c>
      <c r="AJ395" s="16" t="e">
        <f t="shared" si="75"/>
        <v>#N/A</v>
      </c>
      <c r="AK395" s="3"/>
      <c r="AL395" s="3"/>
      <c r="AM395" s="3"/>
      <c r="AN395" s="3"/>
      <c r="AO395" s="3"/>
      <c r="AP395" s="3"/>
      <c r="AQ395" s="18"/>
      <c r="AR395" s="19"/>
      <c r="AS395" s="19"/>
      <c r="AT395" s="20"/>
      <c r="AU395" s="20"/>
      <c r="AV395" s="21"/>
      <c r="AW395" s="22"/>
      <c r="AX395" s="19"/>
      <c r="AY395" s="19"/>
      <c r="AZ395" s="19"/>
      <c r="BA395" s="23"/>
      <c r="BB395" s="19"/>
      <c r="BC395" s="19"/>
      <c r="BD395" s="19"/>
    </row>
    <row r="396" spans="1:56">
      <c r="A396" s="13"/>
      <c r="B396" s="11"/>
      <c r="C396" s="12"/>
      <c r="D396" s="12">
        <f t="shared" si="70"/>
        <v>2.0833299999999999E-2</v>
      </c>
      <c r="E396" s="10"/>
      <c r="F396" s="10" t="str">
        <f>IFERROR(VLOOKUP(E396,Data!A$2:B$5,2,TRUE), "")</f>
        <v/>
      </c>
      <c r="G396" s="3"/>
      <c r="H396" s="13" t="str">
        <f>IFERROR(VLOOKUP(A396,Customer_Data!$A$1:$P$114,8,TRUE),"")</f>
        <v/>
      </c>
      <c r="I396" s="13"/>
      <c r="J396" s="3" t="str">
        <f t="shared" si="76"/>
        <v/>
      </c>
      <c r="K396" s="62" t="e">
        <f>(VLOOKUP($J396,Herbicide_Data!$A$1:$L$61,9,TRUE))</f>
        <v>#N/A</v>
      </c>
      <c r="L396" s="62" t="e">
        <f>VLOOKUP($J396,Herbicide_Data!$A$1:$L$61,12,TRUE)</f>
        <v>#N/A</v>
      </c>
      <c r="M396" s="16" t="e">
        <f t="shared" si="71"/>
        <v>#N/A</v>
      </c>
      <c r="N396" s="62" t="str">
        <f t="shared" si="77"/>
        <v/>
      </c>
      <c r="O396" s="63" t="e">
        <f>VLOOKUP($N396,Herbicide_Data!$A$1:$L$61,9)</f>
        <v>#N/A</v>
      </c>
      <c r="P396" s="62" t="e">
        <f>VLOOKUP($N396,Herbicide_Data!$A$1:$P$61,13)</f>
        <v>#N/A</v>
      </c>
      <c r="Q396" s="16" t="e">
        <f t="shared" si="72"/>
        <v>#N/A</v>
      </c>
      <c r="R396" s="62" t="str">
        <f t="shared" si="78"/>
        <v/>
      </c>
      <c r="S396" s="63" t="e">
        <f>VLOOKUP($R396,Herbicide_Data!$A$1:$L$61,9)</f>
        <v>#N/A</v>
      </c>
      <c r="T396" s="62" t="e">
        <f>VLOOKUP($R396,Herbicide_Data!$A$1:$Q$61,13)</f>
        <v>#N/A</v>
      </c>
      <c r="U396" s="16" t="e">
        <f t="shared" si="73"/>
        <v>#N/A</v>
      </c>
      <c r="V396" s="62" t="b">
        <f t="shared" si="79"/>
        <v>0</v>
      </c>
      <c r="W396" s="63" t="e">
        <f>VLOOKUP($V396,Herbicide_Data!$A$1:$L$17,9)</f>
        <v>#N/A</v>
      </c>
      <c r="X396" s="62" t="e">
        <f>VLOOKUP($V396,Herbicide_Data!$A$1:$L$17,12)</f>
        <v>#N/A</v>
      </c>
      <c r="Y396" s="16" t="e">
        <f t="shared" si="74"/>
        <v>#N/A</v>
      </c>
      <c r="Z396" s="15"/>
      <c r="AA396" s="13"/>
      <c r="AB396" s="17"/>
      <c r="AC396" s="3"/>
      <c r="AD396" s="10"/>
      <c r="AE396" s="3"/>
      <c r="AF396" s="10"/>
      <c r="AG396" s="15"/>
      <c r="AH396" s="62" t="str">
        <f t="shared" si="69"/>
        <v/>
      </c>
      <c r="AI396" s="62" t="e">
        <f>VLOOKUP($AH396,Herbicide_Data!$A$1:$Q$61,13)</f>
        <v>#N/A</v>
      </c>
      <c r="AJ396" s="16" t="e">
        <f t="shared" si="75"/>
        <v>#N/A</v>
      </c>
      <c r="AK396" s="3"/>
      <c r="AL396" s="3"/>
      <c r="AM396" s="3"/>
      <c r="AN396" s="3"/>
      <c r="AO396" s="3"/>
      <c r="AP396" s="3"/>
      <c r="AQ396" s="18"/>
      <c r="AR396" s="19"/>
      <c r="AS396" s="19"/>
      <c r="AT396" s="20"/>
      <c r="AU396" s="20"/>
      <c r="AV396" s="21"/>
      <c r="AW396" s="22"/>
      <c r="AX396" s="19"/>
      <c r="AY396" s="19"/>
      <c r="AZ396" s="19"/>
      <c r="BA396" s="23"/>
      <c r="BB396" s="19"/>
      <c r="BC396" s="19"/>
      <c r="BD396" s="19"/>
    </row>
    <row r="397" spans="1:56">
      <c r="A397" s="13"/>
      <c r="B397" s="11"/>
      <c r="C397" s="12"/>
      <c r="D397" s="12">
        <f t="shared" si="70"/>
        <v>2.0833299999999999E-2</v>
      </c>
      <c r="E397" s="10"/>
      <c r="F397" s="10" t="str">
        <f>IFERROR(VLOOKUP(E397,Data!A$2:B$5,2,TRUE), "")</f>
        <v/>
      </c>
      <c r="G397" s="3"/>
      <c r="H397" s="13" t="str">
        <f>IFERROR(VLOOKUP(A397,Customer_Data!$A$1:$P$114,8,TRUE),"")</f>
        <v/>
      </c>
      <c r="I397" s="13"/>
      <c r="J397" s="3" t="str">
        <f t="shared" si="76"/>
        <v/>
      </c>
      <c r="K397" s="62" t="e">
        <f>(VLOOKUP($J397,Herbicide_Data!$A$1:$L$61,9,TRUE))</f>
        <v>#N/A</v>
      </c>
      <c r="L397" s="62" t="e">
        <f>VLOOKUP($J397,Herbicide_Data!$A$1:$L$61,12,TRUE)</f>
        <v>#N/A</v>
      </c>
      <c r="M397" s="16" t="e">
        <f t="shared" si="71"/>
        <v>#N/A</v>
      </c>
      <c r="N397" s="62" t="str">
        <f t="shared" si="77"/>
        <v/>
      </c>
      <c r="O397" s="63" t="e">
        <f>VLOOKUP($N397,Herbicide_Data!$A$1:$L$61,9)</f>
        <v>#N/A</v>
      </c>
      <c r="P397" s="62" t="e">
        <f>VLOOKUP($N397,Herbicide_Data!$A$1:$P$61,13)</f>
        <v>#N/A</v>
      </c>
      <c r="Q397" s="16" t="e">
        <f t="shared" si="72"/>
        <v>#N/A</v>
      </c>
      <c r="R397" s="62" t="str">
        <f t="shared" si="78"/>
        <v/>
      </c>
      <c r="S397" s="63" t="e">
        <f>VLOOKUP($R397,Herbicide_Data!$A$1:$L$61,9)</f>
        <v>#N/A</v>
      </c>
      <c r="T397" s="62" t="e">
        <f>VLOOKUP($R397,Herbicide_Data!$A$1:$Q$61,13)</f>
        <v>#N/A</v>
      </c>
      <c r="U397" s="16" t="e">
        <f t="shared" si="73"/>
        <v>#N/A</v>
      </c>
      <c r="V397" s="62" t="b">
        <f t="shared" si="79"/>
        <v>0</v>
      </c>
      <c r="W397" s="63" t="e">
        <f>VLOOKUP($V397,Herbicide_Data!$A$1:$L$17,9)</f>
        <v>#N/A</v>
      </c>
      <c r="X397" s="62" t="e">
        <f>VLOOKUP($V397,Herbicide_Data!$A$1:$L$17,12)</f>
        <v>#N/A</v>
      </c>
      <c r="Y397" s="16" t="e">
        <f t="shared" si="74"/>
        <v>#N/A</v>
      </c>
      <c r="Z397" s="15"/>
      <c r="AA397" s="13"/>
      <c r="AB397" s="17"/>
      <c r="AC397" s="3"/>
      <c r="AD397" s="10"/>
      <c r="AE397" s="3"/>
      <c r="AF397" s="10"/>
      <c r="AG397" s="15"/>
      <c r="AH397" s="62" t="str">
        <f t="shared" si="69"/>
        <v/>
      </c>
      <c r="AI397" s="62" t="e">
        <f>VLOOKUP($AH397,Herbicide_Data!$A$1:$Q$61,13)</f>
        <v>#N/A</v>
      </c>
      <c r="AJ397" s="16" t="e">
        <f t="shared" si="75"/>
        <v>#N/A</v>
      </c>
      <c r="AK397" s="3"/>
      <c r="AL397" s="3"/>
      <c r="AM397" s="3"/>
      <c r="AN397" s="3"/>
      <c r="AO397" s="3"/>
      <c r="AP397" s="3"/>
      <c r="AQ397" s="18"/>
      <c r="AR397" s="19"/>
      <c r="AS397" s="19"/>
      <c r="AT397" s="20"/>
      <c r="AU397" s="20"/>
      <c r="AV397" s="21"/>
      <c r="AW397" s="22"/>
      <c r="AX397" s="19"/>
      <c r="AY397" s="19"/>
      <c r="AZ397" s="19"/>
      <c r="BA397" s="23"/>
      <c r="BB397" s="19"/>
      <c r="BC397" s="19"/>
      <c r="BD397" s="19"/>
    </row>
    <row r="398" spans="1:56">
      <c r="A398" s="13"/>
      <c r="B398" s="11"/>
      <c r="C398" s="12"/>
      <c r="D398" s="12">
        <f t="shared" si="70"/>
        <v>2.0833299999999999E-2</v>
      </c>
      <c r="E398" s="10"/>
      <c r="F398" s="10" t="str">
        <f>IFERROR(VLOOKUP(E398,Data!A$2:B$5,2,TRUE), "")</f>
        <v/>
      </c>
      <c r="G398" s="3"/>
      <c r="H398" s="13" t="str">
        <f>IFERROR(VLOOKUP(A398,Customer_Data!$A$1:$P$114,8,TRUE),"")</f>
        <v/>
      </c>
      <c r="I398" s="13"/>
      <c r="J398" s="3" t="str">
        <f t="shared" si="76"/>
        <v/>
      </c>
      <c r="K398" s="62" t="e">
        <f>(VLOOKUP($J398,Herbicide_Data!$A$1:$L$61,9,TRUE))</f>
        <v>#N/A</v>
      </c>
      <c r="L398" s="62" t="e">
        <f>VLOOKUP($J398,Herbicide_Data!$A$1:$L$61,12,TRUE)</f>
        <v>#N/A</v>
      </c>
      <c r="M398" s="16" t="e">
        <f t="shared" si="71"/>
        <v>#N/A</v>
      </c>
      <c r="N398" s="62" t="str">
        <f t="shared" si="77"/>
        <v/>
      </c>
      <c r="O398" s="63" t="e">
        <f>VLOOKUP($N398,Herbicide_Data!$A$1:$L$61,9)</f>
        <v>#N/A</v>
      </c>
      <c r="P398" s="62" t="e">
        <f>VLOOKUP($N398,Herbicide_Data!$A$1:$P$61,13)</f>
        <v>#N/A</v>
      </c>
      <c r="Q398" s="16" t="e">
        <f t="shared" si="72"/>
        <v>#N/A</v>
      </c>
      <c r="R398" s="62" t="str">
        <f t="shared" si="78"/>
        <v/>
      </c>
      <c r="S398" s="63" t="e">
        <f>VLOOKUP($R398,Herbicide_Data!$A$1:$L$61,9)</f>
        <v>#N/A</v>
      </c>
      <c r="T398" s="62" t="e">
        <f>VLOOKUP($R398,Herbicide_Data!$A$1:$Q$61,13)</f>
        <v>#N/A</v>
      </c>
      <c r="U398" s="16" t="e">
        <f t="shared" si="73"/>
        <v>#N/A</v>
      </c>
      <c r="V398" s="62" t="b">
        <f t="shared" si="79"/>
        <v>0</v>
      </c>
      <c r="W398" s="63" t="e">
        <f>VLOOKUP($V398,Herbicide_Data!$A$1:$L$17,9)</f>
        <v>#N/A</v>
      </c>
      <c r="X398" s="62" t="e">
        <f>VLOOKUP($V398,Herbicide_Data!$A$1:$L$17,12)</f>
        <v>#N/A</v>
      </c>
      <c r="Y398" s="16" t="e">
        <f t="shared" si="74"/>
        <v>#N/A</v>
      </c>
      <c r="Z398" s="15"/>
      <c r="AA398" s="13"/>
      <c r="AB398" s="17"/>
      <c r="AC398" s="3"/>
      <c r="AD398" s="10"/>
      <c r="AE398" s="3"/>
      <c r="AF398" s="10"/>
      <c r="AG398" s="15"/>
      <c r="AH398" s="62" t="str">
        <f t="shared" si="69"/>
        <v/>
      </c>
      <c r="AI398" s="62" t="e">
        <f>VLOOKUP($AH398,Herbicide_Data!$A$1:$Q$61,13)</f>
        <v>#N/A</v>
      </c>
      <c r="AJ398" s="16" t="e">
        <f t="shared" si="75"/>
        <v>#N/A</v>
      </c>
      <c r="AK398" s="3"/>
      <c r="AL398" s="3"/>
      <c r="AM398" s="3"/>
      <c r="AN398" s="3"/>
      <c r="AO398" s="3"/>
      <c r="AP398" s="3"/>
      <c r="AQ398" s="18"/>
      <c r="AR398" s="19"/>
      <c r="AS398" s="19"/>
      <c r="AT398" s="20"/>
      <c r="AU398" s="20"/>
      <c r="AV398" s="21"/>
      <c r="AW398" s="22"/>
      <c r="AX398" s="19"/>
      <c r="AY398" s="19"/>
      <c r="AZ398" s="19"/>
      <c r="BA398" s="23"/>
      <c r="BB398" s="19"/>
      <c r="BC398" s="19"/>
      <c r="BD398" s="19"/>
    </row>
    <row r="399" spans="1:56">
      <c r="A399" s="13"/>
      <c r="B399" s="11"/>
      <c r="C399" s="12"/>
      <c r="D399" s="12">
        <f t="shared" si="70"/>
        <v>2.0833299999999999E-2</v>
      </c>
      <c r="E399" s="10"/>
      <c r="F399" s="10" t="str">
        <f>IFERROR(VLOOKUP(E399,Data!A$2:B$5,2,TRUE), "")</f>
        <v/>
      </c>
      <c r="G399" s="3"/>
      <c r="H399" s="13" t="str">
        <f>IFERROR(VLOOKUP(A399,Customer_Data!$A$1:$P$114,8,TRUE),"")</f>
        <v/>
      </c>
      <c r="I399" s="13"/>
      <c r="J399" s="3" t="str">
        <f t="shared" si="76"/>
        <v/>
      </c>
      <c r="K399" s="62" t="e">
        <f>(VLOOKUP($J399,Herbicide_Data!$A$1:$L$61,9,TRUE))</f>
        <v>#N/A</v>
      </c>
      <c r="L399" s="62" t="e">
        <f>VLOOKUP($J399,Herbicide_Data!$A$1:$L$61,12,TRUE)</f>
        <v>#N/A</v>
      </c>
      <c r="M399" s="16" t="e">
        <f t="shared" si="71"/>
        <v>#N/A</v>
      </c>
      <c r="N399" s="62" t="str">
        <f t="shared" si="77"/>
        <v/>
      </c>
      <c r="O399" s="63" t="e">
        <f>VLOOKUP($N399,Herbicide_Data!$A$1:$L$61,9)</f>
        <v>#N/A</v>
      </c>
      <c r="P399" s="62" t="e">
        <f>VLOOKUP($N399,Herbicide_Data!$A$1:$P$61,13)</f>
        <v>#N/A</v>
      </c>
      <c r="Q399" s="16" t="e">
        <f t="shared" si="72"/>
        <v>#N/A</v>
      </c>
      <c r="R399" s="62" t="str">
        <f t="shared" si="78"/>
        <v/>
      </c>
      <c r="S399" s="63" t="e">
        <f>VLOOKUP($R399,Herbicide_Data!$A$1:$L$61,9)</f>
        <v>#N/A</v>
      </c>
      <c r="T399" s="62" t="e">
        <f>VLOOKUP($R399,Herbicide_Data!$A$1:$Q$61,13)</f>
        <v>#N/A</v>
      </c>
      <c r="U399" s="16" t="e">
        <f t="shared" si="73"/>
        <v>#N/A</v>
      </c>
      <c r="V399" s="62" t="b">
        <f t="shared" si="79"/>
        <v>0</v>
      </c>
      <c r="W399" s="63" t="e">
        <f>VLOOKUP($V399,Herbicide_Data!$A$1:$L$17,9)</f>
        <v>#N/A</v>
      </c>
      <c r="X399" s="62" t="e">
        <f>VLOOKUP($V399,Herbicide_Data!$A$1:$L$17,12)</f>
        <v>#N/A</v>
      </c>
      <c r="Y399" s="16" t="e">
        <f t="shared" si="74"/>
        <v>#N/A</v>
      </c>
      <c r="Z399" s="15"/>
      <c r="AA399" s="13"/>
      <c r="AB399" s="17"/>
      <c r="AC399" s="3"/>
      <c r="AD399" s="10"/>
      <c r="AE399" s="3"/>
      <c r="AF399" s="10"/>
      <c r="AG399" s="15"/>
      <c r="AH399" s="62" t="str">
        <f t="shared" si="69"/>
        <v/>
      </c>
      <c r="AI399" s="62" t="e">
        <f>VLOOKUP($AH399,Herbicide_Data!$A$1:$Q$61,13)</f>
        <v>#N/A</v>
      </c>
      <c r="AJ399" s="16" t="e">
        <f t="shared" si="75"/>
        <v>#N/A</v>
      </c>
      <c r="AK399" s="3"/>
      <c r="AL399" s="3"/>
      <c r="AM399" s="3"/>
      <c r="AN399" s="3"/>
      <c r="AO399" s="3"/>
      <c r="AP399" s="3"/>
      <c r="AQ399" s="18"/>
      <c r="AR399" s="19"/>
      <c r="AS399" s="19"/>
      <c r="AT399" s="20"/>
      <c r="AU399" s="20"/>
      <c r="AV399" s="21"/>
      <c r="AW399" s="22"/>
      <c r="AX399" s="19"/>
      <c r="AY399" s="19"/>
      <c r="AZ399" s="19"/>
      <c r="BA399" s="23"/>
      <c r="BB399" s="19"/>
      <c r="BC399" s="19"/>
      <c r="BD399" s="19"/>
    </row>
    <row r="400" spans="1:56">
      <c r="A400" s="13"/>
      <c r="B400" s="11"/>
      <c r="C400" s="12"/>
      <c r="D400" s="12">
        <f t="shared" si="70"/>
        <v>2.0833299999999999E-2</v>
      </c>
      <c r="E400" s="10"/>
      <c r="F400" s="10" t="str">
        <f>IFERROR(VLOOKUP(E400,Data!A$2:B$5,2,TRUE), "")</f>
        <v/>
      </c>
      <c r="G400" s="3"/>
      <c r="H400" s="13" t="str">
        <f>IFERROR(VLOOKUP(A400,Customer_Data!$A$1:$P$114,8,TRUE),"")</f>
        <v/>
      </c>
      <c r="I400" s="13"/>
      <c r="J400" s="3" t="str">
        <f t="shared" si="76"/>
        <v/>
      </c>
      <c r="K400" s="62" t="e">
        <f>(VLOOKUP($J400,Herbicide_Data!$A$1:$L$61,9,TRUE))</f>
        <v>#N/A</v>
      </c>
      <c r="L400" s="62" t="e">
        <f>VLOOKUP($J400,Herbicide_Data!$A$1:$L$61,12,TRUE)</f>
        <v>#N/A</v>
      </c>
      <c r="M400" s="16" t="e">
        <f t="shared" si="71"/>
        <v>#N/A</v>
      </c>
      <c r="N400" s="62" t="str">
        <f t="shared" si="77"/>
        <v/>
      </c>
      <c r="O400" s="63" t="e">
        <f>VLOOKUP($N400,Herbicide_Data!$A$1:$L$61,9)</f>
        <v>#N/A</v>
      </c>
      <c r="P400" s="62" t="e">
        <f>VLOOKUP($N400,Herbicide_Data!$A$1:$P$61,13)</f>
        <v>#N/A</v>
      </c>
      <c r="Q400" s="16" t="e">
        <f t="shared" si="72"/>
        <v>#N/A</v>
      </c>
      <c r="R400" s="62" t="str">
        <f t="shared" si="78"/>
        <v/>
      </c>
      <c r="S400" s="63" t="e">
        <f>VLOOKUP($R400,Herbicide_Data!$A$1:$L$61,9)</f>
        <v>#N/A</v>
      </c>
      <c r="T400" s="62" t="e">
        <f>VLOOKUP($R400,Herbicide_Data!$A$1:$Q$61,13)</f>
        <v>#N/A</v>
      </c>
      <c r="U400" s="16" t="e">
        <f t="shared" si="73"/>
        <v>#N/A</v>
      </c>
      <c r="V400" s="62" t="b">
        <f t="shared" si="79"/>
        <v>0</v>
      </c>
      <c r="W400" s="63" t="e">
        <f>VLOOKUP($V400,Herbicide_Data!$A$1:$L$17,9)</f>
        <v>#N/A</v>
      </c>
      <c r="X400" s="62" t="e">
        <f>VLOOKUP($V400,Herbicide_Data!$A$1:$L$17,12)</f>
        <v>#N/A</v>
      </c>
      <c r="Y400" s="16" t="e">
        <f t="shared" si="74"/>
        <v>#N/A</v>
      </c>
      <c r="Z400" s="15"/>
      <c r="AA400" s="13"/>
      <c r="AB400" s="17"/>
      <c r="AC400" s="3"/>
      <c r="AD400" s="10"/>
      <c r="AE400" s="3"/>
      <c r="AF400" s="10"/>
      <c r="AG400" s="15"/>
      <c r="AH400" s="62" t="str">
        <f t="shared" si="69"/>
        <v/>
      </c>
      <c r="AI400" s="62" t="e">
        <f>VLOOKUP($AH400,Herbicide_Data!$A$1:$Q$61,13)</f>
        <v>#N/A</v>
      </c>
      <c r="AJ400" s="16" t="e">
        <f t="shared" si="75"/>
        <v>#N/A</v>
      </c>
      <c r="AK400" s="3"/>
      <c r="AL400" s="3"/>
      <c r="AM400" s="3"/>
      <c r="AN400" s="3"/>
      <c r="AO400" s="3"/>
      <c r="AP400" s="3"/>
      <c r="AQ400" s="18"/>
      <c r="AR400" s="19"/>
      <c r="AS400" s="19"/>
      <c r="AT400" s="20"/>
      <c r="AU400" s="20"/>
      <c r="AV400" s="21"/>
      <c r="AW400" s="22"/>
      <c r="AX400" s="19"/>
      <c r="AY400" s="19"/>
      <c r="AZ400" s="19"/>
      <c r="BA400" s="23"/>
      <c r="BB400" s="19"/>
      <c r="BC400" s="19"/>
      <c r="BD400" s="19"/>
    </row>
    <row r="401" spans="1:56">
      <c r="A401" s="13"/>
      <c r="B401" s="11"/>
      <c r="C401" s="12"/>
      <c r="D401" s="12">
        <f t="shared" si="70"/>
        <v>2.0833299999999999E-2</v>
      </c>
      <c r="E401" s="10"/>
      <c r="F401" s="10" t="str">
        <f>IFERROR(VLOOKUP(E401,Data!A$2:B$5,2,TRUE), "")</f>
        <v/>
      </c>
      <c r="G401" s="3"/>
      <c r="H401" s="13" t="str">
        <f>IFERROR(VLOOKUP(A401,Customer_Data!$A$1:$P$114,8,TRUE),"")</f>
        <v/>
      </c>
      <c r="I401" s="13"/>
      <c r="J401" s="3" t="str">
        <f t="shared" si="76"/>
        <v/>
      </c>
      <c r="K401" s="62" t="e">
        <f>(VLOOKUP($J401,Herbicide_Data!$A$1:$L$61,9,TRUE))</f>
        <v>#N/A</v>
      </c>
      <c r="L401" s="62" t="e">
        <f>VLOOKUP($J401,Herbicide_Data!$A$1:$L$61,12,TRUE)</f>
        <v>#N/A</v>
      </c>
      <c r="M401" s="16" t="e">
        <f t="shared" si="71"/>
        <v>#N/A</v>
      </c>
      <c r="N401" s="62" t="str">
        <f t="shared" si="77"/>
        <v/>
      </c>
      <c r="O401" s="63" t="e">
        <f>VLOOKUP($N401,Herbicide_Data!$A$1:$L$61,9)</f>
        <v>#N/A</v>
      </c>
      <c r="P401" s="62" t="e">
        <f>VLOOKUP($N401,Herbicide_Data!$A$1:$P$61,13)</f>
        <v>#N/A</v>
      </c>
      <c r="Q401" s="16" t="e">
        <f t="shared" si="72"/>
        <v>#N/A</v>
      </c>
      <c r="R401" s="62" t="str">
        <f t="shared" si="78"/>
        <v/>
      </c>
      <c r="S401" s="63" t="e">
        <f>VLOOKUP($R401,Herbicide_Data!$A$1:$L$61,9)</f>
        <v>#N/A</v>
      </c>
      <c r="T401" s="62" t="e">
        <f>VLOOKUP($R401,Herbicide_Data!$A$1:$Q$61,13)</f>
        <v>#N/A</v>
      </c>
      <c r="U401" s="16" t="e">
        <f t="shared" si="73"/>
        <v>#N/A</v>
      </c>
      <c r="V401" s="62" t="b">
        <f t="shared" si="79"/>
        <v>0</v>
      </c>
      <c r="W401" s="63" t="e">
        <f>VLOOKUP($V401,Herbicide_Data!$A$1:$L$17,9)</f>
        <v>#N/A</v>
      </c>
      <c r="X401" s="62" t="e">
        <f>VLOOKUP($V401,Herbicide_Data!$A$1:$L$17,12)</f>
        <v>#N/A</v>
      </c>
      <c r="Y401" s="16" t="e">
        <f t="shared" si="74"/>
        <v>#N/A</v>
      </c>
      <c r="Z401" s="15"/>
      <c r="AA401" s="13"/>
      <c r="AB401" s="17"/>
      <c r="AC401" s="3"/>
      <c r="AD401" s="10"/>
      <c r="AE401" s="3"/>
      <c r="AF401" s="10"/>
      <c r="AG401" s="15"/>
      <c r="AH401" s="62" t="str">
        <f t="shared" si="69"/>
        <v/>
      </c>
      <c r="AI401" s="62" t="e">
        <f>VLOOKUP($AH401,Herbicide_Data!$A$1:$Q$61,13)</f>
        <v>#N/A</v>
      </c>
      <c r="AJ401" s="16" t="e">
        <f t="shared" si="75"/>
        <v>#N/A</v>
      </c>
      <c r="AK401" s="3"/>
      <c r="AL401" s="3"/>
      <c r="AM401" s="3"/>
      <c r="AN401" s="3"/>
      <c r="AO401" s="3"/>
      <c r="AP401" s="3"/>
      <c r="AQ401" s="18"/>
      <c r="AR401" s="19"/>
      <c r="AS401" s="19"/>
      <c r="AT401" s="20"/>
      <c r="AU401" s="20"/>
      <c r="AV401" s="21"/>
      <c r="AW401" s="22"/>
      <c r="AX401" s="19"/>
      <c r="AY401" s="19"/>
      <c r="AZ401" s="19"/>
      <c r="BA401" s="23"/>
      <c r="BB401" s="19"/>
      <c r="BC401" s="19"/>
      <c r="BD401" s="19"/>
    </row>
    <row r="402" spans="1:56">
      <c r="A402" s="13"/>
      <c r="B402" s="11"/>
      <c r="C402" s="12"/>
      <c r="D402" s="12">
        <f t="shared" si="70"/>
        <v>2.0833299999999999E-2</v>
      </c>
      <c r="E402" s="10"/>
      <c r="F402" s="10" t="str">
        <f>IFERROR(VLOOKUP(E402,Data!A$2:B$5,2,TRUE), "")</f>
        <v/>
      </c>
      <c r="G402" s="3"/>
      <c r="H402" s="13" t="str">
        <f>IFERROR(VLOOKUP(A402,Customer_Data!$A$1:$P$114,8,TRUE),"")</f>
        <v/>
      </c>
      <c r="I402" s="13"/>
      <c r="J402" s="3" t="str">
        <f t="shared" si="76"/>
        <v/>
      </c>
      <c r="K402" s="62" t="e">
        <f>(VLOOKUP($J402,Herbicide_Data!$A$1:$L$61,9,TRUE))</f>
        <v>#N/A</v>
      </c>
      <c r="L402" s="62" t="e">
        <f>VLOOKUP($J402,Herbicide_Data!$A$1:$L$61,12,TRUE)</f>
        <v>#N/A</v>
      </c>
      <c r="M402" s="16" t="e">
        <f t="shared" si="71"/>
        <v>#N/A</v>
      </c>
      <c r="N402" s="62" t="str">
        <f t="shared" si="77"/>
        <v/>
      </c>
      <c r="O402" s="63" t="e">
        <f>VLOOKUP($N402,Herbicide_Data!$A$1:$L$61,9)</f>
        <v>#N/A</v>
      </c>
      <c r="P402" s="62" t="e">
        <f>VLOOKUP($N402,Herbicide_Data!$A$1:$P$61,13)</f>
        <v>#N/A</v>
      </c>
      <c r="Q402" s="16" t="e">
        <f t="shared" si="72"/>
        <v>#N/A</v>
      </c>
      <c r="R402" s="62" t="str">
        <f t="shared" si="78"/>
        <v/>
      </c>
      <c r="S402" s="63" t="e">
        <f>VLOOKUP($R402,Herbicide_Data!$A$1:$L$61,9)</f>
        <v>#N/A</v>
      </c>
      <c r="T402" s="62" t="e">
        <f>VLOOKUP($R402,Herbicide_Data!$A$1:$Q$61,13)</f>
        <v>#N/A</v>
      </c>
      <c r="U402" s="16" t="e">
        <f t="shared" si="73"/>
        <v>#N/A</v>
      </c>
      <c r="V402" s="62" t="b">
        <f t="shared" si="79"/>
        <v>0</v>
      </c>
      <c r="W402" s="63" t="e">
        <f>VLOOKUP($V402,Herbicide_Data!$A$1:$L$17,9)</f>
        <v>#N/A</v>
      </c>
      <c r="X402" s="62" t="e">
        <f>VLOOKUP($V402,Herbicide_Data!$A$1:$L$17,12)</f>
        <v>#N/A</v>
      </c>
      <c r="Y402" s="16" t="e">
        <f t="shared" si="74"/>
        <v>#N/A</v>
      </c>
      <c r="Z402" s="15"/>
      <c r="AA402" s="13"/>
      <c r="AB402" s="17"/>
      <c r="AC402" s="3"/>
      <c r="AD402" s="10"/>
      <c r="AE402" s="3"/>
      <c r="AF402" s="10"/>
      <c r="AG402" s="15"/>
      <c r="AH402" s="62" t="str">
        <f t="shared" si="69"/>
        <v/>
      </c>
      <c r="AI402" s="62" t="e">
        <f>VLOOKUP($AH402,Herbicide_Data!$A$1:$Q$61,13)</f>
        <v>#N/A</v>
      </c>
      <c r="AJ402" s="16" t="e">
        <f t="shared" si="75"/>
        <v>#N/A</v>
      </c>
      <c r="AK402" s="3"/>
      <c r="AL402" s="3"/>
      <c r="AM402" s="3"/>
      <c r="AN402" s="3"/>
      <c r="AO402" s="3"/>
      <c r="AP402" s="3"/>
      <c r="AQ402" s="18"/>
      <c r="AR402" s="19"/>
      <c r="AS402" s="19"/>
      <c r="AT402" s="20"/>
      <c r="AU402" s="20"/>
      <c r="AV402" s="21"/>
      <c r="AW402" s="22"/>
      <c r="AX402" s="19"/>
      <c r="AY402" s="19"/>
      <c r="AZ402" s="19"/>
      <c r="BA402" s="23"/>
      <c r="BB402" s="19"/>
      <c r="BC402" s="19"/>
      <c r="BD402" s="19"/>
    </row>
    <row r="403" spans="1:56">
      <c r="A403" s="13"/>
      <c r="B403" s="11"/>
      <c r="C403" s="12"/>
      <c r="D403" s="12">
        <f t="shared" si="70"/>
        <v>2.0833299999999999E-2</v>
      </c>
      <c r="E403" s="10"/>
      <c r="F403" s="10" t="str">
        <f>IFERROR(VLOOKUP(E403,Data!A$2:B$5,2,TRUE), "")</f>
        <v/>
      </c>
      <c r="G403" s="3"/>
      <c r="H403" s="13" t="str">
        <f>IFERROR(VLOOKUP(A403,Customer_Data!$A$1:$P$114,8,TRUE),"")</f>
        <v/>
      </c>
      <c r="I403" s="13"/>
      <c r="J403" s="3" t="str">
        <f t="shared" si="76"/>
        <v/>
      </c>
      <c r="K403" s="62" t="e">
        <f>(VLOOKUP($J403,Herbicide_Data!$A$1:$L$61,9,TRUE))</f>
        <v>#N/A</v>
      </c>
      <c r="L403" s="62" t="e">
        <f>VLOOKUP($J403,Herbicide_Data!$A$1:$L$61,12,TRUE)</f>
        <v>#N/A</v>
      </c>
      <c r="M403" s="16" t="e">
        <f t="shared" si="71"/>
        <v>#N/A</v>
      </c>
      <c r="N403" s="62" t="str">
        <f t="shared" si="77"/>
        <v/>
      </c>
      <c r="O403" s="63" t="e">
        <f>VLOOKUP($N403,Herbicide_Data!$A$1:$L$61,9)</f>
        <v>#N/A</v>
      </c>
      <c r="P403" s="62" t="e">
        <f>VLOOKUP($N403,Herbicide_Data!$A$1:$P$61,13)</f>
        <v>#N/A</v>
      </c>
      <c r="Q403" s="16" t="e">
        <f t="shared" si="72"/>
        <v>#N/A</v>
      </c>
      <c r="R403" s="62" t="str">
        <f t="shared" si="78"/>
        <v/>
      </c>
      <c r="S403" s="63" t="e">
        <f>VLOOKUP($R403,Herbicide_Data!$A$1:$L$61,9)</f>
        <v>#N/A</v>
      </c>
      <c r="T403" s="62" t="e">
        <f>VLOOKUP($R403,Herbicide_Data!$A$1:$Q$61,13)</f>
        <v>#N/A</v>
      </c>
      <c r="U403" s="16" t="e">
        <f t="shared" si="73"/>
        <v>#N/A</v>
      </c>
      <c r="V403" s="62" t="b">
        <f t="shared" si="79"/>
        <v>0</v>
      </c>
      <c r="W403" s="63" t="e">
        <f>VLOOKUP($V403,Herbicide_Data!$A$1:$L$17,9)</f>
        <v>#N/A</v>
      </c>
      <c r="X403" s="62" t="e">
        <f>VLOOKUP($V403,Herbicide_Data!$A$1:$L$17,12)</f>
        <v>#N/A</v>
      </c>
      <c r="Y403" s="16" t="e">
        <f t="shared" si="74"/>
        <v>#N/A</v>
      </c>
      <c r="Z403" s="15"/>
      <c r="AA403" s="13"/>
      <c r="AB403" s="17"/>
      <c r="AC403" s="3"/>
      <c r="AD403" s="10"/>
      <c r="AE403" s="3"/>
      <c r="AF403" s="10"/>
      <c r="AG403" s="15"/>
      <c r="AH403" s="62" t="str">
        <f t="shared" si="69"/>
        <v/>
      </c>
      <c r="AI403" s="62" t="e">
        <f>VLOOKUP($AH403,Herbicide_Data!$A$1:$Q$61,13)</f>
        <v>#N/A</v>
      </c>
      <c r="AJ403" s="16" t="e">
        <f t="shared" si="75"/>
        <v>#N/A</v>
      </c>
      <c r="AK403" s="3"/>
      <c r="AL403" s="3"/>
      <c r="AM403" s="3"/>
      <c r="AN403" s="3"/>
      <c r="AO403" s="3"/>
      <c r="AP403" s="3"/>
      <c r="AQ403" s="18"/>
      <c r="AR403" s="19"/>
      <c r="AS403" s="19"/>
      <c r="AT403" s="20"/>
      <c r="AU403" s="20"/>
      <c r="AV403" s="21"/>
      <c r="AW403" s="22"/>
      <c r="AX403" s="19"/>
      <c r="AY403" s="19"/>
      <c r="AZ403" s="19"/>
      <c r="BA403" s="23"/>
      <c r="BB403" s="19"/>
      <c r="BC403" s="19"/>
      <c r="BD403" s="19"/>
    </row>
    <row r="404" spans="1:56">
      <c r="A404" s="13"/>
      <c r="B404" s="11"/>
      <c r="C404" s="12"/>
      <c r="D404" s="12">
        <f t="shared" si="70"/>
        <v>2.0833299999999999E-2</v>
      </c>
      <c r="E404" s="10"/>
      <c r="F404" s="10" t="str">
        <f>IFERROR(VLOOKUP(E404,Data!A$2:B$5,2,TRUE), "")</f>
        <v/>
      </c>
      <c r="G404" s="3"/>
      <c r="H404" s="13" t="str">
        <f>IFERROR(VLOOKUP(A404,Customer_Data!$A$1:$P$114,8,TRUE),"")</f>
        <v/>
      </c>
      <c r="I404" s="13"/>
      <c r="J404" s="3" t="str">
        <f t="shared" si="76"/>
        <v/>
      </c>
      <c r="K404" s="62" t="e">
        <f>(VLOOKUP($J404,Herbicide_Data!$A$1:$L$61,9,TRUE))</f>
        <v>#N/A</v>
      </c>
      <c r="L404" s="62" t="e">
        <f>VLOOKUP($J404,Herbicide_Data!$A$1:$L$61,12,TRUE)</f>
        <v>#N/A</v>
      </c>
      <c r="M404" s="16" t="e">
        <f t="shared" si="71"/>
        <v>#N/A</v>
      </c>
      <c r="N404" s="62" t="str">
        <f t="shared" si="77"/>
        <v/>
      </c>
      <c r="O404" s="63" t="e">
        <f>VLOOKUP($N404,Herbicide_Data!$A$1:$L$61,9)</f>
        <v>#N/A</v>
      </c>
      <c r="P404" s="62" t="e">
        <f>VLOOKUP($N404,Herbicide_Data!$A$1:$P$61,13)</f>
        <v>#N/A</v>
      </c>
      <c r="Q404" s="16" t="e">
        <f t="shared" si="72"/>
        <v>#N/A</v>
      </c>
      <c r="R404" s="62" t="str">
        <f t="shared" si="78"/>
        <v/>
      </c>
      <c r="S404" s="63" t="e">
        <f>VLOOKUP($R404,Herbicide_Data!$A$1:$L$61,9)</f>
        <v>#N/A</v>
      </c>
      <c r="T404" s="62" t="e">
        <f>VLOOKUP($R404,Herbicide_Data!$A$1:$Q$61,13)</f>
        <v>#N/A</v>
      </c>
      <c r="U404" s="16" t="e">
        <f t="shared" si="73"/>
        <v>#N/A</v>
      </c>
      <c r="V404" s="62" t="b">
        <f t="shared" si="79"/>
        <v>0</v>
      </c>
      <c r="W404" s="63" t="e">
        <f>VLOOKUP($V404,Herbicide_Data!$A$1:$L$17,9)</f>
        <v>#N/A</v>
      </c>
      <c r="X404" s="62" t="e">
        <f>VLOOKUP($V404,Herbicide_Data!$A$1:$L$17,12)</f>
        <v>#N/A</v>
      </c>
      <c r="Y404" s="16" t="e">
        <f t="shared" si="74"/>
        <v>#N/A</v>
      </c>
      <c r="Z404" s="15"/>
      <c r="AA404" s="13"/>
      <c r="AB404" s="17"/>
      <c r="AC404" s="3"/>
      <c r="AD404" s="10"/>
      <c r="AE404" s="3"/>
      <c r="AF404" s="10"/>
      <c r="AG404" s="15"/>
      <c r="AH404" s="62" t="str">
        <f t="shared" si="69"/>
        <v/>
      </c>
      <c r="AI404" s="62" t="e">
        <f>VLOOKUP($AH404,Herbicide_Data!$A$1:$Q$61,13)</f>
        <v>#N/A</v>
      </c>
      <c r="AJ404" s="16" t="e">
        <f t="shared" si="75"/>
        <v>#N/A</v>
      </c>
      <c r="AK404" s="3"/>
      <c r="AL404" s="3"/>
      <c r="AM404" s="3"/>
      <c r="AN404" s="3"/>
      <c r="AO404" s="3"/>
      <c r="AP404" s="3"/>
      <c r="AQ404" s="18"/>
      <c r="AR404" s="19"/>
      <c r="AS404" s="19"/>
      <c r="AT404" s="20"/>
      <c r="AU404" s="20"/>
      <c r="AV404" s="21"/>
      <c r="AW404" s="22"/>
      <c r="AX404" s="19"/>
      <c r="AY404" s="19"/>
      <c r="AZ404" s="19"/>
      <c r="BA404" s="23"/>
      <c r="BB404" s="19"/>
      <c r="BC404" s="19"/>
      <c r="BD404" s="19"/>
    </row>
    <row r="405" spans="1:56">
      <c r="A405" s="13"/>
      <c r="B405" s="11"/>
      <c r="C405" s="12"/>
      <c r="D405" s="12">
        <f t="shared" si="70"/>
        <v>2.0833299999999999E-2</v>
      </c>
      <c r="E405" s="10"/>
      <c r="F405" s="10" t="str">
        <f>IFERROR(VLOOKUP(E405,Data!A$2:B$5,2,TRUE), "")</f>
        <v/>
      </c>
      <c r="G405" s="3"/>
      <c r="H405" s="13" t="str">
        <f>IFERROR(VLOOKUP(A405,Customer_Data!$A$1:$P$114,8,TRUE),"")</f>
        <v/>
      </c>
      <c r="I405" s="13"/>
      <c r="J405" s="3" t="str">
        <f t="shared" si="76"/>
        <v/>
      </c>
      <c r="K405" s="62" t="e">
        <f>(VLOOKUP($J405,Herbicide_Data!$A$1:$L$61,9,TRUE))</f>
        <v>#N/A</v>
      </c>
      <c r="L405" s="62" t="e">
        <f>VLOOKUP($J405,Herbicide_Data!$A$1:$L$61,12,TRUE)</f>
        <v>#N/A</v>
      </c>
      <c r="M405" s="16" t="e">
        <f t="shared" si="71"/>
        <v>#N/A</v>
      </c>
      <c r="N405" s="62" t="str">
        <f t="shared" si="77"/>
        <v/>
      </c>
      <c r="O405" s="63" t="e">
        <f>VLOOKUP($N405,Herbicide_Data!$A$1:$L$61,9)</f>
        <v>#N/A</v>
      </c>
      <c r="P405" s="62" t="e">
        <f>VLOOKUP($N405,Herbicide_Data!$A$1:$P$61,13)</f>
        <v>#N/A</v>
      </c>
      <c r="Q405" s="16" t="e">
        <f t="shared" si="72"/>
        <v>#N/A</v>
      </c>
      <c r="R405" s="62" t="str">
        <f t="shared" si="78"/>
        <v/>
      </c>
      <c r="S405" s="63" t="e">
        <f>VLOOKUP($R405,Herbicide_Data!$A$1:$L$61,9)</f>
        <v>#N/A</v>
      </c>
      <c r="T405" s="62" t="e">
        <f>VLOOKUP($R405,Herbicide_Data!$A$1:$Q$61,13)</f>
        <v>#N/A</v>
      </c>
      <c r="U405" s="16" t="e">
        <f t="shared" si="73"/>
        <v>#N/A</v>
      </c>
      <c r="V405" s="62" t="b">
        <f t="shared" si="79"/>
        <v>0</v>
      </c>
      <c r="W405" s="63" t="e">
        <f>VLOOKUP($V405,Herbicide_Data!$A$1:$L$17,9)</f>
        <v>#N/A</v>
      </c>
      <c r="X405" s="62" t="e">
        <f>VLOOKUP($V405,Herbicide_Data!$A$1:$L$17,12)</f>
        <v>#N/A</v>
      </c>
      <c r="Y405" s="16" t="e">
        <f t="shared" si="74"/>
        <v>#N/A</v>
      </c>
      <c r="Z405" s="15"/>
      <c r="AA405" s="13"/>
      <c r="AB405" s="17"/>
      <c r="AC405" s="3"/>
      <c r="AD405" s="10"/>
      <c r="AE405" s="3"/>
      <c r="AF405" s="10"/>
      <c r="AG405" s="15"/>
      <c r="AH405" s="62" t="str">
        <f t="shared" si="69"/>
        <v/>
      </c>
      <c r="AI405" s="62" t="e">
        <f>VLOOKUP($AH405,Herbicide_Data!$A$1:$Q$61,13)</f>
        <v>#N/A</v>
      </c>
      <c r="AJ405" s="16" t="e">
        <f t="shared" si="75"/>
        <v>#N/A</v>
      </c>
      <c r="AK405" s="3"/>
      <c r="AL405" s="3"/>
      <c r="AM405" s="3"/>
      <c r="AN405" s="3"/>
      <c r="AO405" s="3"/>
      <c r="AP405" s="3"/>
      <c r="AQ405" s="18"/>
      <c r="AR405" s="19"/>
      <c r="AS405" s="19"/>
      <c r="AT405" s="20"/>
      <c r="AU405" s="20"/>
      <c r="AV405" s="21"/>
      <c r="AW405" s="22"/>
      <c r="AX405" s="19"/>
      <c r="AY405" s="19"/>
      <c r="AZ405" s="19"/>
      <c r="BA405" s="23"/>
      <c r="BB405" s="19"/>
      <c r="BC405" s="19"/>
      <c r="BD405" s="19"/>
    </row>
    <row r="406" spans="1:56">
      <c r="A406" s="13"/>
      <c r="B406" s="11"/>
      <c r="C406" s="12"/>
      <c r="D406" s="12">
        <f t="shared" si="70"/>
        <v>2.0833299999999999E-2</v>
      </c>
      <c r="E406" s="10"/>
      <c r="F406" s="10" t="str">
        <f>IFERROR(VLOOKUP(E406,Data!A$2:B$5,2,TRUE), "")</f>
        <v/>
      </c>
      <c r="G406" s="3"/>
      <c r="H406" s="13" t="str">
        <f>IFERROR(VLOOKUP(A406,Customer_Data!$A$1:$P$114,8,TRUE),"")</f>
        <v/>
      </c>
      <c r="I406" s="13"/>
      <c r="J406" s="3" t="str">
        <f t="shared" si="76"/>
        <v/>
      </c>
      <c r="K406" s="62" t="e">
        <f>(VLOOKUP($J406,Herbicide_Data!$A$1:$L$61,9,TRUE))</f>
        <v>#N/A</v>
      </c>
      <c r="L406" s="62" t="e">
        <f>VLOOKUP($J406,Herbicide_Data!$A$1:$L$61,12,TRUE)</f>
        <v>#N/A</v>
      </c>
      <c r="M406" s="16" t="e">
        <f t="shared" si="71"/>
        <v>#N/A</v>
      </c>
      <c r="N406" s="62" t="str">
        <f t="shared" si="77"/>
        <v/>
      </c>
      <c r="O406" s="63" t="e">
        <f>VLOOKUP($N406,Herbicide_Data!$A$1:$L$61,9)</f>
        <v>#N/A</v>
      </c>
      <c r="P406" s="62" t="e">
        <f>VLOOKUP($N406,Herbicide_Data!$A$1:$P$61,13)</f>
        <v>#N/A</v>
      </c>
      <c r="Q406" s="16" t="e">
        <f t="shared" si="72"/>
        <v>#N/A</v>
      </c>
      <c r="R406" s="62" t="str">
        <f t="shared" si="78"/>
        <v/>
      </c>
      <c r="S406" s="63" t="e">
        <f>VLOOKUP($R406,Herbicide_Data!$A$1:$L$61,9)</f>
        <v>#N/A</v>
      </c>
      <c r="T406" s="62" t="e">
        <f>VLOOKUP($R406,Herbicide_Data!$A$1:$Q$61,13)</f>
        <v>#N/A</v>
      </c>
      <c r="U406" s="16" t="e">
        <f t="shared" si="73"/>
        <v>#N/A</v>
      </c>
      <c r="V406" s="62" t="b">
        <f t="shared" si="79"/>
        <v>0</v>
      </c>
      <c r="W406" s="63" t="e">
        <f>VLOOKUP($V406,Herbicide_Data!$A$1:$L$17,9)</f>
        <v>#N/A</v>
      </c>
      <c r="X406" s="62" t="e">
        <f>VLOOKUP($V406,Herbicide_Data!$A$1:$L$17,12)</f>
        <v>#N/A</v>
      </c>
      <c r="Y406" s="16" t="e">
        <f t="shared" si="74"/>
        <v>#N/A</v>
      </c>
      <c r="Z406" s="15"/>
      <c r="AA406" s="13"/>
      <c r="AB406" s="17"/>
      <c r="AC406" s="3"/>
      <c r="AD406" s="10"/>
      <c r="AE406" s="3"/>
      <c r="AF406" s="10"/>
      <c r="AG406" s="15"/>
      <c r="AH406" s="62" t="str">
        <f t="shared" si="69"/>
        <v/>
      </c>
      <c r="AI406" s="62" t="e">
        <f>VLOOKUP($AH406,Herbicide_Data!$A$1:$Q$61,13)</f>
        <v>#N/A</v>
      </c>
      <c r="AJ406" s="16" t="e">
        <f t="shared" si="75"/>
        <v>#N/A</v>
      </c>
      <c r="AK406" s="3"/>
      <c r="AL406" s="3"/>
      <c r="AM406" s="3"/>
      <c r="AN406" s="3"/>
      <c r="AO406" s="3"/>
      <c r="AP406" s="3"/>
      <c r="AQ406" s="18"/>
      <c r="AR406" s="19"/>
      <c r="AS406" s="19"/>
      <c r="AT406" s="20"/>
      <c r="AU406" s="20"/>
      <c r="AV406" s="21"/>
      <c r="AW406" s="22"/>
      <c r="AX406" s="19"/>
      <c r="AY406" s="19"/>
      <c r="AZ406" s="19"/>
      <c r="BA406" s="23"/>
      <c r="BB406" s="19"/>
      <c r="BC406" s="19"/>
      <c r="BD406" s="19"/>
    </row>
    <row r="407" spans="1:56">
      <c r="A407" s="13"/>
      <c r="B407" s="11"/>
      <c r="C407" s="12"/>
      <c r="D407" s="12">
        <f t="shared" si="70"/>
        <v>2.0833299999999999E-2</v>
      </c>
      <c r="E407" s="10"/>
      <c r="F407" s="10" t="str">
        <f>IFERROR(VLOOKUP(E407,Data!A$2:B$5,2,TRUE), "")</f>
        <v/>
      </c>
      <c r="G407" s="3"/>
      <c r="H407" s="13" t="str">
        <f>IFERROR(VLOOKUP(A407,Customer_Data!$A$1:$P$114,8,TRUE),"")</f>
        <v/>
      </c>
      <c r="I407" s="13"/>
      <c r="J407" s="3" t="str">
        <f t="shared" si="76"/>
        <v/>
      </c>
      <c r="K407" s="62" t="e">
        <f>(VLOOKUP($J407,Herbicide_Data!$A$1:$L$61,9,TRUE))</f>
        <v>#N/A</v>
      </c>
      <c r="L407" s="62" t="e">
        <f>VLOOKUP($J407,Herbicide_Data!$A$1:$L$61,12,TRUE)</f>
        <v>#N/A</v>
      </c>
      <c r="M407" s="16" t="e">
        <f t="shared" si="71"/>
        <v>#N/A</v>
      </c>
      <c r="N407" s="62" t="str">
        <f t="shared" si="77"/>
        <v/>
      </c>
      <c r="O407" s="63" t="e">
        <f>VLOOKUP($N407,Herbicide_Data!$A$1:$L$61,9)</f>
        <v>#N/A</v>
      </c>
      <c r="P407" s="62" t="e">
        <f>VLOOKUP($N407,Herbicide_Data!$A$1:$P$61,13)</f>
        <v>#N/A</v>
      </c>
      <c r="Q407" s="16" t="e">
        <f t="shared" si="72"/>
        <v>#N/A</v>
      </c>
      <c r="R407" s="62" t="str">
        <f t="shared" si="78"/>
        <v/>
      </c>
      <c r="S407" s="63" t="e">
        <f>VLOOKUP($R407,Herbicide_Data!$A$1:$L$61,9)</f>
        <v>#N/A</v>
      </c>
      <c r="T407" s="62" t="e">
        <f>VLOOKUP($R407,Herbicide_Data!$A$1:$Q$61,13)</f>
        <v>#N/A</v>
      </c>
      <c r="U407" s="16" t="e">
        <f t="shared" si="73"/>
        <v>#N/A</v>
      </c>
      <c r="V407" s="62" t="b">
        <f t="shared" si="79"/>
        <v>0</v>
      </c>
      <c r="W407" s="63" t="e">
        <f>VLOOKUP($V407,Herbicide_Data!$A$1:$L$17,9)</f>
        <v>#N/A</v>
      </c>
      <c r="X407" s="62" t="e">
        <f>VLOOKUP($V407,Herbicide_Data!$A$1:$L$17,12)</f>
        <v>#N/A</v>
      </c>
      <c r="Y407" s="16" t="e">
        <f t="shared" si="74"/>
        <v>#N/A</v>
      </c>
      <c r="Z407" s="15"/>
      <c r="AA407" s="13"/>
      <c r="AB407" s="17"/>
      <c r="AC407" s="3"/>
      <c r="AD407" s="10"/>
      <c r="AE407" s="3"/>
      <c r="AF407" s="10"/>
      <c r="AG407" s="15"/>
      <c r="AH407" s="62" t="str">
        <f t="shared" si="69"/>
        <v/>
      </c>
      <c r="AI407" s="62" t="e">
        <f>VLOOKUP($AH407,Herbicide_Data!$A$1:$Q$61,13)</f>
        <v>#N/A</v>
      </c>
      <c r="AJ407" s="16" t="e">
        <f t="shared" si="75"/>
        <v>#N/A</v>
      </c>
      <c r="AK407" s="3"/>
      <c r="AL407" s="3"/>
      <c r="AM407" s="3"/>
      <c r="AN407" s="3"/>
      <c r="AO407" s="3"/>
      <c r="AP407" s="3"/>
      <c r="AQ407" s="18"/>
      <c r="AR407" s="19"/>
      <c r="AS407" s="19"/>
      <c r="AT407" s="20"/>
      <c r="AU407" s="20"/>
      <c r="AV407" s="21"/>
      <c r="AW407" s="22"/>
      <c r="AX407" s="19"/>
      <c r="AY407" s="19"/>
      <c r="AZ407" s="19"/>
      <c r="BA407" s="23"/>
      <c r="BB407" s="19"/>
      <c r="BC407" s="19"/>
      <c r="BD407" s="19"/>
    </row>
    <row r="408" spans="1:56">
      <c r="A408" s="13"/>
      <c r="B408" s="11"/>
      <c r="C408" s="12"/>
      <c r="D408" s="12">
        <f t="shared" si="70"/>
        <v>2.0833299999999999E-2</v>
      </c>
      <c r="E408" s="10"/>
      <c r="F408" s="10" t="str">
        <f>IFERROR(VLOOKUP(E408,Data!A$2:B$5,2,TRUE), "")</f>
        <v/>
      </c>
      <c r="G408" s="3"/>
      <c r="H408" s="13" t="str">
        <f>IFERROR(VLOOKUP(A408,Customer_Data!$A$1:$P$114,8,TRUE),"")</f>
        <v/>
      </c>
      <c r="I408" s="13"/>
      <c r="J408" s="3" t="str">
        <f t="shared" si="76"/>
        <v/>
      </c>
      <c r="K408" s="62" t="e">
        <f>(VLOOKUP($J408,Herbicide_Data!$A$1:$L$61,9,TRUE))</f>
        <v>#N/A</v>
      </c>
      <c r="L408" s="62" t="e">
        <f>VLOOKUP($J408,Herbicide_Data!$A$1:$L$61,12,TRUE)</f>
        <v>#N/A</v>
      </c>
      <c r="M408" s="16" t="e">
        <f t="shared" si="71"/>
        <v>#N/A</v>
      </c>
      <c r="N408" s="62" t="str">
        <f t="shared" si="77"/>
        <v/>
      </c>
      <c r="O408" s="63" t="e">
        <f>VLOOKUP($N408,Herbicide_Data!$A$1:$L$61,9)</f>
        <v>#N/A</v>
      </c>
      <c r="P408" s="62" t="e">
        <f>VLOOKUP($N408,Herbicide_Data!$A$1:$P$61,13)</f>
        <v>#N/A</v>
      </c>
      <c r="Q408" s="16" t="e">
        <f t="shared" si="72"/>
        <v>#N/A</v>
      </c>
      <c r="R408" s="62" t="str">
        <f t="shared" si="78"/>
        <v/>
      </c>
      <c r="S408" s="63" t="e">
        <f>VLOOKUP($R408,Herbicide_Data!$A$1:$L$61,9)</f>
        <v>#N/A</v>
      </c>
      <c r="T408" s="62" t="e">
        <f>VLOOKUP($R408,Herbicide_Data!$A$1:$Q$61,13)</f>
        <v>#N/A</v>
      </c>
      <c r="U408" s="16" t="e">
        <f t="shared" si="73"/>
        <v>#N/A</v>
      </c>
      <c r="V408" s="62" t="b">
        <f t="shared" si="79"/>
        <v>0</v>
      </c>
      <c r="W408" s="63" t="e">
        <f>VLOOKUP($V408,Herbicide_Data!$A$1:$L$17,9)</f>
        <v>#N/A</v>
      </c>
      <c r="X408" s="62" t="e">
        <f>VLOOKUP($V408,Herbicide_Data!$A$1:$L$17,12)</f>
        <v>#N/A</v>
      </c>
      <c r="Y408" s="16" t="e">
        <f t="shared" si="74"/>
        <v>#N/A</v>
      </c>
      <c r="Z408" s="15"/>
      <c r="AA408" s="13"/>
      <c r="AB408" s="17"/>
      <c r="AC408" s="3"/>
      <c r="AD408" s="10"/>
      <c r="AE408" s="3"/>
      <c r="AF408" s="10"/>
      <c r="AG408" s="15"/>
      <c r="AH408" s="62" t="str">
        <f t="shared" si="69"/>
        <v/>
      </c>
      <c r="AI408" s="62" t="e">
        <f>VLOOKUP($AH408,Herbicide_Data!$A$1:$Q$61,13)</f>
        <v>#N/A</v>
      </c>
      <c r="AJ408" s="16" t="e">
        <f t="shared" si="75"/>
        <v>#N/A</v>
      </c>
      <c r="AK408" s="3"/>
      <c r="AL408" s="3"/>
      <c r="AM408" s="3"/>
      <c r="AN408" s="3"/>
      <c r="AO408" s="3"/>
      <c r="AP408" s="3"/>
      <c r="AQ408" s="18"/>
      <c r="AR408" s="19"/>
      <c r="AS408" s="19"/>
      <c r="AT408" s="20"/>
      <c r="AU408" s="20"/>
      <c r="AV408" s="21"/>
      <c r="AW408" s="22"/>
      <c r="AX408" s="19"/>
      <c r="AY408" s="19"/>
      <c r="AZ408" s="19"/>
      <c r="BA408" s="23"/>
      <c r="BB408" s="19"/>
      <c r="BC408" s="19"/>
      <c r="BD408" s="19"/>
    </row>
    <row r="409" spans="1:56">
      <c r="A409" s="13"/>
      <c r="B409" s="11"/>
      <c r="C409" s="12"/>
      <c r="D409" s="12">
        <f t="shared" si="70"/>
        <v>2.0833299999999999E-2</v>
      </c>
      <c r="E409" s="10"/>
      <c r="F409" s="10" t="str">
        <f>IFERROR(VLOOKUP(E409,Data!A$2:B$5,2,TRUE), "")</f>
        <v/>
      </c>
      <c r="G409" s="3"/>
      <c r="H409" s="13" t="str">
        <f>IFERROR(VLOOKUP(A409,Customer_Data!$A$1:$P$114,8,TRUE),"")</f>
        <v/>
      </c>
      <c r="I409" s="13"/>
      <c r="J409" s="3" t="str">
        <f t="shared" si="76"/>
        <v/>
      </c>
      <c r="K409" s="62" t="e">
        <f>(VLOOKUP($J409,Herbicide_Data!$A$1:$L$61,9,TRUE))</f>
        <v>#N/A</v>
      </c>
      <c r="L409" s="62" t="e">
        <f>VLOOKUP($J409,Herbicide_Data!$A$1:$L$61,12,TRUE)</f>
        <v>#N/A</v>
      </c>
      <c r="M409" s="16" t="e">
        <f t="shared" si="71"/>
        <v>#N/A</v>
      </c>
      <c r="N409" s="62" t="str">
        <f t="shared" si="77"/>
        <v/>
      </c>
      <c r="O409" s="63" t="e">
        <f>VLOOKUP($N409,Herbicide_Data!$A$1:$L$61,9)</f>
        <v>#N/A</v>
      </c>
      <c r="P409" s="62" t="e">
        <f>VLOOKUP($N409,Herbicide_Data!$A$1:$P$61,13)</f>
        <v>#N/A</v>
      </c>
      <c r="Q409" s="16" t="e">
        <f t="shared" si="72"/>
        <v>#N/A</v>
      </c>
      <c r="R409" s="62" t="str">
        <f t="shared" si="78"/>
        <v/>
      </c>
      <c r="S409" s="63" t="e">
        <f>VLOOKUP($R409,Herbicide_Data!$A$1:$L$61,9)</f>
        <v>#N/A</v>
      </c>
      <c r="T409" s="62" t="e">
        <f>VLOOKUP($R409,Herbicide_Data!$A$1:$Q$61,13)</f>
        <v>#N/A</v>
      </c>
      <c r="U409" s="16" t="e">
        <f t="shared" si="73"/>
        <v>#N/A</v>
      </c>
      <c r="V409" s="62" t="b">
        <f t="shared" si="79"/>
        <v>0</v>
      </c>
      <c r="W409" s="63" t="e">
        <f>VLOOKUP($V409,Herbicide_Data!$A$1:$L$17,9)</f>
        <v>#N/A</v>
      </c>
      <c r="X409" s="62" t="e">
        <f>VLOOKUP($V409,Herbicide_Data!$A$1:$L$17,12)</f>
        <v>#N/A</v>
      </c>
      <c r="Y409" s="16" t="e">
        <f t="shared" si="74"/>
        <v>#N/A</v>
      </c>
      <c r="Z409" s="15"/>
      <c r="AA409" s="13"/>
      <c r="AB409" s="17"/>
      <c r="AC409" s="3"/>
      <c r="AD409" s="10"/>
      <c r="AE409" s="3"/>
      <c r="AF409" s="10"/>
      <c r="AG409" s="15"/>
      <c r="AH409" s="62" t="str">
        <f t="shared" si="69"/>
        <v/>
      </c>
      <c r="AI409" s="62" t="e">
        <f>VLOOKUP($AH409,Herbicide_Data!$A$1:$Q$61,13)</f>
        <v>#N/A</v>
      </c>
      <c r="AJ409" s="16" t="e">
        <f t="shared" si="75"/>
        <v>#N/A</v>
      </c>
      <c r="AK409" s="3"/>
      <c r="AL409" s="3"/>
      <c r="AM409" s="3"/>
      <c r="AN409" s="3"/>
      <c r="AO409" s="3"/>
      <c r="AP409" s="3"/>
      <c r="AQ409" s="18"/>
      <c r="AR409" s="19"/>
      <c r="AS409" s="19"/>
      <c r="AT409" s="20"/>
      <c r="AU409" s="20"/>
      <c r="AV409" s="21"/>
      <c r="AW409" s="22"/>
      <c r="AX409" s="19"/>
      <c r="AY409" s="19"/>
      <c r="AZ409" s="19"/>
      <c r="BA409" s="23"/>
      <c r="BB409" s="19"/>
      <c r="BC409" s="19"/>
      <c r="BD409" s="19"/>
    </row>
    <row r="410" spans="1:56">
      <c r="A410" s="13"/>
      <c r="B410" s="11"/>
      <c r="C410" s="12"/>
      <c r="D410" s="12">
        <f t="shared" si="70"/>
        <v>2.0833299999999999E-2</v>
      </c>
      <c r="E410" s="10"/>
      <c r="F410" s="10" t="str">
        <f>IFERROR(VLOOKUP(E410,Data!A$2:B$5,2,TRUE), "")</f>
        <v/>
      </c>
      <c r="G410" s="3"/>
      <c r="H410" s="13" t="str">
        <f>IFERROR(VLOOKUP(A410,Customer_Data!$A$1:$P$114,8,TRUE),"")</f>
        <v/>
      </c>
      <c r="I410" s="13"/>
      <c r="J410" s="3" t="str">
        <f t="shared" si="76"/>
        <v/>
      </c>
      <c r="K410" s="62" t="e">
        <f>(VLOOKUP($J410,Herbicide_Data!$A$1:$L$61,9,TRUE))</f>
        <v>#N/A</v>
      </c>
      <c r="L410" s="62" t="e">
        <f>VLOOKUP($J410,Herbicide_Data!$A$1:$L$61,12,TRUE)</f>
        <v>#N/A</v>
      </c>
      <c r="M410" s="16" t="e">
        <f t="shared" si="71"/>
        <v>#N/A</v>
      </c>
      <c r="N410" s="62" t="str">
        <f t="shared" si="77"/>
        <v/>
      </c>
      <c r="O410" s="63" t="e">
        <f>VLOOKUP($N410,Herbicide_Data!$A$1:$L$61,9)</f>
        <v>#N/A</v>
      </c>
      <c r="P410" s="62" t="e">
        <f>VLOOKUP($N410,Herbicide_Data!$A$1:$P$61,13)</f>
        <v>#N/A</v>
      </c>
      <c r="Q410" s="16" t="e">
        <f t="shared" si="72"/>
        <v>#N/A</v>
      </c>
      <c r="R410" s="62" t="str">
        <f t="shared" si="78"/>
        <v/>
      </c>
      <c r="S410" s="63" t="e">
        <f>VLOOKUP($R410,Herbicide_Data!$A$1:$L$61,9)</f>
        <v>#N/A</v>
      </c>
      <c r="T410" s="62" t="e">
        <f>VLOOKUP($R410,Herbicide_Data!$A$1:$Q$61,13)</f>
        <v>#N/A</v>
      </c>
      <c r="U410" s="16" t="e">
        <f t="shared" si="73"/>
        <v>#N/A</v>
      </c>
      <c r="V410" s="62" t="b">
        <f t="shared" si="79"/>
        <v>0</v>
      </c>
      <c r="W410" s="63" t="e">
        <f>VLOOKUP($V410,Herbicide_Data!$A$1:$L$17,9)</f>
        <v>#N/A</v>
      </c>
      <c r="X410" s="62" t="e">
        <f>VLOOKUP($V410,Herbicide_Data!$A$1:$L$17,12)</f>
        <v>#N/A</v>
      </c>
      <c r="Y410" s="16" t="e">
        <f t="shared" si="74"/>
        <v>#N/A</v>
      </c>
      <c r="Z410" s="15"/>
      <c r="AA410" s="13"/>
      <c r="AB410" s="17"/>
      <c r="AC410" s="3"/>
      <c r="AD410" s="10"/>
      <c r="AE410" s="3"/>
      <c r="AF410" s="10"/>
      <c r="AG410" s="15"/>
      <c r="AH410" s="62" t="str">
        <f t="shared" si="69"/>
        <v/>
      </c>
      <c r="AI410" s="62" t="e">
        <f>VLOOKUP($AH410,Herbicide_Data!$A$1:$Q$61,13)</f>
        <v>#N/A</v>
      </c>
      <c r="AJ410" s="16" t="e">
        <f t="shared" si="75"/>
        <v>#N/A</v>
      </c>
      <c r="AK410" s="3"/>
      <c r="AL410" s="3"/>
      <c r="AM410" s="3"/>
      <c r="AN410" s="3"/>
      <c r="AO410" s="3"/>
      <c r="AP410" s="3"/>
      <c r="AQ410" s="18"/>
      <c r="AR410" s="19"/>
      <c r="AS410" s="19"/>
      <c r="AT410" s="20"/>
      <c r="AU410" s="20"/>
      <c r="AV410" s="21"/>
      <c r="AW410" s="22"/>
      <c r="AX410" s="19"/>
      <c r="AY410" s="19"/>
      <c r="AZ410" s="19"/>
      <c r="BA410" s="23"/>
      <c r="BB410" s="19"/>
      <c r="BC410" s="19"/>
      <c r="BD410" s="19"/>
    </row>
    <row r="411" spans="1:56">
      <c r="A411" s="13"/>
      <c r="B411" s="11"/>
      <c r="C411" s="12"/>
      <c r="D411" s="12">
        <f t="shared" si="70"/>
        <v>2.0833299999999999E-2</v>
      </c>
      <c r="E411" s="10"/>
      <c r="F411" s="10" t="str">
        <f>IFERROR(VLOOKUP(E411,Data!A$2:B$5,2,TRUE), "")</f>
        <v/>
      </c>
      <c r="G411" s="3"/>
      <c r="H411" s="13" t="str">
        <f>IFERROR(VLOOKUP(A411,Customer_Data!$A$1:$P$114,8,TRUE),"")</f>
        <v/>
      </c>
      <c r="I411" s="13"/>
      <c r="J411" s="3" t="str">
        <f t="shared" si="76"/>
        <v/>
      </c>
      <c r="K411" s="62" t="e">
        <f>(VLOOKUP($J411,Herbicide_Data!$A$1:$L$61,9,TRUE))</f>
        <v>#N/A</v>
      </c>
      <c r="L411" s="62" t="e">
        <f>VLOOKUP($J411,Herbicide_Data!$A$1:$L$61,12,TRUE)</f>
        <v>#N/A</v>
      </c>
      <c r="M411" s="16" t="e">
        <f t="shared" si="71"/>
        <v>#N/A</v>
      </c>
      <c r="N411" s="62" t="str">
        <f t="shared" si="77"/>
        <v/>
      </c>
      <c r="O411" s="63" t="e">
        <f>VLOOKUP($N411,Herbicide_Data!$A$1:$L$61,9)</f>
        <v>#N/A</v>
      </c>
      <c r="P411" s="62" t="e">
        <f>VLOOKUP($N411,Herbicide_Data!$A$1:$P$61,13)</f>
        <v>#N/A</v>
      </c>
      <c r="Q411" s="16" t="e">
        <f t="shared" si="72"/>
        <v>#N/A</v>
      </c>
      <c r="R411" s="62" t="str">
        <f t="shared" si="78"/>
        <v/>
      </c>
      <c r="S411" s="63" t="e">
        <f>VLOOKUP($R411,Herbicide_Data!$A$1:$L$61,9)</f>
        <v>#N/A</v>
      </c>
      <c r="T411" s="62" t="e">
        <f>VLOOKUP($R411,Herbicide_Data!$A$1:$Q$61,13)</f>
        <v>#N/A</v>
      </c>
      <c r="U411" s="16" t="e">
        <f t="shared" si="73"/>
        <v>#N/A</v>
      </c>
      <c r="V411" s="62" t="b">
        <f t="shared" si="79"/>
        <v>0</v>
      </c>
      <c r="W411" s="63" t="e">
        <f>VLOOKUP($V411,Herbicide_Data!$A$1:$L$17,9)</f>
        <v>#N/A</v>
      </c>
      <c r="X411" s="62" t="e">
        <f>VLOOKUP($V411,Herbicide_Data!$A$1:$L$17,12)</f>
        <v>#N/A</v>
      </c>
      <c r="Y411" s="16" t="e">
        <f t="shared" si="74"/>
        <v>#N/A</v>
      </c>
      <c r="Z411" s="15"/>
      <c r="AA411" s="13"/>
      <c r="AB411" s="17"/>
      <c r="AC411" s="3"/>
      <c r="AD411" s="10"/>
      <c r="AE411" s="3"/>
      <c r="AF411" s="10"/>
      <c r="AG411" s="15"/>
      <c r="AH411" s="62" t="str">
        <f t="shared" si="69"/>
        <v/>
      </c>
      <c r="AI411" s="62" t="e">
        <f>VLOOKUP($AH411,Herbicide_Data!$A$1:$Q$61,13)</f>
        <v>#N/A</v>
      </c>
      <c r="AJ411" s="16" t="e">
        <f t="shared" si="75"/>
        <v>#N/A</v>
      </c>
      <c r="AK411" s="3"/>
      <c r="AL411" s="3"/>
      <c r="AM411" s="3"/>
      <c r="AN411" s="3"/>
      <c r="AO411" s="3"/>
      <c r="AP411" s="3"/>
      <c r="AQ411" s="18"/>
      <c r="AR411" s="19"/>
      <c r="AS411" s="19"/>
      <c r="AT411" s="20"/>
      <c r="AU411" s="20"/>
      <c r="AV411" s="21"/>
      <c r="AW411" s="22"/>
      <c r="AX411" s="19"/>
      <c r="AY411" s="19"/>
      <c r="AZ411" s="19"/>
      <c r="BA411" s="23"/>
      <c r="BB411" s="19"/>
      <c r="BC411" s="19"/>
      <c r="BD411" s="19"/>
    </row>
    <row r="412" spans="1:56">
      <c r="A412" s="13"/>
      <c r="B412" s="11"/>
      <c r="C412" s="12"/>
      <c r="D412" s="12">
        <f t="shared" si="70"/>
        <v>2.0833299999999999E-2</v>
      </c>
      <c r="E412" s="10"/>
      <c r="F412" s="10" t="str">
        <f>IFERROR(VLOOKUP(E412,Data!A$2:B$5,2,TRUE), "")</f>
        <v/>
      </c>
      <c r="G412" s="3"/>
      <c r="H412" s="13" t="str">
        <f>IFERROR(VLOOKUP(A412,Customer_Data!$A$1:$P$114,8,TRUE),"")</f>
        <v/>
      </c>
      <c r="I412" s="13"/>
      <c r="J412" s="3" t="str">
        <f t="shared" si="76"/>
        <v/>
      </c>
      <c r="K412" s="62" t="e">
        <f>(VLOOKUP($J412,Herbicide_Data!$A$1:$L$61,9,TRUE))</f>
        <v>#N/A</v>
      </c>
      <c r="L412" s="62" t="e">
        <f>VLOOKUP($J412,Herbicide_Data!$A$1:$L$61,12,TRUE)</f>
        <v>#N/A</v>
      </c>
      <c r="M412" s="16" t="e">
        <f t="shared" si="71"/>
        <v>#N/A</v>
      </c>
      <c r="N412" s="62" t="str">
        <f t="shared" si="77"/>
        <v/>
      </c>
      <c r="O412" s="63" t="e">
        <f>VLOOKUP($N412,Herbicide_Data!$A$1:$L$61,9)</f>
        <v>#N/A</v>
      </c>
      <c r="P412" s="62" t="e">
        <f>VLOOKUP($N412,Herbicide_Data!$A$1:$P$61,13)</f>
        <v>#N/A</v>
      </c>
      <c r="Q412" s="16" t="e">
        <f t="shared" si="72"/>
        <v>#N/A</v>
      </c>
      <c r="R412" s="62" t="str">
        <f t="shared" si="78"/>
        <v/>
      </c>
      <c r="S412" s="63" t="e">
        <f>VLOOKUP($R412,Herbicide_Data!$A$1:$L$61,9)</f>
        <v>#N/A</v>
      </c>
      <c r="T412" s="62" t="e">
        <f>VLOOKUP($R412,Herbicide_Data!$A$1:$Q$61,13)</f>
        <v>#N/A</v>
      </c>
      <c r="U412" s="16" t="e">
        <f t="shared" si="73"/>
        <v>#N/A</v>
      </c>
      <c r="V412" s="62" t="b">
        <f t="shared" si="79"/>
        <v>0</v>
      </c>
      <c r="W412" s="63" t="e">
        <f>VLOOKUP($V412,Herbicide_Data!$A$1:$L$17,9)</f>
        <v>#N/A</v>
      </c>
      <c r="X412" s="62" t="e">
        <f>VLOOKUP($V412,Herbicide_Data!$A$1:$L$17,12)</f>
        <v>#N/A</v>
      </c>
      <c r="Y412" s="16" t="e">
        <f t="shared" si="74"/>
        <v>#N/A</v>
      </c>
      <c r="Z412" s="15"/>
      <c r="AA412" s="13"/>
      <c r="AB412" s="17"/>
      <c r="AC412" s="3"/>
      <c r="AD412" s="10"/>
      <c r="AE412" s="3"/>
      <c r="AF412" s="10"/>
      <c r="AG412" s="15"/>
      <c r="AH412" s="62" t="str">
        <f t="shared" si="69"/>
        <v/>
      </c>
      <c r="AI412" s="62" t="e">
        <f>VLOOKUP($AH412,Herbicide_Data!$A$1:$Q$61,13)</f>
        <v>#N/A</v>
      </c>
      <c r="AJ412" s="16" t="e">
        <f t="shared" si="75"/>
        <v>#N/A</v>
      </c>
      <c r="AK412" s="3"/>
      <c r="AL412" s="3"/>
      <c r="AM412" s="3"/>
      <c r="AN412" s="3"/>
      <c r="AO412" s="3"/>
      <c r="AP412" s="3"/>
      <c r="AQ412" s="18"/>
      <c r="AR412" s="19"/>
      <c r="AS412" s="19"/>
      <c r="AT412" s="20"/>
      <c r="AU412" s="20"/>
      <c r="AV412" s="21"/>
      <c r="AW412" s="22"/>
      <c r="AX412" s="19"/>
      <c r="AY412" s="19"/>
      <c r="AZ412" s="19"/>
      <c r="BA412" s="23"/>
      <c r="BB412" s="19"/>
      <c r="BC412" s="19"/>
      <c r="BD412" s="19"/>
    </row>
    <row r="413" spans="1:56">
      <c r="A413" s="13"/>
      <c r="B413" s="11"/>
      <c r="C413" s="12"/>
      <c r="D413" s="12">
        <f t="shared" si="70"/>
        <v>2.0833299999999999E-2</v>
      </c>
      <c r="E413" s="10"/>
      <c r="F413" s="10" t="str">
        <f>IFERROR(VLOOKUP(E413,Data!A$2:B$5,2,TRUE), "")</f>
        <v/>
      </c>
      <c r="G413" s="3"/>
      <c r="H413" s="13" t="str">
        <f>IFERROR(VLOOKUP(A413,Customer_Data!$A$1:$P$114,8,TRUE),"")</f>
        <v/>
      </c>
      <c r="I413" s="13"/>
      <c r="J413" s="3" t="str">
        <f t="shared" si="76"/>
        <v/>
      </c>
      <c r="K413" s="62" t="e">
        <f>(VLOOKUP($J413,Herbicide_Data!$A$1:$L$61,9,TRUE))</f>
        <v>#N/A</v>
      </c>
      <c r="L413" s="62" t="e">
        <f>VLOOKUP($J413,Herbicide_Data!$A$1:$L$61,12,TRUE)</f>
        <v>#N/A</v>
      </c>
      <c r="M413" s="16" t="e">
        <f t="shared" si="71"/>
        <v>#N/A</v>
      </c>
      <c r="N413" s="62" t="str">
        <f t="shared" si="77"/>
        <v/>
      </c>
      <c r="O413" s="63" t="e">
        <f>VLOOKUP($N413,Herbicide_Data!$A$1:$L$61,9)</f>
        <v>#N/A</v>
      </c>
      <c r="P413" s="62" t="e">
        <f>VLOOKUP($N413,Herbicide_Data!$A$1:$P$61,13)</f>
        <v>#N/A</v>
      </c>
      <c r="Q413" s="16" t="e">
        <f t="shared" si="72"/>
        <v>#N/A</v>
      </c>
      <c r="R413" s="62" t="str">
        <f t="shared" si="78"/>
        <v/>
      </c>
      <c r="S413" s="63" t="e">
        <f>VLOOKUP($R413,Herbicide_Data!$A$1:$L$61,9)</f>
        <v>#N/A</v>
      </c>
      <c r="T413" s="62" t="e">
        <f>VLOOKUP($R413,Herbicide_Data!$A$1:$Q$61,13)</f>
        <v>#N/A</v>
      </c>
      <c r="U413" s="16" t="e">
        <f t="shared" si="73"/>
        <v>#N/A</v>
      </c>
      <c r="V413" s="62" t="b">
        <f t="shared" si="79"/>
        <v>0</v>
      </c>
      <c r="W413" s="63" t="e">
        <f>VLOOKUP($V413,Herbicide_Data!$A$1:$L$17,9)</f>
        <v>#N/A</v>
      </c>
      <c r="X413" s="62" t="e">
        <f>VLOOKUP($V413,Herbicide_Data!$A$1:$L$17,12)</f>
        <v>#N/A</v>
      </c>
      <c r="Y413" s="16" t="e">
        <f t="shared" si="74"/>
        <v>#N/A</v>
      </c>
      <c r="Z413" s="15"/>
      <c r="AA413" s="13"/>
      <c r="AB413" s="17"/>
      <c r="AC413" s="3"/>
      <c r="AD413" s="10"/>
      <c r="AE413" s="3"/>
      <c r="AF413" s="10"/>
      <c r="AG413" s="15"/>
      <c r="AH413" s="62" t="str">
        <f t="shared" si="69"/>
        <v/>
      </c>
      <c r="AI413" s="62" t="e">
        <f>VLOOKUP($AH413,Herbicide_Data!$A$1:$Q$61,13)</f>
        <v>#N/A</v>
      </c>
      <c r="AJ413" s="16" t="e">
        <f t="shared" si="75"/>
        <v>#N/A</v>
      </c>
      <c r="AK413" s="3"/>
      <c r="AL413" s="3"/>
      <c r="AM413" s="3"/>
      <c r="AN413" s="3"/>
      <c r="AO413" s="3"/>
      <c r="AP413" s="3"/>
      <c r="AQ413" s="18"/>
      <c r="AR413" s="19"/>
      <c r="AS413" s="19"/>
      <c r="AT413" s="20"/>
      <c r="AU413" s="20"/>
      <c r="AV413" s="21"/>
      <c r="AW413" s="22"/>
      <c r="AX413" s="19"/>
      <c r="AY413" s="19"/>
      <c r="AZ413" s="19"/>
      <c r="BA413" s="23"/>
      <c r="BB413" s="19"/>
      <c r="BC413" s="19"/>
      <c r="BD413" s="19"/>
    </row>
    <row r="414" spans="1:56">
      <c r="A414" s="13"/>
      <c r="B414" s="11"/>
      <c r="C414" s="12"/>
      <c r="D414" s="12">
        <f t="shared" si="70"/>
        <v>2.0833299999999999E-2</v>
      </c>
      <c r="E414" s="10"/>
      <c r="F414" s="10" t="str">
        <f>IFERROR(VLOOKUP(E414,Data!A$2:B$5,2,TRUE), "")</f>
        <v/>
      </c>
      <c r="G414" s="3"/>
      <c r="H414" s="13" t="str">
        <f>IFERROR(VLOOKUP(A414,Customer_Data!$A$1:$P$114,8,TRUE),"")</f>
        <v/>
      </c>
      <c r="I414" s="13"/>
      <c r="J414" s="3" t="str">
        <f t="shared" si="76"/>
        <v/>
      </c>
      <c r="K414" s="62" t="e">
        <f>(VLOOKUP($J414,Herbicide_Data!$A$1:$L$61,9,TRUE))</f>
        <v>#N/A</v>
      </c>
      <c r="L414" s="62" t="e">
        <f>VLOOKUP($J414,Herbicide_Data!$A$1:$L$61,12,TRUE)</f>
        <v>#N/A</v>
      </c>
      <c r="M414" s="16" t="e">
        <f t="shared" si="71"/>
        <v>#N/A</v>
      </c>
      <c r="N414" s="62" t="str">
        <f t="shared" si="77"/>
        <v/>
      </c>
      <c r="O414" s="63" t="e">
        <f>VLOOKUP($N414,Herbicide_Data!$A$1:$L$61,9)</f>
        <v>#N/A</v>
      </c>
      <c r="P414" s="62" t="e">
        <f>VLOOKUP($N414,Herbicide_Data!$A$1:$P$61,13)</f>
        <v>#N/A</v>
      </c>
      <c r="Q414" s="16" t="e">
        <f t="shared" si="72"/>
        <v>#N/A</v>
      </c>
      <c r="R414" s="62" t="str">
        <f t="shared" si="78"/>
        <v/>
      </c>
      <c r="S414" s="63" t="e">
        <f>VLOOKUP($R414,Herbicide_Data!$A$1:$L$61,9)</f>
        <v>#N/A</v>
      </c>
      <c r="T414" s="62" t="e">
        <f>VLOOKUP($R414,Herbicide_Data!$A$1:$Q$61,13)</f>
        <v>#N/A</v>
      </c>
      <c r="U414" s="16" t="e">
        <f t="shared" si="73"/>
        <v>#N/A</v>
      </c>
      <c r="V414" s="62" t="b">
        <f t="shared" si="79"/>
        <v>0</v>
      </c>
      <c r="W414" s="63" t="e">
        <f>VLOOKUP($V414,Herbicide_Data!$A$1:$L$17,9)</f>
        <v>#N/A</v>
      </c>
      <c r="X414" s="62" t="e">
        <f>VLOOKUP($V414,Herbicide_Data!$A$1:$L$17,12)</f>
        <v>#N/A</v>
      </c>
      <c r="Y414" s="16" t="e">
        <f t="shared" si="74"/>
        <v>#N/A</v>
      </c>
      <c r="Z414" s="15"/>
      <c r="AA414" s="13"/>
      <c r="AB414" s="17"/>
      <c r="AC414" s="3"/>
      <c r="AD414" s="10"/>
      <c r="AE414" s="3"/>
      <c r="AF414" s="10"/>
      <c r="AG414" s="15"/>
      <c r="AH414" s="62" t="str">
        <f t="shared" si="69"/>
        <v/>
      </c>
      <c r="AI414" s="62" t="e">
        <f>VLOOKUP($AH414,Herbicide_Data!$A$1:$Q$61,13)</f>
        <v>#N/A</v>
      </c>
      <c r="AJ414" s="16" t="e">
        <f t="shared" si="75"/>
        <v>#N/A</v>
      </c>
      <c r="AK414" s="3"/>
      <c r="AL414" s="3"/>
      <c r="AM414" s="3"/>
      <c r="AN414" s="3"/>
      <c r="AO414" s="3"/>
      <c r="AP414" s="3"/>
      <c r="AQ414" s="18"/>
      <c r="AR414" s="19"/>
      <c r="AS414" s="19"/>
      <c r="AT414" s="20"/>
      <c r="AU414" s="20"/>
      <c r="AV414" s="21"/>
      <c r="AW414" s="22"/>
      <c r="AX414" s="19"/>
      <c r="AY414" s="19"/>
      <c r="AZ414" s="19"/>
      <c r="BA414" s="23"/>
      <c r="BB414" s="19"/>
      <c r="BC414" s="19"/>
      <c r="BD414" s="19"/>
    </row>
    <row r="415" spans="1:56">
      <c r="A415" s="13"/>
      <c r="B415" s="11"/>
      <c r="C415" s="12"/>
      <c r="D415" s="12">
        <f t="shared" si="70"/>
        <v>2.0833299999999999E-2</v>
      </c>
      <c r="E415" s="10"/>
      <c r="F415" s="10" t="str">
        <f>IFERROR(VLOOKUP(E415,Data!A$2:B$5,2,TRUE), "")</f>
        <v/>
      </c>
      <c r="G415" s="3"/>
      <c r="H415" s="13" t="str">
        <f>IFERROR(VLOOKUP(A415,Customer_Data!$A$1:$P$114,8,TRUE),"")</f>
        <v/>
      </c>
      <c r="I415" s="13"/>
      <c r="J415" s="3" t="str">
        <f t="shared" si="76"/>
        <v/>
      </c>
      <c r="K415" s="62" t="e">
        <f>(VLOOKUP($J415,Herbicide_Data!$A$1:$L$61,9,TRUE))</f>
        <v>#N/A</v>
      </c>
      <c r="L415" s="62" t="e">
        <f>VLOOKUP($J415,Herbicide_Data!$A$1:$L$61,12,TRUE)</f>
        <v>#N/A</v>
      </c>
      <c r="M415" s="16" t="e">
        <f t="shared" si="71"/>
        <v>#N/A</v>
      </c>
      <c r="N415" s="62" t="str">
        <f t="shared" si="77"/>
        <v/>
      </c>
      <c r="O415" s="63" t="e">
        <f>VLOOKUP($N415,Herbicide_Data!$A$1:$L$61,9)</f>
        <v>#N/A</v>
      </c>
      <c r="P415" s="62" t="e">
        <f>VLOOKUP($N415,Herbicide_Data!$A$1:$P$61,13)</f>
        <v>#N/A</v>
      </c>
      <c r="Q415" s="16" t="e">
        <f t="shared" si="72"/>
        <v>#N/A</v>
      </c>
      <c r="R415" s="62" t="str">
        <f t="shared" si="78"/>
        <v/>
      </c>
      <c r="S415" s="63" t="e">
        <f>VLOOKUP($R415,Herbicide_Data!$A$1:$L$61,9)</f>
        <v>#N/A</v>
      </c>
      <c r="T415" s="62" t="e">
        <f>VLOOKUP($R415,Herbicide_Data!$A$1:$Q$61,13)</f>
        <v>#N/A</v>
      </c>
      <c r="U415" s="16" t="e">
        <f t="shared" si="73"/>
        <v>#N/A</v>
      </c>
      <c r="V415" s="62" t="b">
        <f t="shared" si="79"/>
        <v>0</v>
      </c>
      <c r="W415" s="63" t="e">
        <f>VLOOKUP($V415,Herbicide_Data!$A$1:$L$17,9)</f>
        <v>#N/A</v>
      </c>
      <c r="X415" s="62" t="e">
        <f>VLOOKUP($V415,Herbicide_Data!$A$1:$L$17,12)</f>
        <v>#N/A</v>
      </c>
      <c r="Y415" s="16" t="e">
        <f t="shared" si="74"/>
        <v>#N/A</v>
      </c>
      <c r="Z415" s="15"/>
      <c r="AA415" s="13"/>
      <c r="AB415" s="17"/>
      <c r="AC415" s="3"/>
      <c r="AD415" s="10"/>
      <c r="AE415" s="3"/>
      <c r="AF415" s="10"/>
      <c r="AG415" s="15"/>
      <c r="AH415" s="62" t="str">
        <f t="shared" ref="AH415:AH478" si="80">IF($G415=("Spring Preemerge (Jan)"),"Surfactant",IF($G415=("Spring Preemerge (Apr)"),"Surfactant",""))</f>
        <v/>
      </c>
      <c r="AI415" s="62" t="e">
        <f>VLOOKUP($AH415,Herbicide_Data!$A$1:$Q$61,13)</f>
        <v>#N/A</v>
      </c>
      <c r="AJ415" s="16" t="e">
        <f t="shared" si="75"/>
        <v>#N/A</v>
      </c>
      <c r="AK415" s="3"/>
      <c r="AL415" s="3"/>
      <c r="AM415" s="3"/>
      <c r="AN415" s="3"/>
      <c r="AO415" s="3"/>
      <c r="AP415" s="3"/>
      <c r="AQ415" s="18"/>
      <c r="AR415" s="19"/>
      <c r="AS415" s="19"/>
      <c r="AT415" s="20"/>
      <c r="AU415" s="20"/>
      <c r="AV415" s="21"/>
      <c r="AW415" s="22"/>
      <c r="AX415" s="19"/>
      <c r="AY415" s="19"/>
      <c r="AZ415" s="19"/>
      <c r="BA415" s="23"/>
      <c r="BB415" s="19"/>
      <c r="BC415" s="19"/>
      <c r="BD415" s="19"/>
    </row>
    <row r="416" spans="1:56">
      <c r="A416" s="13"/>
      <c r="B416" s="11"/>
      <c r="C416" s="12"/>
      <c r="D416" s="12">
        <f t="shared" si="70"/>
        <v>2.0833299999999999E-2</v>
      </c>
      <c r="E416" s="10"/>
      <c r="F416" s="10" t="str">
        <f>IFERROR(VLOOKUP(E416,Data!A$2:B$5,2,TRUE), "")</f>
        <v/>
      </c>
      <c r="G416" s="3"/>
      <c r="H416" s="13" t="str">
        <f>IFERROR(VLOOKUP(A416,Customer_Data!$A$1:$P$114,8,TRUE),"")</f>
        <v/>
      </c>
      <c r="I416" s="13"/>
      <c r="J416" s="3" t="str">
        <f t="shared" si="76"/>
        <v/>
      </c>
      <c r="K416" s="62" t="e">
        <f>(VLOOKUP($J416,Herbicide_Data!$A$1:$L$61,9,TRUE))</f>
        <v>#N/A</v>
      </c>
      <c r="L416" s="62" t="e">
        <f>VLOOKUP($J416,Herbicide_Data!$A$1:$L$61,12,TRUE)</f>
        <v>#N/A</v>
      </c>
      <c r="M416" s="16" t="e">
        <f t="shared" si="71"/>
        <v>#N/A</v>
      </c>
      <c r="N416" s="62" t="str">
        <f t="shared" si="77"/>
        <v/>
      </c>
      <c r="O416" s="63" t="e">
        <f>VLOOKUP($N416,Herbicide_Data!$A$1:$L$61,9)</f>
        <v>#N/A</v>
      </c>
      <c r="P416" s="62" t="e">
        <f>VLOOKUP($N416,Herbicide_Data!$A$1:$P$61,13)</f>
        <v>#N/A</v>
      </c>
      <c r="Q416" s="16" t="e">
        <f t="shared" si="72"/>
        <v>#N/A</v>
      </c>
      <c r="R416" s="62" t="str">
        <f t="shared" si="78"/>
        <v/>
      </c>
      <c r="S416" s="63" t="e">
        <f>VLOOKUP($R416,Herbicide_Data!$A$1:$L$61,9)</f>
        <v>#N/A</v>
      </c>
      <c r="T416" s="62" t="e">
        <f>VLOOKUP($R416,Herbicide_Data!$A$1:$Q$61,13)</f>
        <v>#N/A</v>
      </c>
      <c r="U416" s="16" t="e">
        <f t="shared" si="73"/>
        <v>#N/A</v>
      </c>
      <c r="V416" s="62" t="b">
        <f t="shared" si="79"/>
        <v>0</v>
      </c>
      <c r="W416" s="63" t="e">
        <f>VLOOKUP($V416,Herbicide_Data!$A$1:$L$17,9)</f>
        <v>#N/A</v>
      </c>
      <c r="X416" s="62" t="e">
        <f>VLOOKUP($V416,Herbicide_Data!$A$1:$L$17,12)</f>
        <v>#N/A</v>
      </c>
      <c r="Y416" s="16" t="e">
        <f t="shared" si="74"/>
        <v>#N/A</v>
      </c>
      <c r="Z416" s="15"/>
      <c r="AA416" s="13"/>
      <c r="AB416" s="17"/>
      <c r="AC416" s="3"/>
      <c r="AD416" s="10"/>
      <c r="AE416" s="3"/>
      <c r="AF416" s="10"/>
      <c r="AG416" s="15"/>
      <c r="AH416" s="62" t="str">
        <f t="shared" si="80"/>
        <v/>
      </c>
      <c r="AI416" s="62" t="e">
        <f>VLOOKUP($AH416,Herbicide_Data!$A$1:$Q$61,13)</f>
        <v>#N/A</v>
      </c>
      <c r="AJ416" s="16" t="e">
        <f t="shared" si="75"/>
        <v>#N/A</v>
      </c>
      <c r="AK416" s="3"/>
      <c r="AL416" s="3"/>
      <c r="AM416" s="3"/>
      <c r="AN416" s="3"/>
      <c r="AO416" s="3"/>
      <c r="AP416" s="3"/>
      <c r="AQ416" s="18"/>
      <c r="AR416" s="19"/>
      <c r="AS416" s="19"/>
      <c r="AT416" s="20"/>
      <c r="AU416" s="20"/>
      <c r="AV416" s="21"/>
      <c r="AW416" s="22"/>
      <c r="AX416" s="19"/>
      <c r="AY416" s="19"/>
      <c r="AZ416" s="19"/>
      <c r="BA416" s="23"/>
      <c r="BB416" s="19"/>
      <c r="BC416" s="19"/>
      <c r="BD416" s="19"/>
    </row>
    <row r="417" spans="1:56">
      <c r="A417" s="13"/>
      <c r="B417" s="11"/>
      <c r="C417" s="12"/>
      <c r="D417" s="12">
        <f t="shared" si="70"/>
        <v>2.0833299999999999E-2</v>
      </c>
      <c r="E417" s="10"/>
      <c r="F417" s="10" t="str">
        <f>IFERROR(VLOOKUP(E417,Data!A$2:B$5,2,TRUE), "")</f>
        <v/>
      </c>
      <c r="G417" s="3"/>
      <c r="H417" s="13" t="str">
        <f>IFERROR(VLOOKUP(A417,Customer_Data!$A$1:$P$114,8,TRUE),"")</f>
        <v/>
      </c>
      <c r="I417" s="13"/>
      <c r="J417" s="3" t="str">
        <f t="shared" si="76"/>
        <v/>
      </c>
      <c r="K417" s="62" t="e">
        <f>(VLOOKUP($J417,Herbicide_Data!$A$1:$L$61,9,TRUE))</f>
        <v>#N/A</v>
      </c>
      <c r="L417" s="62" t="e">
        <f>VLOOKUP($J417,Herbicide_Data!$A$1:$L$61,12,TRUE)</f>
        <v>#N/A</v>
      </c>
      <c r="M417" s="16" t="e">
        <f t="shared" si="71"/>
        <v>#N/A</v>
      </c>
      <c r="N417" s="62" t="str">
        <f t="shared" si="77"/>
        <v/>
      </c>
      <c r="O417" s="63" t="e">
        <f>VLOOKUP($N417,Herbicide_Data!$A$1:$L$61,9)</f>
        <v>#N/A</v>
      </c>
      <c r="P417" s="62" t="e">
        <f>VLOOKUP($N417,Herbicide_Data!$A$1:$P$61,13)</f>
        <v>#N/A</v>
      </c>
      <c r="Q417" s="16" t="e">
        <f t="shared" si="72"/>
        <v>#N/A</v>
      </c>
      <c r="R417" s="62" t="str">
        <f t="shared" si="78"/>
        <v/>
      </c>
      <c r="S417" s="63" t="e">
        <f>VLOOKUP($R417,Herbicide_Data!$A$1:$L$61,9)</f>
        <v>#N/A</v>
      </c>
      <c r="T417" s="62" t="e">
        <f>VLOOKUP($R417,Herbicide_Data!$A$1:$Q$61,13)</f>
        <v>#N/A</v>
      </c>
      <c r="U417" s="16" t="e">
        <f t="shared" si="73"/>
        <v>#N/A</v>
      </c>
      <c r="V417" s="62" t="b">
        <f t="shared" si="79"/>
        <v>0</v>
      </c>
      <c r="W417" s="63" t="e">
        <f>VLOOKUP($V417,Herbicide_Data!$A$1:$L$17,9)</f>
        <v>#N/A</v>
      </c>
      <c r="X417" s="62" t="e">
        <f>VLOOKUP($V417,Herbicide_Data!$A$1:$L$17,12)</f>
        <v>#N/A</v>
      </c>
      <c r="Y417" s="16" t="e">
        <f t="shared" si="74"/>
        <v>#N/A</v>
      </c>
      <c r="Z417" s="15"/>
      <c r="AA417" s="13"/>
      <c r="AB417" s="17"/>
      <c r="AC417" s="3"/>
      <c r="AD417" s="10"/>
      <c r="AE417" s="3"/>
      <c r="AF417" s="10"/>
      <c r="AG417" s="15"/>
      <c r="AH417" s="62" t="str">
        <f t="shared" si="80"/>
        <v/>
      </c>
      <c r="AI417" s="62" t="e">
        <f>VLOOKUP($AH417,Herbicide_Data!$A$1:$Q$61,13)</f>
        <v>#N/A</v>
      </c>
      <c r="AJ417" s="16" t="e">
        <f t="shared" si="75"/>
        <v>#N/A</v>
      </c>
      <c r="AK417" s="3"/>
      <c r="AL417" s="3"/>
      <c r="AM417" s="3"/>
      <c r="AN417" s="3"/>
      <c r="AO417" s="3"/>
      <c r="AP417" s="3"/>
      <c r="AQ417" s="18"/>
      <c r="AR417" s="19"/>
      <c r="AS417" s="19"/>
      <c r="AT417" s="20"/>
      <c r="AU417" s="20"/>
      <c r="AV417" s="21"/>
      <c r="AW417" s="22"/>
      <c r="AX417" s="19"/>
      <c r="AY417" s="19"/>
      <c r="AZ417" s="19"/>
      <c r="BA417" s="23"/>
      <c r="BB417" s="19"/>
      <c r="BC417" s="19"/>
      <c r="BD417" s="19"/>
    </row>
    <row r="418" spans="1:56">
      <c r="A418" s="13"/>
      <c r="B418" s="11"/>
      <c r="C418" s="12"/>
      <c r="D418" s="12">
        <f t="shared" si="70"/>
        <v>2.0833299999999999E-2</v>
      </c>
      <c r="E418" s="10"/>
      <c r="F418" s="10" t="str">
        <f>IFERROR(VLOOKUP(E418,Data!A$2:B$5,2,TRUE), "")</f>
        <v/>
      </c>
      <c r="G418" s="3"/>
      <c r="H418" s="13" t="str">
        <f>IFERROR(VLOOKUP(A418,Customer_Data!$A$1:$P$114,8,TRUE),"")</f>
        <v/>
      </c>
      <c r="I418" s="13"/>
      <c r="J418" s="3" t="str">
        <f t="shared" si="76"/>
        <v/>
      </c>
      <c r="K418" s="62" t="e">
        <f>(VLOOKUP($J418,Herbicide_Data!$A$1:$L$61,9,TRUE))</f>
        <v>#N/A</v>
      </c>
      <c r="L418" s="62" t="e">
        <f>VLOOKUP($J418,Herbicide_Data!$A$1:$L$61,12,TRUE)</f>
        <v>#N/A</v>
      </c>
      <c r="M418" s="16" t="e">
        <f t="shared" si="71"/>
        <v>#N/A</v>
      </c>
      <c r="N418" s="62" t="str">
        <f t="shared" si="77"/>
        <v/>
      </c>
      <c r="O418" s="63" t="e">
        <f>VLOOKUP($N418,Herbicide_Data!$A$1:$L$61,9)</f>
        <v>#N/A</v>
      </c>
      <c r="P418" s="62" t="e">
        <f>VLOOKUP($N418,Herbicide_Data!$A$1:$P$61,13)</f>
        <v>#N/A</v>
      </c>
      <c r="Q418" s="16" t="e">
        <f t="shared" si="72"/>
        <v>#N/A</v>
      </c>
      <c r="R418" s="62" t="str">
        <f t="shared" si="78"/>
        <v/>
      </c>
      <c r="S418" s="63" t="e">
        <f>VLOOKUP($R418,Herbicide_Data!$A$1:$L$61,9)</f>
        <v>#N/A</v>
      </c>
      <c r="T418" s="62" t="e">
        <f>VLOOKUP($R418,Herbicide_Data!$A$1:$Q$61,13)</f>
        <v>#N/A</v>
      </c>
      <c r="U418" s="16" t="e">
        <f t="shared" si="73"/>
        <v>#N/A</v>
      </c>
      <c r="V418" s="62" t="b">
        <f t="shared" si="79"/>
        <v>0</v>
      </c>
      <c r="W418" s="63" t="e">
        <f>VLOOKUP($V418,Herbicide_Data!$A$1:$L$17,9)</f>
        <v>#N/A</v>
      </c>
      <c r="X418" s="62" t="e">
        <f>VLOOKUP($V418,Herbicide_Data!$A$1:$L$17,12)</f>
        <v>#N/A</v>
      </c>
      <c r="Y418" s="16" t="e">
        <f t="shared" si="74"/>
        <v>#N/A</v>
      </c>
      <c r="Z418" s="15"/>
      <c r="AA418" s="13"/>
      <c r="AB418" s="17"/>
      <c r="AC418" s="3"/>
      <c r="AD418" s="10"/>
      <c r="AE418" s="3"/>
      <c r="AF418" s="10"/>
      <c r="AG418" s="15"/>
      <c r="AH418" s="62" t="str">
        <f t="shared" si="80"/>
        <v/>
      </c>
      <c r="AI418" s="62" t="e">
        <f>VLOOKUP($AH418,Herbicide_Data!$A$1:$Q$61,13)</f>
        <v>#N/A</v>
      </c>
      <c r="AJ418" s="16" t="e">
        <f t="shared" si="75"/>
        <v>#N/A</v>
      </c>
      <c r="AK418" s="3"/>
      <c r="AL418" s="3"/>
      <c r="AM418" s="3"/>
      <c r="AN418" s="3"/>
      <c r="AO418" s="3"/>
      <c r="AP418" s="3"/>
      <c r="AQ418" s="18"/>
      <c r="AR418" s="19"/>
      <c r="AS418" s="19"/>
      <c r="AT418" s="20"/>
      <c r="AU418" s="20"/>
      <c r="AV418" s="21"/>
      <c r="AW418" s="22"/>
      <c r="AX418" s="19"/>
      <c r="AY418" s="19"/>
      <c r="AZ418" s="19"/>
      <c r="BA418" s="23"/>
      <c r="BB418" s="19"/>
      <c r="BC418" s="19"/>
      <c r="BD418" s="19"/>
    </row>
    <row r="419" spans="1:56">
      <c r="A419" s="13"/>
      <c r="B419" s="11"/>
      <c r="C419" s="12"/>
      <c r="D419" s="12">
        <f t="shared" si="70"/>
        <v>2.0833299999999999E-2</v>
      </c>
      <c r="E419" s="10"/>
      <c r="F419" s="10" t="str">
        <f>IFERROR(VLOOKUP(E419,Data!A$2:B$5,2,TRUE), "")</f>
        <v/>
      </c>
      <c r="G419" s="3"/>
      <c r="H419" s="13" t="str">
        <f>IFERROR(VLOOKUP(A419,Customer_Data!$A$1:$P$114,8,TRUE),"")</f>
        <v/>
      </c>
      <c r="I419" s="13"/>
      <c r="J419" s="3" t="str">
        <f t="shared" si="76"/>
        <v/>
      </c>
      <c r="K419" s="62" t="e">
        <f>(VLOOKUP($J419,Herbicide_Data!$A$1:$L$61,9,TRUE))</f>
        <v>#N/A</v>
      </c>
      <c r="L419" s="62" t="e">
        <f>VLOOKUP($J419,Herbicide_Data!$A$1:$L$61,12,TRUE)</f>
        <v>#N/A</v>
      </c>
      <c r="M419" s="16" t="e">
        <f t="shared" si="71"/>
        <v>#N/A</v>
      </c>
      <c r="N419" s="62" t="str">
        <f t="shared" si="77"/>
        <v/>
      </c>
      <c r="O419" s="63" t="e">
        <f>VLOOKUP($N419,Herbicide_Data!$A$1:$L$61,9)</f>
        <v>#N/A</v>
      </c>
      <c r="P419" s="62" t="e">
        <f>VLOOKUP($N419,Herbicide_Data!$A$1:$P$61,13)</f>
        <v>#N/A</v>
      </c>
      <c r="Q419" s="16" t="e">
        <f t="shared" si="72"/>
        <v>#N/A</v>
      </c>
      <c r="R419" s="62" t="str">
        <f t="shared" si="78"/>
        <v/>
      </c>
      <c r="S419" s="63" t="e">
        <f>VLOOKUP($R419,Herbicide_Data!$A$1:$L$61,9)</f>
        <v>#N/A</v>
      </c>
      <c r="T419" s="62" t="e">
        <f>VLOOKUP($R419,Herbicide_Data!$A$1:$Q$61,13)</f>
        <v>#N/A</v>
      </c>
      <c r="U419" s="16" t="e">
        <f t="shared" si="73"/>
        <v>#N/A</v>
      </c>
      <c r="V419" s="62" t="b">
        <f t="shared" si="79"/>
        <v>0</v>
      </c>
      <c r="W419" s="63" t="e">
        <f>VLOOKUP($V419,Herbicide_Data!$A$1:$L$17,9)</f>
        <v>#N/A</v>
      </c>
      <c r="X419" s="62" t="e">
        <f>VLOOKUP($V419,Herbicide_Data!$A$1:$L$17,12)</f>
        <v>#N/A</v>
      </c>
      <c r="Y419" s="16" t="e">
        <f t="shared" si="74"/>
        <v>#N/A</v>
      </c>
      <c r="Z419" s="15"/>
      <c r="AA419" s="13"/>
      <c r="AB419" s="17"/>
      <c r="AC419" s="3"/>
      <c r="AD419" s="10"/>
      <c r="AE419" s="3"/>
      <c r="AF419" s="10"/>
      <c r="AG419" s="15"/>
      <c r="AH419" s="62" t="str">
        <f t="shared" si="80"/>
        <v/>
      </c>
      <c r="AI419" s="62" t="e">
        <f>VLOOKUP($AH419,Herbicide_Data!$A$1:$Q$61,13)</f>
        <v>#N/A</v>
      </c>
      <c r="AJ419" s="16" t="e">
        <f t="shared" si="75"/>
        <v>#N/A</v>
      </c>
      <c r="AK419" s="3"/>
      <c r="AL419" s="3"/>
      <c r="AM419" s="3"/>
      <c r="AN419" s="3"/>
      <c r="AO419" s="3"/>
      <c r="AP419" s="3"/>
      <c r="AQ419" s="18"/>
      <c r="AR419" s="19"/>
      <c r="AS419" s="19"/>
      <c r="AT419" s="20"/>
      <c r="AU419" s="20"/>
      <c r="AV419" s="21"/>
      <c r="AW419" s="22"/>
      <c r="AX419" s="19"/>
      <c r="AY419" s="19"/>
      <c r="AZ419" s="19"/>
      <c r="BA419" s="23"/>
      <c r="BB419" s="19"/>
      <c r="BC419" s="19"/>
      <c r="BD419" s="19"/>
    </row>
    <row r="420" spans="1:56">
      <c r="A420" s="13"/>
      <c r="B420" s="11"/>
      <c r="C420" s="12"/>
      <c r="D420" s="12">
        <f t="shared" si="70"/>
        <v>2.0833299999999999E-2</v>
      </c>
      <c r="E420" s="10"/>
      <c r="F420" s="10" t="str">
        <f>IFERROR(VLOOKUP(E420,Data!A$2:B$5,2,TRUE), "")</f>
        <v/>
      </c>
      <c r="G420" s="3"/>
      <c r="H420" s="13" t="str">
        <f>IFERROR(VLOOKUP(A420,Customer_Data!$A$1:$P$114,8,TRUE),"")</f>
        <v/>
      </c>
      <c r="I420" s="13"/>
      <c r="J420" s="3" t="str">
        <f t="shared" si="76"/>
        <v/>
      </c>
      <c r="K420" s="62" t="e">
        <f>(VLOOKUP($J420,Herbicide_Data!$A$1:$L$61,9,TRUE))</f>
        <v>#N/A</v>
      </c>
      <c r="L420" s="62" t="e">
        <f>VLOOKUP($J420,Herbicide_Data!$A$1:$L$61,12,TRUE)</f>
        <v>#N/A</v>
      </c>
      <c r="M420" s="16" t="e">
        <f t="shared" si="71"/>
        <v>#N/A</v>
      </c>
      <c r="N420" s="62" t="str">
        <f t="shared" si="77"/>
        <v/>
      </c>
      <c r="O420" s="63" t="e">
        <f>VLOOKUP($N420,Herbicide_Data!$A$1:$L$61,9)</f>
        <v>#N/A</v>
      </c>
      <c r="P420" s="62" t="e">
        <f>VLOOKUP($N420,Herbicide_Data!$A$1:$P$61,13)</f>
        <v>#N/A</v>
      </c>
      <c r="Q420" s="16" t="e">
        <f t="shared" si="72"/>
        <v>#N/A</v>
      </c>
      <c r="R420" s="62" t="str">
        <f t="shared" si="78"/>
        <v/>
      </c>
      <c r="S420" s="63" t="e">
        <f>VLOOKUP($R420,Herbicide_Data!$A$1:$L$61,9)</f>
        <v>#N/A</v>
      </c>
      <c r="T420" s="62" t="e">
        <f>VLOOKUP($R420,Herbicide_Data!$A$1:$Q$61,13)</f>
        <v>#N/A</v>
      </c>
      <c r="U420" s="16" t="e">
        <f t="shared" si="73"/>
        <v>#N/A</v>
      </c>
      <c r="V420" s="62" t="b">
        <f t="shared" si="79"/>
        <v>0</v>
      </c>
      <c r="W420" s="63" t="e">
        <f>VLOOKUP($V420,Herbicide_Data!$A$1:$L$17,9)</f>
        <v>#N/A</v>
      </c>
      <c r="X420" s="62" t="e">
        <f>VLOOKUP($V420,Herbicide_Data!$A$1:$L$17,12)</f>
        <v>#N/A</v>
      </c>
      <c r="Y420" s="16" t="e">
        <f t="shared" si="74"/>
        <v>#N/A</v>
      </c>
      <c r="Z420" s="15"/>
      <c r="AA420" s="13"/>
      <c r="AB420" s="17"/>
      <c r="AC420" s="3"/>
      <c r="AD420" s="10"/>
      <c r="AE420" s="3"/>
      <c r="AF420" s="10"/>
      <c r="AG420" s="15"/>
      <c r="AH420" s="62" t="str">
        <f t="shared" si="80"/>
        <v/>
      </c>
      <c r="AI420" s="62" t="e">
        <f>VLOOKUP($AH420,Herbicide_Data!$A$1:$Q$61,13)</f>
        <v>#N/A</v>
      </c>
      <c r="AJ420" s="16" t="e">
        <f t="shared" si="75"/>
        <v>#N/A</v>
      </c>
      <c r="AK420" s="3"/>
      <c r="AL420" s="3"/>
      <c r="AM420" s="3"/>
      <c r="AN420" s="3"/>
      <c r="AO420" s="3"/>
      <c r="AP420" s="3"/>
      <c r="AQ420" s="18"/>
      <c r="AR420" s="19"/>
      <c r="AS420" s="19"/>
      <c r="AT420" s="20"/>
      <c r="AU420" s="20"/>
      <c r="AV420" s="21"/>
      <c r="AW420" s="22"/>
      <c r="AX420" s="19"/>
      <c r="AY420" s="19"/>
      <c r="AZ420" s="19"/>
      <c r="BA420" s="23"/>
      <c r="BB420" s="19"/>
      <c r="BC420" s="19"/>
      <c r="BD420" s="19"/>
    </row>
    <row r="421" spans="1:56">
      <c r="A421" s="13"/>
      <c r="B421" s="11"/>
      <c r="C421" s="12"/>
      <c r="D421" s="12">
        <f t="shared" si="70"/>
        <v>2.0833299999999999E-2</v>
      </c>
      <c r="E421" s="10"/>
      <c r="F421" s="10" t="str">
        <f>IFERROR(VLOOKUP(E421,Data!A$2:B$5,2,TRUE), "")</f>
        <v/>
      </c>
      <c r="G421" s="3"/>
      <c r="H421" s="13" t="str">
        <f>IFERROR(VLOOKUP(A421,Customer_Data!$A$1:$P$114,8,TRUE),"")</f>
        <v/>
      </c>
      <c r="I421" s="13"/>
      <c r="J421" s="3" t="str">
        <f t="shared" si="76"/>
        <v/>
      </c>
      <c r="K421" s="62" t="e">
        <f>(VLOOKUP($J421,Herbicide_Data!$A$1:$L$61,9,TRUE))</f>
        <v>#N/A</v>
      </c>
      <c r="L421" s="62" t="e">
        <f>VLOOKUP($J421,Herbicide_Data!$A$1:$L$61,12,TRUE)</f>
        <v>#N/A</v>
      </c>
      <c r="M421" s="16" t="e">
        <f t="shared" si="71"/>
        <v>#N/A</v>
      </c>
      <c r="N421" s="62" t="str">
        <f t="shared" si="77"/>
        <v/>
      </c>
      <c r="O421" s="63" t="e">
        <f>VLOOKUP($N421,Herbicide_Data!$A$1:$L$61,9)</f>
        <v>#N/A</v>
      </c>
      <c r="P421" s="62" t="e">
        <f>VLOOKUP($N421,Herbicide_Data!$A$1:$P$61,13)</f>
        <v>#N/A</v>
      </c>
      <c r="Q421" s="16" t="e">
        <f t="shared" si="72"/>
        <v>#N/A</v>
      </c>
      <c r="R421" s="62" t="str">
        <f t="shared" si="78"/>
        <v/>
      </c>
      <c r="S421" s="63" t="e">
        <f>VLOOKUP($R421,Herbicide_Data!$A$1:$L$61,9)</f>
        <v>#N/A</v>
      </c>
      <c r="T421" s="62" t="e">
        <f>VLOOKUP($R421,Herbicide_Data!$A$1:$Q$61,13)</f>
        <v>#N/A</v>
      </c>
      <c r="U421" s="16" t="e">
        <f t="shared" si="73"/>
        <v>#N/A</v>
      </c>
      <c r="V421" s="62" t="b">
        <f t="shared" si="79"/>
        <v>0</v>
      </c>
      <c r="W421" s="63" t="e">
        <f>VLOOKUP($V421,Herbicide_Data!$A$1:$L$17,9)</f>
        <v>#N/A</v>
      </c>
      <c r="X421" s="62" t="e">
        <f>VLOOKUP($V421,Herbicide_Data!$A$1:$L$17,12)</f>
        <v>#N/A</v>
      </c>
      <c r="Y421" s="16" t="e">
        <f t="shared" si="74"/>
        <v>#N/A</v>
      </c>
      <c r="Z421" s="15"/>
      <c r="AA421" s="13"/>
      <c r="AB421" s="17"/>
      <c r="AC421" s="3"/>
      <c r="AD421" s="10"/>
      <c r="AE421" s="3"/>
      <c r="AF421" s="10"/>
      <c r="AG421" s="15"/>
      <c r="AH421" s="62" t="str">
        <f t="shared" si="80"/>
        <v/>
      </c>
      <c r="AI421" s="62" t="e">
        <f>VLOOKUP($AH421,Herbicide_Data!$A$1:$Q$61,13)</f>
        <v>#N/A</v>
      </c>
      <c r="AJ421" s="16" t="e">
        <f t="shared" si="75"/>
        <v>#N/A</v>
      </c>
      <c r="AK421" s="3"/>
      <c r="AL421" s="3"/>
      <c r="AM421" s="3"/>
      <c r="AN421" s="3"/>
      <c r="AO421" s="3"/>
      <c r="AP421" s="3"/>
      <c r="AQ421" s="18"/>
      <c r="AR421" s="19"/>
      <c r="AS421" s="19"/>
      <c r="AT421" s="20"/>
      <c r="AU421" s="20"/>
      <c r="AV421" s="21"/>
      <c r="AW421" s="22"/>
      <c r="AX421" s="19"/>
      <c r="AY421" s="19"/>
      <c r="AZ421" s="19"/>
      <c r="BA421" s="23"/>
      <c r="BB421" s="19"/>
      <c r="BC421" s="19"/>
      <c r="BD421" s="19"/>
    </row>
    <row r="422" spans="1:56">
      <c r="A422" s="13"/>
      <c r="B422" s="11"/>
      <c r="C422" s="12"/>
      <c r="D422" s="12">
        <f t="shared" si="70"/>
        <v>2.0833299999999999E-2</v>
      </c>
      <c r="E422" s="10"/>
      <c r="F422" s="10" t="str">
        <f>IFERROR(VLOOKUP(E422,Data!A$2:B$5,2,TRUE), "")</f>
        <v/>
      </c>
      <c r="G422" s="3"/>
      <c r="H422" s="13" t="str">
        <f>IFERROR(VLOOKUP(A422,Customer_Data!$A$1:$P$114,8,TRUE),"")</f>
        <v/>
      </c>
      <c r="I422" s="13"/>
      <c r="J422" s="3" t="str">
        <f t="shared" si="76"/>
        <v/>
      </c>
      <c r="K422" s="62" t="e">
        <f>(VLOOKUP($J422,Herbicide_Data!$A$1:$L$61,9,TRUE))</f>
        <v>#N/A</v>
      </c>
      <c r="L422" s="62" t="e">
        <f>VLOOKUP($J422,Herbicide_Data!$A$1:$L$61,12,TRUE)</f>
        <v>#N/A</v>
      </c>
      <c r="M422" s="16" t="e">
        <f t="shared" si="71"/>
        <v>#N/A</v>
      </c>
      <c r="N422" s="62" t="str">
        <f t="shared" si="77"/>
        <v/>
      </c>
      <c r="O422" s="63" t="e">
        <f>VLOOKUP($N422,Herbicide_Data!$A$1:$L$61,9)</f>
        <v>#N/A</v>
      </c>
      <c r="P422" s="62" t="e">
        <f>VLOOKUP($N422,Herbicide_Data!$A$1:$P$61,13)</f>
        <v>#N/A</v>
      </c>
      <c r="Q422" s="16" t="e">
        <f t="shared" si="72"/>
        <v>#N/A</v>
      </c>
      <c r="R422" s="62" t="str">
        <f t="shared" si="78"/>
        <v/>
      </c>
      <c r="S422" s="63" t="e">
        <f>VLOOKUP($R422,Herbicide_Data!$A$1:$L$61,9)</f>
        <v>#N/A</v>
      </c>
      <c r="T422" s="62" t="e">
        <f>VLOOKUP($R422,Herbicide_Data!$A$1:$Q$61,13)</f>
        <v>#N/A</v>
      </c>
      <c r="U422" s="16" t="e">
        <f t="shared" si="73"/>
        <v>#N/A</v>
      </c>
      <c r="V422" s="62" t="b">
        <f t="shared" si="79"/>
        <v>0</v>
      </c>
      <c r="W422" s="63" t="e">
        <f>VLOOKUP($V422,Herbicide_Data!$A$1:$L$17,9)</f>
        <v>#N/A</v>
      </c>
      <c r="X422" s="62" t="e">
        <f>VLOOKUP($V422,Herbicide_Data!$A$1:$L$17,12)</f>
        <v>#N/A</v>
      </c>
      <c r="Y422" s="16" t="e">
        <f t="shared" si="74"/>
        <v>#N/A</v>
      </c>
      <c r="Z422" s="15"/>
      <c r="AA422" s="13"/>
      <c r="AB422" s="17"/>
      <c r="AC422" s="3"/>
      <c r="AD422" s="10"/>
      <c r="AE422" s="3"/>
      <c r="AF422" s="10"/>
      <c r="AG422" s="15"/>
      <c r="AH422" s="62" t="str">
        <f t="shared" si="80"/>
        <v/>
      </c>
      <c r="AI422" s="62" t="e">
        <f>VLOOKUP($AH422,Herbicide_Data!$A$1:$Q$61,13)</f>
        <v>#N/A</v>
      </c>
      <c r="AJ422" s="16" t="e">
        <f t="shared" si="75"/>
        <v>#N/A</v>
      </c>
      <c r="AK422" s="3"/>
      <c r="AL422" s="3"/>
      <c r="AM422" s="3"/>
      <c r="AN422" s="3"/>
      <c r="AO422" s="3"/>
      <c r="AP422" s="3"/>
      <c r="AQ422" s="18"/>
      <c r="AR422" s="19"/>
      <c r="AS422" s="19"/>
      <c r="AT422" s="20"/>
      <c r="AU422" s="20"/>
      <c r="AV422" s="21"/>
      <c r="AW422" s="22"/>
      <c r="AX422" s="19"/>
      <c r="AY422" s="19"/>
      <c r="AZ422" s="19"/>
      <c r="BA422" s="23"/>
      <c r="BB422" s="19"/>
      <c r="BC422" s="19"/>
      <c r="BD422" s="19"/>
    </row>
    <row r="423" spans="1:56">
      <c r="A423" s="13"/>
      <c r="B423" s="11"/>
      <c r="C423" s="12"/>
      <c r="D423" s="12">
        <f t="shared" si="70"/>
        <v>2.0833299999999999E-2</v>
      </c>
      <c r="E423" s="10"/>
      <c r="F423" s="10" t="str">
        <f>IFERROR(VLOOKUP(E423,Data!A$2:B$5,2,TRUE), "")</f>
        <v/>
      </c>
      <c r="G423" s="3"/>
      <c r="H423" s="13" t="str">
        <f>IFERROR(VLOOKUP(A423,Customer_Data!$A$1:$P$114,8,TRUE),"")</f>
        <v/>
      </c>
      <c r="I423" s="13"/>
      <c r="J423" s="3" t="str">
        <f t="shared" si="76"/>
        <v/>
      </c>
      <c r="K423" s="62" t="e">
        <f>(VLOOKUP($J423,Herbicide_Data!$A$1:$L$61,9,TRUE))</f>
        <v>#N/A</v>
      </c>
      <c r="L423" s="62" t="e">
        <f>VLOOKUP($J423,Herbicide_Data!$A$1:$L$61,12,TRUE)</f>
        <v>#N/A</v>
      </c>
      <c r="M423" s="16" t="e">
        <f t="shared" si="71"/>
        <v>#N/A</v>
      </c>
      <c r="N423" s="62" t="str">
        <f t="shared" si="77"/>
        <v/>
      </c>
      <c r="O423" s="63" t="e">
        <f>VLOOKUP($N423,Herbicide_Data!$A$1:$L$61,9)</f>
        <v>#N/A</v>
      </c>
      <c r="P423" s="62" t="e">
        <f>VLOOKUP($N423,Herbicide_Data!$A$1:$P$61,13)</f>
        <v>#N/A</v>
      </c>
      <c r="Q423" s="16" t="e">
        <f t="shared" si="72"/>
        <v>#N/A</v>
      </c>
      <c r="R423" s="62" t="str">
        <f t="shared" si="78"/>
        <v/>
      </c>
      <c r="S423" s="63" t="e">
        <f>VLOOKUP($R423,Herbicide_Data!$A$1:$L$61,9)</f>
        <v>#N/A</v>
      </c>
      <c r="T423" s="62" t="e">
        <f>VLOOKUP($R423,Herbicide_Data!$A$1:$Q$61,13)</f>
        <v>#N/A</v>
      </c>
      <c r="U423" s="16" t="e">
        <f t="shared" si="73"/>
        <v>#N/A</v>
      </c>
      <c r="V423" s="62" t="b">
        <f t="shared" si="79"/>
        <v>0</v>
      </c>
      <c r="W423" s="63" t="e">
        <f>VLOOKUP($V423,Herbicide_Data!$A$1:$L$17,9)</f>
        <v>#N/A</v>
      </c>
      <c r="X423" s="62" t="e">
        <f>VLOOKUP($V423,Herbicide_Data!$A$1:$L$17,12)</f>
        <v>#N/A</v>
      </c>
      <c r="Y423" s="16" t="e">
        <f t="shared" si="74"/>
        <v>#N/A</v>
      </c>
      <c r="Z423" s="15"/>
      <c r="AA423" s="13"/>
      <c r="AB423" s="17"/>
      <c r="AC423" s="3"/>
      <c r="AD423" s="10"/>
      <c r="AE423" s="3"/>
      <c r="AF423" s="10"/>
      <c r="AG423" s="15"/>
      <c r="AH423" s="62" t="str">
        <f t="shared" si="80"/>
        <v/>
      </c>
      <c r="AI423" s="62" t="e">
        <f>VLOOKUP($AH423,Herbicide_Data!$A$1:$Q$61,13)</f>
        <v>#N/A</v>
      </c>
      <c r="AJ423" s="16" t="e">
        <f t="shared" si="75"/>
        <v>#N/A</v>
      </c>
      <c r="AK423" s="3"/>
      <c r="AL423" s="3"/>
      <c r="AM423" s="3"/>
      <c r="AN423" s="3"/>
      <c r="AO423" s="3"/>
      <c r="AP423" s="3"/>
      <c r="AQ423" s="18"/>
      <c r="AR423" s="19"/>
      <c r="AS423" s="19"/>
      <c r="AT423" s="20"/>
      <c r="AU423" s="20"/>
      <c r="AV423" s="21"/>
      <c r="AW423" s="22"/>
      <c r="AX423" s="19"/>
      <c r="AY423" s="19"/>
      <c r="AZ423" s="19"/>
      <c r="BA423" s="23"/>
      <c r="BB423" s="19"/>
      <c r="BC423" s="19"/>
      <c r="BD423" s="19"/>
    </row>
    <row r="424" spans="1:56">
      <c r="A424" s="13"/>
      <c r="B424" s="11"/>
      <c r="C424" s="12"/>
      <c r="D424" s="12">
        <f t="shared" si="70"/>
        <v>2.0833299999999999E-2</v>
      </c>
      <c r="E424" s="10"/>
      <c r="F424" s="10" t="str">
        <f>IFERROR(VLOOKUP(E424,Data!A$2:B$5,2,TRUE), "")</f>
        <v/>
      </c>
      <c r="G424" s="3"/>
      <c r="H424" s="13" t="str">
        <f>IFERROR(VLOOKUP(A424,Customer_Data!$A$1:$P$114,8,TRUE),"")</f>
        <v/>
      </c>
      <c r="I424" s="13"/>
      <c r="J424" s="3" t="str">
        <f t="shared" si="76"/>
        <v/>
      </c>
      <c r="K424" s="62" t="e">
        <f>(VLOOKUP($J424,Herbicide_Data!$A$1:$L$61,9,TRUE))</f>
        <v>#N/A</v>
      </c>
      <c r="L424" s="62" t="e">
        <f>VLOOKUP($J424,Herbicide_Data!$A$1:$L$61,12,TRUE)</f>
        <v>#N/A</v>
      </c>
      <c r="M424" s="16" t="e">
        <f t="shared" si="71"/>
        <v>#N/A</v>
      </c>
      <c r="N424" s="62" t="str">
        <f t="shared" si="77"/>
        <v/>
      </c>
      <c r="O424" s="63" t="e">
        <f>VLOOKUP($N424,Herbicide_Data!$A$1:$L$61,9)</f>
        <v>#N/A</v>
      </c>
      <c r="P424" s="62" t="e">
        <f>VLOOKUP($N424,Herbicide_Data!$A$1:$P$61,13)</f>
        <v>#N/A</v>
      </c>
      <c r="Q424" s="16" t="e">
        <f t="shared" si="72"/>
        <v>#N/A</v>
      </c>
      <c r="R424" s="62" t="str">
        <f t="shared" si="78"/>
        <v/>
      </c>
      <c r="S424" s="63" t="e">
        <f>VLOOKUP($R424,Herbicide_Data!$A$1:$L$61,9)</f>
        <v>#N/A</v>
      </c>
      <c r="T424" s="62" t="e">
        <f>VLOOKUP($R424,Herbicide_Data!$A$1:$Q$61,13)</f>
        <v>#N/A</v>
      </c>
      <c r="U424" s="16" t="e">
        <f t="shared" si="73"/>
        <v>#N/A</v>
      </c>
      <c r="V424" s="62" t="b">
        <f t="shared" si="79"/>
        <v>0</v>
      </c>
      <c r="W424" s="63" t="e">
        <f>VLOOKUP($V424,Herbicide_Data!$A$1:$L$17,9)</f>
        <v>#N/A</v>
      </c>
      <c r="X424" s="62" t="e">
        <f>VLOOKUP($V424,Herbicide_Data!$A$1:$L$17,12)</f>
        <v>#N/A</v>
      </c>
      <c r="Y424" s="16" t="e">
        <f t="shared" si="74"/>
        <v>#N/A</v>
      </c>
      <c r="Z424" s="15"/>
      <c r="AA424" s="13"/>
      <c r="AB424" s="17"/>
      <c r="AC424" s="3"/>
      <c r="AD424" s="10"/>
      <c r="AE424" s="3"/>
      <c r="AF424" s="10"/>
      <c r="AG424" s="15"/>
      <c r="AH424" s="62" t="str">
        <f t="shared" si="80"/>
        <v/>
      </c>
      <c r="AI424" s="62" t="e">
        <f>VLOOKUP($AH424,Herbicide_Data!$A$1:$Q$61,13)</f>
        <v>#N/A</v>
      </c>
      <c r="AJ424" s="16" t="e">
        <f t="shared" si="75"/>
        <v>#N/A</v>
      </c>
      <c r="AK424" s="3"/>
      <c r="AL424" s="3"/>
      <c r="AM424" s="3"/>
      <c r="AN424" s="3"/>
      <c r="AO424" s="3"/>
      <c r="AP424" s="3"/>
      <c r="AQ424" s="18"/>
      <c r="AR424" s="19"/>
      <c r="AS424" s="19"/>
      <c r="AT424" s="20"/>
      <c r="AU424" s="20"/>
      <c r="AV424" s="21"/>
      <c r="AW424" s="22"/>
      <c r="AX424" s="19"/>
      <c r="AY424" s="19"/>
      <c r="AZ424" s="19"/>
      <c r="BA424" s="23"/>
      <c r="BB424" s="19"/>
      <c r="BC424" s="19"/>
      <c r="BD424" s="19"/>
    </row>
    <row r="425" spans="1:56">
      <c r="A425" s="13"/>
      <c r="B425" s="11"/>
      <c r="C425" s="12"/>
      <c r="D425" s="12">
        <f t="shared" si="70"/>
        <v>2.0833299999999999E-2</v>
      </c>
      <c r="E425" s="10"/>
      <c r="F425" s="10" t="str">
        <f>IFERROR(VLOOKUP(E425,Data!A$2:B$5,2,TRUE), "")</f>
        <v/>
      </c>
      <c r="G425" s="3"/>
      <c r="H425" s="13" t="str">
        <f>IFERROR(VLOOKUP(A425,Customer_Data!$A$1:$P$114,8,TRUE),"")</f>
        <v/>
      </c>
      <c r="I425" s="13"/>
      <c r="J425" s="3" t="str">
        <f t="shared" si="76"/>
        <v/>
      </c>
      <c r="K425" s="62" t="e">
        <f>(VLOOKUP($J425,Herbicide_Data!$A$1:$L$61,9,TRUE))</f>
        <v>#N/A</v>
      </c>
      <c r="L425" s="62" t="e">
        <f>VLOOKUP($J425,Herbicide_Data!$A$1:$L$61,12,TRUE)</f>
        <v>#N/A</v>
      </c>
      <c r="M425" s="16" t="e">
        <f t="shared" si="71"/>
        <v>#N/A</v>
      </c>
      <c r="N425" s="62" t="str">
        <f t="shared" si="77"/>
        <v/>
      </c>
      <c r="O425" s="63" t="e">
        <f>VLOOKUP($N425,Herbicide_Data!$A$1:$L$61,9)</f>
        <v>#N/A</v>
      </c>
      <c r="P425" s="62" t="e">
        <f>VLOOKUP($N425,Herbicide_Data!$A$1:$P$61,13)</f>
        <v>#N/A</v>
      </c>
      <c r="Q425" s="16" t="e">
        <f t="shared" si="72"/>
        <v>#N/A</v>
      </c>
      <c r="R425" s="62" t="str">
        <f t="shared" si="78"/>
        <v/>
      </c>
      <c r="S425" s="63" t="e">
        <f>VLOOKUP($R425,Herbicide_Data!$A$1:$L$61,9)</f>
        <v>#N/A</v>
      </c>
      <c r="T425" s="62" t="e">
        <f>VLOOKUP($R425,Herbicide_Data!$A$1:$Q$61,13)</f>
        <v>#N/A</v>
      </c>
      <c r="U425" s="16" t="e">
        <f t="shared" si="73"/>
        <v>#N/A</v>
      </c>
      <c r="V425" s="62" t="b">
        <f t="shared" si="79"/>
        <v>0</v>
      </c>
      <c r="W425" s="63" t="e">
        <f>VLOOKUP($V425,Herbicide_Data!$A$1:$L$17,9)</f>
        <v>#N/A</v>
      </c>
      <c r="X425" s="62" t="e">
        <f>VLOOKUP($V425,Herbicide_Data!$A$1:$L$17,12)</f>
        <v>#N/A</v>
      </c>
      <c r="Y425" s="16" t="e">
        <f t="shared" si="74"/>
        <v>#N/A</v>
      </c>
      <c r="Z425" s="15"/>
      <c r="AA425" s="13"/>
      <c r="AB425" s="17"/>
      <c r="AC425" s="3"/>
      <c r="AD425" s="10"/>
      <c r="AE425" s="3"/>
      <c r="AF425" s="10"/>
      <c r="AG425" s="15"/>
      <c r="AH425" s="62" t="str">
        <f t="shared" si="80"/>
        <v/>
      </c>
      <c r="AI425" s="62" t="e">
        <f>VLOOKUP($AH425,Herbicide_Data!$A$1:$Q$61,13)</f>
        <v>#N/A</v>
      </c>
      <c r="AJ425" s="16" t="e">
        <f t="shared" si="75"/>
        <v>#N/A</v>
      </c>
      <c r="AK425" s="3"/>
      <c r="AL425" s="3"/>
      <c r="AM425" s="3"/>
      <c r="AN425" s="3"/>
      <c r="AO425" s="3"/>
      <c r="AP425" s="3"/>
      <c r="AQ425" s="18"/>
      <c r="AR425" s="19"/>
      <c r="AS425" s="19"/>
      <c r="AT425" s="20"/>
      <c r="AU425" s="20"/>
      <c r="AV425" s="21"/>
      <c r="AW425" s="22"/>
      <c r="AX425" s="19"/>
      <c r="AY425" s="19"/>
      <c r="AZ425" s="19"/>
      <c r="BA425" s="23"/>
      <c r="BB425" s="19"/>
      <c r="BC425" s="19"/>
      <c r="BD425" s="19"/>
    </row>
    <row r="426" spans="1:56">
      <c r="A426" s="13"/>
      <c r="B426" s="11"/>
      <c r="C426" s="12"/>
      <c r="D426" s="12">
        <f t="shared" si="70"/>
        <v>2.0833299999999999E-2</v>
      </c>
      <c r="E426" s="10"/>
      <c r="F426" s="10" t="str">
        <f>IFERROR(VLOOKUP(E426,Data!A$2:B$5,2,TRUE), "")</f>
        <v/>
      </c>
      <c r="G426" s="3"/>
      <c r="H426" s="13" t="str">
        <f>IFERROR(VLOOKUP(A426,Customer_Data!$A$1:$P$114,8,TRUE),"")</f>
        <v/>
      </c>
      <c r="I426" s="13"/>
      <c r="J426" s="3" t="str">
        <f t="shared" si="76"/>
        <v/>
      </c>
      <c r="K426" s="62" t="e">
        <f>(VLOOKUP($J426,Herbicide_Data!$A$1:$L$61,9,TRUE))</f>
        <v>#N/A</v>
      </c>
      <c r="L426" s="62" t="e">
        <f>VLOOKUP($J426,Herbicide_Data!$A$1:$L$61,12,TRUE)</f>
        <v>#N/A</v>
      </c>
      <c r="M426" s="16" t="e">
        <f t="shared" si="71"/>
        <v>#N/A</v>
      </c>
      <c r="N426" s="62" t="str">
        <f t="shared" si="77"/>
        <v/>
      </c>
      <c r="O426" s="63" t="e">
        <f>VLOOKUP($N426,Herbicide_Data!$A$1:$L$61,9)</f>
        <v>#N/A</v>
      </c>
      <c r="P426" s="62" t="e">
        <f>VLOOKUP($N426,Herbicide_Data!$A$1:$P$61,13)</f>
        <v>#N/A</v>
      </c>
      <c r="Q426" s="16" t="e">
        <f t="shared" si="72"/>
        <v>#N/A</v>
      </c>
      <c r="R426" s="62" t="str">
        <f t="shared" si="78"/>
        <v/>
      </c>
      <c r="S426" s="63" t="e">
        <f>VLOOKUP($R426,Herbicide_Data!$A$1:$L$61,9)</f>
        <v>#N/A</v>
      </c>
      <c r="T426" s="62" t="e">
        <f>VLOOKUP($R426,Herbicide_Data!$A$1:$Q$61,13)</f>
        <v>#N/A</v>
      </c>
      <c r="U426" s="16" t="e">
        <f t="shared" si="73"/>
        <v>#N/A</v>
      </c>
      <c r="V426" s="62" t="b">
        <f t="shared" si="79"/>
        <v>0</v>
      </c>
      <c r="W426" s="63" t="e">
        <f>VLOOKUP($V426,Herbicide_Data!$A$1:$L$17,9)</f>
        <v>#N/A</v>
      </c>
      <c r="X426" s="62" t="e">
        <f>VLOOKUP($V426,Herbicide_Data!$A$1:$L$17,12)</f>
        <v>#N/A</v>
      </c>
      <c r="Y426" s="16" t="e">
        <f t="shared" si="74"/>
        <v>#N/A</v>
      </c>
      <c r="Z426" s="15"/>
      <c r="AA426" s="13"/>
      <c r="AB426" s="17"/>
      <c r="AC426" s="3"/>
      <c r="AD426" s="10"/>
      <c r="AE426" s="3"/>
      <c r="AF426" s="10"/>
      <c r="AG426" s="15"/>
      <c r="AH426" s="62" t="str">
        <f t="shared" si="80"/>
        <v/>
      </c>
      <c r="AI426" s="62" t="e">
        <f>VLOOKUP($AH426,Herbicide_Data!$A$1:$Q$61,13)</f>
        <v>#N/A</v>
      </c>
      <c r="AJ426" s="16" t="e">
        <f t="shared" si="75"/>
        <v>#N/A</v>
      </c>
      <c r="AK426" s="3"/>
      <c r="AL426" s="3"/>
      <c r="AM426" s="3"/>
      <c r="AN426" s="3"/>
      <c r="AO426" s="3"/>
      <c r="AP426" s="3"/>
      <c r="AQ426" s="18"/>
      <c r="AR426" s="19"/>
      <c r="AS426" s="19"/>
      <c r="AT426" s="20"/>
      <c r="AU426" s="20"/>
      <c r="AV426" s="21"/>
      <c r="AW426" s="22"/>
      <c r="AX426" s="19"/>
      <c r="AY426" s="19"/>
      <c r="AZ426" s="19"/>
      <c r="BA426" s="23"/>
      <c r="BB426" s="19"/>
      <c r="BC426" s="19"/>
      <c r="BD426" s="19"/>
    </row>
    <row r="427" spans="1:56">
      <c r="A427" s="13"/>
      <c r="B427" s="11"/>
      <c r="C427" s="12"/>
      <c r="D427" s="12">
        <f t="shared" si="70"/>
        <v>2.0833299999999999E-2</v>
      </c>
      <c r="E427" s="10"/>
      <c r="F427" s="10" t="str">
        <f>IFERROR(VLOOKUP(E427,Data!A$2:B$5,2,TRUE), "")</f>
        <v/>
      </c>
      <c r="G427" s="3"/>
      <c r="H427" s="13" t="str">
        <f>IFERROR(VLOOKUP(A427,Customer_Data!$A$1:$P$114,8,TRUE),"")</f>
        <v/>
      </c>
      <c r="I427" s="13"/>
      <c r="J427" s="3" t="str">
        <f t="shared" si="76"/>
        <v/>
      </c>
      <c r="K427" s="62" t="e">
        <f>(VLOOKUP($J427,Herbicide_Data!$A$1:$L$61,9,TRUE))</f>
        <v>#N/A</v>
      </c>
      <c r="L427" s="62" t="e">
        <f>VLOOKUP($J427,Herbicide_Data!$A$1:$L$61,12,TRUE)</f>
        <v>#N/A</v>
      </c>
      <c r="M427" s="16" t="e">
        <f t="shared" si="71"/>
        <v>#N/A</v>
      </c>
      <c r="N427" s="62" t="str">
        <f t="shared" si="77"/>
        <v/>
      </c>
      <c r="O427" s="63" t="e">
        <f>VLOOKUP($N427,Herbicide_Data!$A$1:$L$61,9)</f>
        <v>#N/A</v>
      </c>
      <c r="P427" s="62" t="e">
        <f>VLOOKUP($N427,Herbicide_Data!$A$1:$P$61,13)</f>
        <v>#N/A</v>
      </c>
      <c r="Q427" s="16" t="e">
        <f t="shared" si="72"/>
        <v>#N/A</v>
      </c>
      <c r="R427" s="62" t="str">
        <f t="shared" si="78"/>
        <v/>
      </c>
      <c r="S427" s="63" t="e">
        <f>VLOOKUP($R427,Herbicide_Data!$A$1:$L$61,9)</f>
        <v>#N/A</v>
      </c>
      <c r="T427" s="62" t="e">
        <f>VLOOKUP($R427,Herbicide_Data!$A$1:$Q$61,13)</f>
        <v>#N/A</v>
      </c>
      <c r="U427" s="16" t="e">
        <f t="shared" si="73"/>
        <v>#N/A</v>
      </c>
      <c r="V427" s="62" t="b">
        <f t="shared" si="79"/>
        <v>0</v>
      </c>
      <c r="W427" s="63" t="e">
        <f>VLOOKUP($V427,Herbicide_Data!$A$1:$L$17,9)</f>
        <v>#N/A</v>
      </c>
      <c r="X427" s="62" t="e">
        <f>VLOOKUP($V427,Herbicide_Data!$A$1:$L$17,12)</f>
        <v>#N/A</v>
      </c>
      <c r="Y427" s="16" t="e">
        <f t="shared" si="74"/>
        <v>#N/A</v>
      </c>
      <c r="Z427" s="15"/>
      <c r="AA427" s="13"/>
      <c r="AB427" s="17"/>
      <c r="AC427" s="3"/>
      <c r="AD427" s="10"/>
      <c r="AE427" s="3"/>
      <c r="AF427" s="10"/>
      <c r="AG427" s="15"/>
      <c r="AH427" s="62" t="str">
        <f t="shared" si="80"/>
        <v/>
      </c>
      <c r="AI427" s="62" t="e">
        <f>VLOOKUP($AH427,Herbicide_Data!$A$1:$Q$61,13)</f>
        <v>#N/A</v>
      </c>
      <c r="AJ427" s="16" t="e">
        <f t="shared" si="75"/>
        <v>#N/A</v>
      </c>
      <c r="AK427" s="3"/>
      <c r="AL427" s="3"/>
      <c r="AM427" s="3"/>
      <c r="AN427" s="3"/>
      <c r="AO427" s="3"/>
      <c r="AP427" s="3"/>
      <c r="AQ427" s="18"/>
      <c r="AR427" s="19"/>
      <c r="AS427" s="19"/>
      <c r="AT427" s="20"/>
      <c r="AU427" s="20"/>
      <c r="AV427" s="21"/>
      <c r="AW427" s="22"/>
      <c r="AX427" s="19"/>
      <c r="AY427" s="19"/>
      <c r="AZ427" s="19"/>
      <c r="BA427" s="23"/>
      <c r="BB427" s="19"/>
      <c r="BC427" s="19"/>
      <c r="BD427" s="19"/>
    </row>
    <row r="428" spans="1:56">
      <c r="A428" s="13"/>
      <c r="B428" s="11"/>
      <c r="C428" s="12"/>
      <c r="D428" s="12">
        <f t="shared" si="70"/>
        <v>2.0833299999999999E-2</v>
      </c>
      <c r="E428" s="10"/>
      <c r="F428" s="10" t="str">
        <f>IFERROR(VLOOKUP(E428,Data!A$2:B$5,2,TRUE), "")</f>
        <v/>
      </c>
      <c r="G428" s="3"/>
      <c r="H428" s="13" t="str">
        <f>IFERROR(VLOOKUP(A428,Customer_Data!$A$1:$P$114,8,TRUE),"")</f>
        <v/>
      </c>
      <c r="I428" s="13"/>
      <c r="J428" s="3" t="str">
        <f t="shared" si="76"/>
        <v/>
      </c>
      <c r="K428" s="62" t="e">
        <f>(VLOOKUP($J428,Herbicide_Data!$A$1:$L$61,9,TRUE))</f>
        <v>#N/A</v>
      </c>
      <c r="L428" s="62" t="e">
        <f>VLOOKUP($J428,Herbicide_Data!$A$1:$L$61,12,TRUE)</f>
        <v>#N/A</v>
      </c>
      <c r="M428" s="16" t="e">
        <f t="shared" si="71"/>
        <v>#N/A</v>
      </c>
      <c r="N428" s="62" t="str">
        <f t="shared" si="77"/>
        <v/>
      </c>
      <c r="O428" s="63" t="e">
        <f>VLOOKUP($N428,Herbicide_Data!$A$1:$L$61,9)</f>
        <v>#N/A</v>
      </c>
      <c r="P428" s="62" t="e">
        <f>VLOOKUP($N428,Herbicide_Data!$A$1:$P$61,13)</f>
        <v>#N/A</v>
      </c>
      <c r="Q428" s="16" t="e">
        <f t="shared" si="72"/>
        <v>#N/A</v>
      </c>
      <c r="R428" s="62" t="str">
        <f t="shared" si="78"/>
        <v/>
      </c>
      <c r="S428" s="63" t="e">
        <f>VLOOKUP($R428,Herbicide_Data!$A$1:$L$61,9)</f>
        <v>#N/A</v>
      </c>
      <c r="T428" s="62" t="e">
        <f>VLOOKUP($R428,Herbicide_Data!$A$1:$Q$61,13)</f>
        <v>#N/A</v>
      </c>
      <c r="U428" s="16" t="e">
        <f t="shared" si="73"/>
        <v>#N/A</v>
      </c>
      <c r="V428" s="62" t="b">
        <f t="shared" si="79"/>
        <v>0</v>
      </c>
      <c r="W428" s="63" t="e">
        <f>VLOOKUP($V428,Herbicide_Data!$A$1:$L$17,9)</f>
        <v>#N/A</v>
      </c>
      <c r="X428" s="62" t="e">
        <f>VLOOKUP($V428,Herbicide_Data!$A$1:$L$17,12)</f>
        <v>#N/A</v>
      </c>
      <c r="Y428" s="16" t="e">
        <f t="shared" si="74"/>
        <v>#N/A</v>
      </c>
      <c r="Z428" s="15"/>
      <c r="AA428" s="13"/>
      <c r="AB428" s="17"/>
      <c r="AC428" s="3"/>
      <c r="AD428" s="10"/>
      <c r="AE428" s="3"/>
      <c r="AF428" s="10"/>
      <c r="AG428" s="15"/>
      <c r="AH428" s="62" t="str">
        <f t="shared" si="80"/>
        <v/>
      </c>
      <c r="AI428" s="62" t="e">
        <f>VLOOKUP($AH428,Herbicide_Data!$A$1:$Q$61,13)</f>
        <v>#N/A</v>
      </c>
      <c r="AJ428" s="16" t="e">
        <f t="shared" si="75"/>
        <v>#N/A</v>
      </c>
      <c r="AK428" s="3"/>
      <c r="AL428" s="3"/>
      <c r="AM428" s="3"/>
      <c r="AN428" s="3"/>
      <c r="AO428" s="3"/>
      <c r="AP428" s="3"/>
      <c r="AQ428" s="18"/>
      <c r="AR428" s="19"/>
      <c r="AS428" s="19"/>
      <c r="AT428" s="20"/>
      <c r="AU428" s="20"/>
      <c r="AV428" s="21"/>
      <c r="AW428" s="22"/>
      <c r="AX428" s="19"/>
      <c r="AY428" s="19"/>
      <c r="AZ428" s="19"/>
      <c r="BA428" s="23"/>
      <c r="BB428" s="19"/>
      <c r="BC428" s="19"/>
      <c r="BD428" s="19"/>
    </row>
    <row r="429" spans="1:56">
      <c r="A429" s="13"/>
      <c r="B429" s="11"/>
      <c r="C429" s="12"/>
      <c r="D429" s="12">
        <f t="shared" si="70"/>
        <v>2.0833299999999999E-2</v>
      </c>
      <c r="E429" s="10"/>
      <c r="F429" s="10" t="str">
        <f>IFERROR(VLOOKUP(E429,Data!A$2:B$5,2,TRUE), "")</f>
        <v/>
      </c>
      <c r="G429" s="3"/>
      <c r="H429" s="13" t="str">
        <f>IFERROR(VLOOKUP(A429,Customer_Data!$A$1:$P$114,8,TRUE),"")</f>
        <v/>
      </c>
      <c r="I429" s="13"/>
      <c r="J429" s="3" t="str">
        <f t="shared" si="76"/>
        <v/>
      </c>
      <c r="K429" s="62" t="e">
        <f>(VLOOKUP($J429,Herbicide_Data!$A$1:$L$61,9,TRUE))</f>
        <v>#N/A</v>
      </c>
      <c r="L429" s="62" t="e">
        <f>VLOOKUP($J429,Herbicide_Data!$A$1:$L$61,12,TRUE)</f>
        <v>#N/A</v>
      </c>
      <c r="M429" s="16" t="e">
        <f t="shared" si="71"/>
        <v>#N/A</v>
      </c>
      <c r="N429" s="62" t="str">
        <f t="shared" si="77"/>
        <v/>
      </c>
      <c r="O429" s="63" t="e">
        <f>VLOOKUP($N429,Herbicide_Data!$A$1:$L$61,9)</f>
        <v>#N/A</v>
      </c>
      <c r="P429" s="62" t="e">
        <f>VLOOKUP($N429,Herbicide_Data!$A$1:$P$61,13)</f>
        <v>#N/A</v>
      </c>
      <c r="Q429" s="16" t="e">
        <f t="shared" si="72"/>
        <v>#N/A</v>
      </c>
      <c r="R429" s="62" t="str">
        <f t="shared" si="78"/>
        <v/>
      </c>
      <c r="S429" s="63" t="e">
        <f>VLOOKUP($R429,Herbicide_Data!$A$1:$L$61,9)</f>
        <v>#N/A</v>
      </c>
      <c r="T429" s="62" t="e">
        <f>VLOOKUP($R429,Herbicide_Data!$A$1:$Q$61,13)</f>
        <v>#N/A</v>
      </c>
      <c r="U429" s="16" t="e">
        <f t="shared" si="73"/>
        <v>#N/A</v>
      </c>
      <c r="V429" s="62" t="b">
        <f t="shared" si="79"/>
        <v>0</v>
      </c>
      <c r="W429" s="63" t="e">
        <f>VLOOKUP($V429,Herbicide_Data!$A$1:$L$17,9)</f>
        <v>#N/A</v>
      </c>
      <c r="X429" s="62" t="e">
        <f>VLOOKUP($V429,Herbicide_Data!$A$1:$L$17,12)</f>
        <v>#N/A</v>
      </c>
      <c r="Y429" s="16" t="e">
        <f t="shared" si="74"/>
        <v>#N/A</v>
      </c>
      <c r="Z429" s="15"/>
      <c r="AA429" s="13"/>
      <c r="AB429" s="17"/>
      <c r="AC429" s="3"/>
      <c r="AD429" s="10"/>
      <c r="AE429" s="3"/>
      <c r="AF429" s="10"/>
      <c r="AG429" s="15"/>
      <c r="AH429" s="62" t="str">
        <f t="shared" si="80"/>
        <v/>
      </c>
      <c r="AI429" s="62" t="e">
        <f>VLOOKUP($AH429,Herbicide_Data!$A$1:$Q$61,13)</f>
        <v>#N/A</v>
      </c>
      <c r="AJ429" s="16" t="e">
        <f t="shared" si="75"/>
        <v>#N/A</v>
      </c>
      <c r="AK429" s="3"/>
      <c r="AL429" s="3"/>
      <c r="AM429" s="3"/>
      <c r="AN429" s="3"/>
      <c r="AO429" s="3"/>
      <c r="AP429" s="3"/>
      <c r="AQ429" s="18"/>
      <c r="AR429" s="19"/>
      <c r="AS429" s="19"/>
      <c r="AT429" s="20"/>
      <c r="AU429" s="20"/>
      <c r="AV429" s="21"/>
      <c r="AW429" s="22"/>
      <c r="AX429" s="19"/>
      <c r="AY429" s="19"/>
      <c r="AZ429" s="19"/>
      <c r="BA429" s="23"/>
      <c r="BB429" s="19"/>
      <c r="BC429" s="19"/>
      <c r="BD429" s="19"/>
    </row>
    <row r="430" spans="1:56">
      <c r="A430" s="13"/>
      <c r="B430" s="11"/>
      <c r="C430" s="12"/>
      <c r="D430" s="12">
        <f t="shared" si="70"/>
        <v>2.0833299999999999E-2</v>
      </c>
      <c r="E430" s="10"/>
      <c r="F430" s="10" t="str">
        <f>IFERROR(VLOOKUP(E430,Data!A$2:B$5,2,TRUE), "")</f>
        <v/>
      </c>
      <c r="G430" s="3"/>
      <c r="H430" s="13" t="str">
        <f>IFERROR(VLOOKUP(A430,Customer_Data!$A$1:$P$114,8,TRUE),"")</f>
        <v/>
      </c>
      <c r="I430" s="13"/>
      <c r="J430" s="3" t="str">
        <f t="shared" si="76"/>
        <v/>
      </c>
      <c r="K430" s="62" t="e">
        <f>(VLOOKUP($J430,Herbicide_Data!$A$1:$L$61,9,TRUE))</f>
        <v>#N/A</v>
      </c>
      <c r="L430" s="62" t="e">
        <f>VLOOKUP($J430,Herbicide_Data!$A$1:$L$61,12,TRUE)</f>
        <v>#N/A</v>
      </c>
      <c r="M430" s="16" t="e">
        <f t="shared" si="71"/>
        <v>#N/A</v>
      </c>
      <c r="N430" s="62" t="str">
        <f t="shared" si="77"/>
        <v/>
      </c>
      <c r="O430" s="63" t="e">
        <f>VLOOKUP($N430,Herbicide_Data!$A$1:$L$61,9)</f>
        <v>#N/A</v>
      </c>
      <c r="P430" s="62" t="e">
        <f>VLOOKUP($N430,Herbicide_Data!$A$1:$P$61,13)</f>
        <v>#N/A</v>
      </c>
      <c r="Q430" s="16" t="e">
        <f t="shared" si="72"/>
        <v>#N/A</v>
      </c>
      <c r="R430" s="62" t="str">
        <f t="shared" si="78"/>
        <v/>
      </c>
      <c r="S430" s="63" t="e">
        <f>VLOOKUP($R430,Herbicide_Data!$A$1:$L$61,9)</f>
        <v>#N/A</v>
      </c>
      <c r="T430" s="62" t="e">
        <f>VLOOKUP($R430,Herbicide_Data!$A$1:$Q$61,13)</f>
        <v>#N/A</v>
      </c>
      <c r="U430" s="16" t="e">
        <f t="shared" si="73"/>
        <v>#N/A</v>
      </c>
      <c r="V430" s="62" t="b">
        <f t="shared" si="79"/>
        <v>0</v>
      </c>
      <c r="W430" s="63" t="e">
        <f>VLOOKUP($V430,Herbicide_Data!$A$1:$L$17,9)</f>
        <v>#N/A</v>
      </c>
      <c r="X430" s="62" t="e">
        <f>VLOOKUP($V430,Herbicide_Data!$A$1:$L$17,12)</f>
        <v>#N/A</v>
      </c>
      <c r="Y430" s="16" t="e">
        <f t="shared" si="74"/>
        <v>#N/A</v>
      </c>
      <c r="Z430" s="15"/>
      <c r="AA430" s="13"/>
      <c r="AB430" s="17"/>
      <c r="AC430" s="3"/>
      <c r="AD430" s="10"/>
      <c r="AE430" s="3"/>
      <c r="AF430" s="10"/>
      <c r="AG430" s="15"/>
      <c r="AH430" s="62" t="str">
        <f t="shared" si="80"/>
        <v/>
      </c>
      <c r="AI430" s="62" t="e">
        <f>VLOOKUP($AH430,Herbicide_Data!$A$1:$Q$61,13)</f>
        <v>#N/A</v>
      </c>
      <c r="AJ430" s="16" t="e">
        <f t="shared" si="75"/>
        <v>#N/A</v>
      </c>
      <c r="AK430" s="3"/>
      <c r="AL430" s="3"/>
      <c r="AM430" s="3"/>
      <c r="AN430" s="3"/>
      <c r="AO430" s="3"/>
      <c r="AP430" s="3"/>
      <c r="AQ430" s="18"/>
      <c r="AR430" s="19"/>
      <c r="AS430" s="19"/>
      <c r="AT430" s="20"/>
      <c r="AU430" s="20"/>
      <c r="AV430" s="21"/>
      <c r="AW430" s="22"/>
      <c r="AX430" s="19"/>
      <c r="AY430" s="19"/>
      <c r="AZ430" s="19"/>
      <c r="BA430" s="23"/>
      <c r="BB430" s="19"/>
      <c r="BC430" s="19"/>
      <c r="BD430" s="19"/>
    </row>
    <row r="431" spans="1:56">
      <c r="A431" s="13"/>
      <c r="B431" s="11"/>
      <c r="C431" s="12"/>
      <c r="D431" s="12">
        <f t="shared" si="70"/>
        <v>2.0833299999999999E-2</v>
      </c>
      <c r="E431" s="10"/>
      <c r="F431" s="10" t="str">
        <f>IFERROR(VLOOKUP(E431,Data!A$2:B$5,2,TRUE), "")</f>
        <v/>
      </c>
      <c r="G431" s="3"/>
      <c r="H431" s="13" t="str">
        <f>IFERROR(VLOOKUP(A431,Customer_Data!$A$1:$P$114,8,TRUE),"")</f>
        <v/>
      </c>
      <c r="I431" s="13"/>
      <c r="J431" s="3" t="str">
        <f t="shared" si="76"/>
        <v/>
      </c>
      <c r="K431" s="62" t="e">
        <f>(VLOOKUP($J431,Herbicide_Data!$A$1:$L$61,9,TRUE))</f>
        <v>#N/A</v>
      </c>
      <c r="L431" s="62" t="e">
        <f>VLOOKUP($J431,Herbicide_Data!$A$1:$L$61,12,TRUE)</f>
        <v>#N/A</v>
      </c>
      <c r="M431" s="16" t="e">
        <f t="shared" si="71"/>
        <v>#N/A</v>
      </c>
      <c r="N431" s="62" t="str">
        <f t="shared" si="77"/>
        <v/>
      </c>
      <c r="O431" s="63" t="e">
        <f>VLOOKUP($N431,Herbicide_Data!$A$1:$L$61,9)</f>
        <v>#N/A</v>
      </c>
      <c r="P431" s="62" t="e">
        <f>VLOOKUP($N431,Herbicide_Data!$A$1:$P$61,13)</f>
        <v>#N/A</v>
      </c>
      <c r="Q431" s="16" t="e">
        <f t="shared" si="72"/>
        <v>#N/A</v>
      </c>
      <c r="R431" s="62" t="str">
        <f t="shared" si="78"/>
        <v/>
      </c>
      <c r="S431" s="63" t="e">
        <f>VLOOKUP($R431,Herbicide_Data!$A$1:$L$61,9)</f>
        <v>#N/A</v>
      </c>
      <c r="T431" s="62" t="e">
        <f>VLOOKUP($R431,Herbicide_Data!$A$1:$Q$61,13)</f>
        <v>#N/A</v>
      </c>
      <c r="U431" s="16" t="e">
        <f t="shared" si="73"/>
        <v>#N/A</v>
      </c>
      <c r="V431" s="62" t="b">
        <f t="shared" si="79"/>
        <v>0</v>
      </c>
      <c r="W431" s="63" t="e">
        <f>VLOOKUP($V431,Herbicide_Data!$A$1:$L$17,9)</f>
        <v>#N/A</v>
      </c>
      <c r="X431" s="62" t="e">
        <f>VLOOKUP($V431,Herbicide_Data!$A$1:$L$17,12)</f>
        <v>#N/A</v>
      </c>
      <c r="Y431" s="16" t="e">
        <f t="shared" si="74"/>
        <v>#N/A</v>
      </c>
      <c r="Z431" s="15"/>
      <c r="AA431" s="13"/>
      <c r="AB431" s="17"/>
      <c r="AC431" s="3"/>
      <c r="AD431" s="10"/>
      <c r="AE431" s="3"/>
      <c r="AF431" s="10"/>
      <c r="AG431" s="15"/>
      <c r="AH431" s="62" t="str">
        <f t="shared" si="80"/>
        <v/>
      </c>
      <c r="AI431" s="62" t="e">
        <f>VLOOKUP($AH431,Herbicide_Data!$A$1:$Q$61,13)</f>
        <v>#N/A</v>
      </c>
      <c r="AJ431" s="16" t="e">
        <f t="shared" si="75"/>
        <v>#N/A</v>
      </c>
      <c r="AK431" s="3"/>
      <c r="AL431" s="3"/>
      <c r="AM431" s="3"/>
      <c r="AN431" s="3"/>
      <c r="AO431" s="3"/>
      <c r="AP431" s="3"/>
      <c r="AQ431" s="18"/>
      <c r="AR431" s="19"/>
      <c r="AS431" s="19"/>
      <c r="AT431" s="20"/>
      <c r="AU431" s="20"/>
      <c r="AV431" s="21"/>
      <c r="AW431" s="22"/>
      <c r="AX431" s="19"/>
      <c r="AY431" s="19"/>
      <c r="AZ431" s="19"/>
      <c r="BA431" s="23"/>
      <c r="BB431" s="19"/>
      <c r="BC431" s="19"/>
      <c r="BD431" s="19"/>
    </row>
    <row r="432" spans="1:56">
      <c r="A432" s="13"/>
      <c r="B432" s="11"/>
      <c r="C432" s="12"/>
      <c r="D432" s="12">
        <f t="shared" si="70"/>
        <v>2.0833299999999999E-2</v>
      </c>
      <c r="E432" s="10"/>
      <c r="F432" s="10" t="str">
        <f>IFERROR(VLOOKUP(E432,Data!A$2:B$5,2,TRUE), "")</f>
        <v/>
      </c>
      <c r="G432" s="3"/>
      <c r="H432" s="13" t="str">
        <f>IFERROR(VLOOKUP(A432,Customer_Data!$A$1:$P$114,8,TRUE),"")</f>
        <v/>
      </c>
      <c r="I432" s="13"/>
      <c r="J432" s="3" t="str">
        <f t="shared" si="76"/>
        <v/>
      </c>
      <c r="K432" s="62" t="e">
        <f>(VLOOKUP($J432,Herbicide_Data!$A$1:$L$61,9,TRUE))</f>
        <v>#N/A</v>
      </c>
      <c r="L432" s="62" t="e">
        <f>VLOOKUP($J432,Herbicide_Data!$A$1:$L$61,12,TRUE)</f>
        <v>#N/A</v>
      </c>
      <c r="M432" s="16" t="e">
        <f t="shared" si="71"/>
        <v>#N/A</v>
      </c>
      <c r="N432" s="62" t="str">
        <f t="shared" si="77"/>
        <v/>
      </c>
      <c r="O432" s="63" t="e">
        <f>VLOOKUP($N432,Herbicide_Data!$A$1:$L$61,9)</f>
        <v>#N/A</v>
      </c>
      <c r="P432" s="62" t="e">
        <f>VLOOKUP($N432,Herbicide_Data!$A$1:$P$61,13)</f>
        <v>#N/A</v>
      </c>
      <c r="Q432" s="16" t="e">
        <f t="shared" si="72"/>
        <v>#N/A</v>
      </c>
      <c r="R432" s="62" t="str">
        <f t="shared" si="78"/>
        <v/>
      </c>
      <c r="S432" s="63" t="e">
        <f>VLOOKUP($R432,Herbicide_Data!$A$1:$L$61,9)</f>
        <v>#N/A</v>
      </c>
      <c r="T432" s="62" t="e">
        <f>VLOOKUP($R432,Herbicide_Data!$A$1:$Q$61,13)</f>
        <v>#N/A</v>
      </c>
      <c r="U432" s="16" t="e">
        <f t="shared" si="73"/>
        <v>#N/A</v>
      </c>
      <c r="V432" s="62" t="b">
        <f t="shared" si="79"/>
        <v>0</v>
      </c>
      <c r="W432" s="63" t="e">
        <f>VLOOKUP($V432,Herbicide_Data!$A$1:$L$17,9)</f>
        <v>#N/A</v>
      </c>
      <c r="X432" s="62" t="e">
        <f>VLOOKUP($V432,Herbicide_Data!$A$1:$L$17,12)</f>
        <v>#N/A</v>
      </c>
      <c r="Y432" s="16" t="e">
        <f t="shared" si="74"/>
        <v>#N/A</v>
      </c>
      <c r="Z432" s="15"/>
      <c r="AA432" s="13"/>
      <c r="AB432" s="17"/>
      <c r="AC432" s="3"/>
      <c r="AD432" s="10"/>
      <c r="AE432" s="3"/>
      <c r="AF432" s="10"/>
      <c r="AG432" s="15"/>
      <c r="AH432" s="62" t="str">
        <f t="shared" si="80"/>
        <v/>
      </c>
      <c r="AI432" s="62" t="e">
        <f>VLOOKUP($AH432,Herbicide_Data!$A$1:$Q$61,13)</f>
        <v>#N/A</v>
      </c>
      <c r="AJ432" s="16" t="e">
        <f t="shared" si="75"/>
        <v>#N/A</v>
      </c>
      <c r="AK432" s="3"/>
      <c r="AL432" s="3"/>
      <c r="AM432" s="3"/>
      <c r="AN432" s="3"/>
      <c r="AO432" s="3"/>
      <c r="AP432" s="3"/>
      <c r="AQ432" s="18"/>
      <c r="AR432" s="19"/>
      <c r="AS432" s="19"/>
      <c r="AT432" s="20"/>
      <c r="AU432" s="20"/>
      <c r="AV432" s="21"/>
      <c r="AW432" s="22"/>
      <c r="AX432" s="19"/>
      <c r="AY432" s="19"/>
      <c r="AZ432" s="19"/>
      <c r="BA432" s="23"/>
      <c r="BB432" s="19"/>
      <c r="BC432" s="19"/>
      <c r="BD432" s="19"/>
    </row>
    <row r="433" spans="1:56">
      <c r="A433" s="13"/>
      <c r="B433" s="11"/>
      <c r="C433" s="12"/>
      <c r="D433" s="12">
        <f t="shared" si="70"/>
        <v>2.0833299999999999E-2</v>
      </c>
      <c r="E433" s="10"/>
      <c r="F433" s="10" t="str">
        <f>IFERROR(VLOOKUP(E433,Data!A$2:B$5,2,TRUE), "")</f>
        <v/>
      </c>
      <c r="G433" s="3"/>
      <c r="H433" s="13" t="str">
        <f>IFERROR(VLOOKUP(A433,Customer_Data!$A$1:$P$114,8,TRUE),"")</f>
        <v/>
      </c>
      <c r="I433" s="13"/>
      <c r="J433" s="3" t="str">
        <f t="shared" si="76"/>
        <v/>
      </c>
      <c r="K433" s="62" t="e">
        <f>(VLOOKUP($J433,Herbicide_Data!$A$1:$L$61,9,TRUE))</f>
        <v>#N/A</v>
      </c>
      <c r="L433" s="62" t="e">
        <f>VLOOKUP($J433,Herbicide_Data!$A$1:$L$61,12,TRUE)</f>
        <v>#N/A</v>
      </c>
      <c r="M433" s="16" t="e">
        <f t="shared" si="71"/>
        <v>#N/A</v>
      </c>
      <c r="N433" s="62" t="str">
        <f t="shared" si="77"/>
        <v/>
      </c>
      <c r="O433" s="63" t="e">
        <f>VLOOKUP($N433,Herbicide_Data!$A$1:$L$61,9)</f>
        <v>#N/A</v>
      </c>
      <c r="P433" s="62" t="e">
        <f>VLOOKUP($N433,Herbicide_Data!$A$1:$P$61,13)</f>
        <v>#N/A</v>
      </c>
      <c r="Q433" s="16" t="e">
        <f t="shared" si="72"/>
        <v>#N/A</v>
      </c>
      <c r="R433" s="62" t="str">
        <f t="shared" si="78"/>
        <v/>
      </c>
      <c r="S433" s="63" t="e">
        <f>VLOOKUP($R433,Herbicide_Data!$A$1:$L$61,9)</f>
        <v>#N/A</v>
      </c>
      <c r="T433" s="62" t="e">
        <f>VLOOKUP($R433,Herbicide_Data!$A$1:$Q$61,13)</f>
        <v>#N/A</v>
      </c>
      <c r="U433" s="16" t="e">
        <f t="shared" si="73"/>
        <v>#N/A</v>
      </c>
      <c r="V433" s="62" t="b">
        <f t="shared" si="79"/>
        <v>0</v>
      </c>
      <c r="W433" s="63" t="e">
        <f>VLOOKUP($V433,Herbicide_Data!$A$1:$L$17,9)</f>
        <v>#N/A</v>
      </c>
      <c r="X433" s="62" t="e">
        <f>VLOOKUP($V433,Herbicide_Data!$A$1:$L$17,12)</f>
        <v>#N/A</v>
      </c>
      <c r="Y433" s="16" t="e">
        <f t="shared" si="74"/>
        <v>#N/A</v>
      </c>
      <c r="Z433" s="15"/>
      <c r="AA433" s="13"/>
      <c r="AB433" s="17"/>
      <c r="AC433" s="3"/>
      <c r="AD433" s="10"/>
      <c r="AE433" s="3"/>
      <c r="AF433" s="10"/>
      <c r="AG433" s="15"/>
      <c r="AH433" s="62" t="str">
        <f t="shared" si="80"/>
        <v/>
      </c>
      <c r="AI433" s="62" t="e">
        <f>VLOOKUP($AH433,Herbicide_Data!$A$1:$Q$61,13)</f>
        <v>#N/A</v>
      </c>
      <c r="AJ433" s="16" t="e">
        <f t="shared" si="75"/>
        <v>#N/A</v>
      </c>
      <c r="AK433" s="3"/>
      <c r="AL433" s="3"/>
      <c r="AM433" s="3"/>
      <c r="AN433" s="3"/>
      <c r="AO433" s="3"/>
      <c r="AP433" s="3"/>
      <c r="AQ433" s="18"/>
      <c r="AR433" s="19"/>
      <c r="AS433" s="19"/>
      <c r="AT433" s="20"/>
      <c r="AU433" s="20"/>
      <c r="AV433" s="21"/>
      <c r="AW433" s="22"/>
      <c r="AX433" s="19"/>
      <c r="AY433" s="19"/>
      <c r="AZ433" s="19"/>
      <c r="BA433" s="23"/>
      <c r="BB433" s="19"/>
      <c r="BC433" s="19"/>
      <c r="BD433" s="19"/>
    </row>
    <row r="434" spans="1:56">
      <c r="A434" s="13"/>
      <c r="B434" s="11"/>
      <c r="C434" s="12"/>
      <c r="D434" s="12">
        <f t="shared" si="70"/>
        <v>2.0833299999999999E-2</v>
      </c>
      <c r="E434" s="10"/>
      <c r="F434" s="10" t="str">
        <f>IFERROR(VLOOKUP(E434,Data!A$2:B$5,2,TRUE), "")</f>
        <v/>
      </c>
      <c r="G434" s="3"/>
      <c r="H434" s="13" t="str">
        <f>IFERROR(VLOOKUP(A434,Customer_Data!$A$1:$P$114,8,TRUE),"")</f>
        <v/>
      </c>
      <c r="I434" s="13"/>
      <c r="J434" s="3" t="str">
        <f t="shared" si="76"/>
        <v/>
      </c>
      <c r="K434" s="62" t="e">
        <f>(VLOOKUP($J434,Herbicide_Data!$A$1:$L$61,9,TRUE))</f>
        <v>#N/A</v>
      </c>
      <c r="L434" s="62" t="e">
        <f>VLOOKUP($J434,Herbicide_Data!$A$1:$L$61,12,TRUE)</f>
        <v>#N/A</v>
      </c>
      <c r="M434" s="16" t="e">
        <f t="shared" si="71"/>
        <v>#N/A</v>
      </c>
      <c r="N434" s="62" t="str">
        <f t="shared" si="77"/>
        <v/>
      </c>
      <c r="O434" s="63" t="e">
        <f>VLOOKUP($N434,Herbicide_Data!$A$1:$L$61,9)</f>
        <v>#N/A</v>
      </c>
      <c r="P434" s="62" t="e">
        <f>VLOOKUP($N434,Herbicide_Data!$A$1:$P$61,13)</f>
        <v>#N/A</v>
      </c>
      <c r="Q434" s="16" t="e">
        <f t="shared" si="72"/>
        <v>#N/A</v>
      </c>
      <c r="R434" s="62" t="str">
        <f t="shared" si="78"/>
        <v/>
      </c>
      <c r="S434" s="63" t="e">
        <f>VLOOKUP($R434,Herbicide_Data!$A$1:$L$61,9)</f>
        <v>#N/A</v>
      </c>
      <c r="T434" s="62" t="e">
        <f>VLOOKUP($R434,Herbicide_Data!$A$1:$Q$61,13)</f>
        <v>#N/A</v>
      </c>
      <c r="U434" s="16" t="e">
        <f t="shared" si="73"/>
        <v>#N/A</v>
      </c>
      <c r="V434" s="62" t="b">
        <f t="shared" si="79"/>
        <v>0</v>
      </c>
      <c r="W434" s="63" t="e">
        <f>VLOOKUP($V434,Herbicide_Data!$A$1:$L$17,9)</f>
        <v>#N/A</v>
      </c>
      <c r="X434" s="62" t="e">
        <f>VLOOKUP($V434,Herbicide_Data!$A$1:$L$17,12)</f>
        <v>#N/A</v>
      </c>
      <c r="Y434" s="16" t="e">
        <f t="shared" si="74"/>
        <v>#N/A</v>
      </c>
      <c r="Z434" s="15"/>
      <c r="AA434" s="13"/>
      <c r="AB434" s="17"/>
      <c r="AC434" s="3"/>
      <c r="AD434" s="10"/>
      <c r="AE434" s="3"/>
      <c r="AF434" s="10"/>
      <c r="AG434" s="15"/>
      <c r="AH434" s="62" t="str">
        <f t="shared" si="80"/>
        <v/>
      </c>
      <c r="AI434" s="62" t="e">
        <f>VLOOKUP($AH434,Herbicide_Data!$A$1:$Q$61,13)</f>
        <v>#N/A</v>
      </c>
      <c r="AJ434" s="16" t="e">
        <f t="shared" si="75"/>
        <v>#N/A</v>
      </c>
      <c r="AK434" s="3"/>
      <c r="AL434" s="3"/>
      <c r="AM434" s="3"/>
      <c r="AN434" s="3"/>
      <c r="AO434" s="3"/>
      <c r="AP434" s="3"/>
      <c r="AQ434" s="18"/>
      <c r="AR434" s="19"/>
      <c r="AS434" s="19"/>
      <c r="AT434" s="20"/>
      <c r="AU434" s="20"/>
      <c r="AV434" s="21"/>
      <c r="AW434" s="22"/>
      <c r="AX434" s="19"/>
      <c r="AY434" s="19"/>
      <c r="AZ434" s="19"/>
      <c r="BA434" s="23"/>
      <c r="BB434" s="19"/>
      <c r="BC434" s="19"/>
      <c r="BD434" s="19"/>
    </row>
    <row r="435" spans="1:56">
      <c r="A435" s="13"/>
      <c r="B435" s="11"/>
      <c r="C435" s="12"/>
      <c r="D435" s="12">
        <f t="shared" si="70"/>
        <v>2.0833299999999999E-2</v>
      </c>
      <c r="E435" s="10"/>
      <c r="F435" s="10" t="str">
        <f>IFERROR(VLOOKUP(E435,Data!A$2:B$5,2,TRUE), "")</f>
        <v/>
      </c>
      <c r="G435" s="3"/>
      <c r="H435" s="13" t="str">
        <f>IFERROR(VLOOKUP(A435,Customer_Data!$A$1:$P$114,8,TRUE),"")</f>
        <v/>
      </c>
      <c r="I435" s="13"/>
      <c r="J435" s="3" t="str">
        <f t="shared" si="76"/>
        <v/>
      </c>
      <c r="K435" s="62" t="e">
        <f>(VLOOKUP($J435,Herbicide_Data!$A$1:$L$61,9,TRUE))</f>
        <v>#N/A</v>
      </c>
      <c r="L435" s="62" t="e">
        <f>VLOOKUP($J435,Herbicide_Data!$A$1:$L$61,12,TRUE)</f>
        <v>#N/A</v>
      </c>
      <c r="M435" s="16" t="e">
        <f t="shared" si="71"/>
        <v>#N/A</v>
      </c>
      <c r="N435" s="62" t="str">
        <f t="shared" si="77"/>
        <v/>
      </c>
      <c r="O435" s="63" t="e">
        <f>VLOOKUP($N435,Herbicide_Data!$A$1:$L$61,9)</f>
        <v>#N/A</v>
      </c>
      <c r="P435" s="62" t="e">
        <f>VLOOKUP($N435,Herbicide_Data!$A$1:$P$61,13)</f>
        <v>#N/A</v>
      </c>
      <c r="Q435" s="16" t="e">
        <f t="shared" si="72"/>
        <v>#N/A</v>
      </c>
      <c r="R435" s="62" t="str">
        <f t="shared" si="78"/>
        <v/>
      </c>
      <c r="S435" s="63" t="e">
        <f>VLOOKUP($R435,Herbicide_Data!$A$1:$L$61,9)</f>
        <v>#N/A</v>
      </c>
      <c r="T435" s="62" t="e">
        <f>VLOOKUP($R435,Herbicide_Data!$A$1:$Q$61,13)</f>
        <v>#N/A</v>
      </c>
      <c r="U435" s="16" t="e">
        <f t="shared" si="73"/>
        <v>#N/A</v>
      </c>
      <c r="V435" s="62" t="b">
        <f t="shared" si="79"/>
        <v>0</v>
      </c>
      <c r="W435" s="63" t="e">
        <f>VLOOKUP($V435,Herbicide_Data!$A$1:$L$17,9)</f>
        <v>#N/A</v>
      </c>
      <c r="X435" s="62" t="e">
        <f>VLOOKUP($V435,Herbicide_Data!$A$1:$L$17,12)</f>
        <v>#N/A</v>
      </c>
      <c r="Y435" s="16" t="e">
        <f t="shared" si="74"/>
        <v>#N/A</v>
      </c>
      <c r="Z435" s="15"/>
      <c r="AA435" s="13"/>
      <c r="AB435" s="17"/>
      <c r="AC435" s="3"/>
      <c r="AD435" s="10"/>
      <c r="AE435" s="3"/>
      <c r="AF435" s="10"/>
      <c r="AG435" s="15"/>
      <c r="AH435" s="62" t="str">
        <f t="shared" si="80"/>
        <v/>
      </c>
      <c r="AI435" s="62" t="e">
        <f>VLOOKUP($AH435,Herbicide_Data!$A$1:$Q$61,13)</f>
        <v>#N/A</v>
      </c>
      <c r="AJ435" s="16" t="e">
        <f t="shared" si="75"/>
        <v>#N/A</v>
      </c>
      <c r="AK435" s="3"/>
      <c r="AL435" s="3"/>
      <c r="AM435" s="3"/>
      <c r="AN435" s="3"/>
      <c r="AO435" s="3"/>
      <c r="AP435" s="3"/>
      <c r="AQ435" s="18"/>
      <c r="AR435" s="19"/>
      <c r="AS435" s="19"/>
      <c r="AT435" s="20"/>
      <c r="AU435" s="20"/>
      <c r="AV435" s="21"/>
      <c r="AW435" s="22"/>
      <c r="AX435" s="19"/>
      <c r="AY435" s="19"/>
      <c r="AZ435" s="19"/>
      <c r="BA435" s="23"/>
      <c r="BB435" s="19"/>
      <c r="BC435" s="19"/>
      <c r="BD435" s="19"/>
    </row>
    <row r="436" spans="1:56">
      <c r="A436" s="13"/>
      <c r="B436" s="11"/>
      <c r="C436" s="12"/>
      <c r="D436" s="12">
        <f t="shared" si="70"/>
        <v>2.0833299999999999E-2</v>
      </c>
      <c r="E436" s="10"/>
      <c r="F436" s="10" t="str">
        <f>IFERROR(VLOOKUP(E436,Data!A$2:B$5,2,TRUE), "")</f>
        <v/>
      </c>
      <c r="G436" s="3"/>
      <c r="H436" s="13" t="str">
        <f>IFERROR(VLOOKUP(A436,Customer_Data!$A$1:$P$114,8,TRUE),"")</f>
        <v/>
      </c>
      <c r="I436" s="13"/>
      <c r="J436" s="3" t="str">
        <f t="shared" si="76"/>
        <v/>
      </c>
      <c r="K436" s="62" t="e">
        <f>(VLOOKUP($J436,Herbicide_Data!$A$1:$L$61,9,TRUE))</f>
        <v>#N/A</v>
      </c>
      <c r="L436" s="62" t="e">
        <f>VLOOKUP($J436,Herbicide_Data!$A$1:$L$61,12,TRUE)</f>
        <v>#N/A</v>
      </c>
      <c r="M436" s="16" t="e">
        <f t="shared" si="71"/>
        <v>#N/A</v>
      </c>
      <c r="N436" s="62" t="str">
        <f t="shared" si="77"/>
        <v/>
      </c>
      <c r="O436" s="63" t="e">
        <f>VLOOKUP($N436,Herbicide_Data!$A$1:$L$61,9)</f>
        <v>#N/A</v>
      </c>
      <c r="P436" s="62" t="e">
        <f>VLOOKUP($N436,Herbicide_Data!$A$1:$P$61,13)</f>
        <v>#N/A</v>
      </c>
      <c r="Q436" s="16" t="e">
        <f t="shared" si="72"/>
        <v>#N/A</v>
      </c>
      <c r="R436" s="62" t="str">
        <f t="shared" si="78"/>
        <v/>
      </c>
      <c r="S436" s="63" t="e">
        <f>VLOOKUP($R436,Herbicide_Data!$A$1:$L$61,9)</f>
        <v>#N/A</v>
      </c>
      <c r="T436" s="62" t="e">
        <f>VLOOKUP($R436,Herbicide_Data!$A$1:$Q$61,13)</f>
        <v>#N/A</v>
      </c>
      <c r="U436" s="16" t="e">
        <f t="shared" si="73"/>
        <v>#N/A</v>
      </c>
      <c r="V436" s="62" t="b">
        <f t="shared" si="79"/>
        <v>0</v>
      </c>
      <c r="W436" s="63" t="e">
        <f>VLOOKUP($V436,Herbicide_Data!$A$1:$L$17,9)</f>
        <v>#N/A</v>
      </c>
      <c r="X436" s="62" t="e">
        <f>VLOOKUP($V436,Herbicide_Data!$A$1:$L$17,12)</f>
        <v>#N/A</v>
      </c>
      <c r="Y436" s="16" t="e">
        <f t="shared" si="74"/>
        <v>#N/A</v>
      </c>
      <c r="Z436" s="15"/>
      <c r="AA436" s="13"/>
      <c r="AB436" s="17"/>
      <c r="AC436" s="3"/>
      <c r="AD436" s="10"/>
      <c r="AE436" s="3"/>
      <c r="AF436" s="10"/>
      <c r="AG436" s="15"/>
      <c r="AH436" s="62" t="str">
        <f t="shared" si="80"/>
        <v/>
      </c>
      <c r="AI436" s="62" t="e">
        <f>VLOOKUP($AH436,Herbicide_Data!$A$1:$Q$61,13)</f>
        <v>#N/A</v>
      </c>
      <c r="AJ436" s="16" t="e">
        <f t="shared" si="75"/>
        <v>#N/A</v>
      </c>
      <c r="AK436" s="3"/>
      <c r="AL436" s="3"/>
      <c r="AM436" s="3"/>
      <c r="AN436" s="3"/>
      <c r="AO436" s="3"/>
      <c r="AP436" s="3"/>
      <c r="AQ436" s="18"/>
      <c r="AR436" s="19"/>
      <c r="AS436" s="19"/>
      <c r="AT436" s="20"/>
      <c r="AU436" s="20"/>
      <c r="AV436" s="21"/>
      <c r="AW436" s="22"/>
      <c r="AX436" s="19"/>
      <c r="AY436" s="19"/>
      <c r="AZ436" s="19"/>
      <c r="BA436" s="23"/>
      <c r="BB436" s="19"/>
      <c r="BC436" s="19"/>
      <c r="BD436" s="19"/>
    </row>
    <row r="437" spans="1:56">
      <c r="A437" s="13"/>
      <c r="B437" s="11"/>
      <c r="C437" s="12"/>
      <c r="D437" s="12">
        <f t="shared" si="70"/>
        <v>2.0833299999999999E-2</v>
      </c>
      <c r="E437" s="10"/>
      <c r="F437" s="10" t="str">
        <f>IFERROR(VLOOKUP(E437,Data!A$2:B$5,2,TRUE), "")</f>
        <v/>
      </c>
      <c r="G437" s="3"/>
      <c r="H437" s="13" t="str">
        <f>IFERROR(VLOOKUP(A437,Customer_Data!$A$1:$P$114,8,TRUE),"")</f>
        <v/>
      </c>
      <c r="I437" s="13"/>
      <c r="J437" s="3" t="str">
        <f t="shared" si="76"/>
        <v/>
      </c>
      <c r="K437" s="62" t="e">
        <f>(VLOOKUP($J437,Herbicide_Data!$A$1:$L$61,9,TRUE))</f>
        <v>#N/A</v>
      </c>
      <c r="L437" s="62" t="e">
        <f>VLOOKUP($J437,Herbicide_Data!$A$1:$L$61,12,TRUE)</f>
        <v>#N/A</v>
      </c>
      <c r="M437" s="16" t="e">
        <f t="shared" si="71"/>
        <v>#N/A</v>
      </c>
      <c r="N437" s="62" t="str">
        <f t="shared" si="77"/>
        <v/>
      </c>
      <c r="O437" s="63" t="e">
        <f>VLOOKUP($N437,Herbicide_Data!$A$1:$L$61,9)</f>
        <v>#N/A</v>
      </c>
      <c r="P437" s="62" t="e">
        <f>VLOOKUP($N437,Herbicide_Data!$A$1:$P$61,13)</f>
        <v>#N/A</v>
      </c>
      <c r="Q437" s="16" t="e">
        <f t="shared" si="72"/>
        <v>#N/A</v>
      </c>
      <c r="R437" s="62" t="str">
        <f t="shared" si="78"/>
        <v/>
      </c>
      <c r="S437" s="63" t="e">
        <f>VLOOKUP($R437,Herbicide_Data!$A$1:$L$61,9)</f>
        <v>#N/A</v>
      </c>
      <c r="T437" s="62" t="e">
        <f>VLOOKUP($R437,Herbicide_Data!$A$1:$Q$61,13)</f>
        <v>#N/A</v>
      </c>
      <c r="U437" s="16" t="e">
        <f t="shared" si="73"/>
        <v>#N/A</v>
      </c>
      <c r="V437" s="62" t="b">
        <f t="shared" si="79"/>
        <v>0</v>
      </c>
      <c r="W437" s="63" t="e">
        <f>VLOOKUP($V437,Herbicide_Data!$A$1:$L$17,9)</f>
        <v>#N/A</v>
      </c>
      <c r="X437" s="62" t="e">
        <f>VLOOKUP($V437,Herbicide_Data!$A$1:$L$17,12)</f>
        <v>#N/A</v>
      </c>
      <c r="Y437" s="16" t="e">
        <f t="shared" si="74"/>
        <v>#N/A</v>
      </c>
      <c r="Z437" s="15"/>
      <c r="AA437" s="13"/>
      <c r="AB437" s="17"/>
      <c r="AC437" s="3"/>
      <c r="AD437" s="10"/>
      <c r="AE437" s="3"/>
      <c r="AF437" s="10"/>
      <c r="AG437" s="15"/>
      <c r="AH437" s="62" t="str">
        <f t="shared" si="80"/>
        <v/>
      </c>
      <c r="AI437" s="62" t="e">
        <f>VLOOKUP($AH437,Herbicide_Data!$A$1:$Q$61,13)</f>
        <v>#N/A</v>
      </c>
      <c r="AJ437" s="16" t="e">
        <f t="shared" si="75"/>
        <v>#N/A</v>
      </c>
      <c r="AK437" s="3"/>
      <c r="AL437" s="3"/>
      <c r="AM437" s="3"/>
      <c r="AN437" s="3"/>
      <c r="AO437" s="3"/>
      <c r="AP437" s="3"/>
      <c r="AQ437" s="18"/>
      <c r="AR437" s="19"/>
      <c r="AS437" s="19"/>
      <c r="AT437" s="20"/>
      <c r="AU437" s="20"/>
      <c r="AV437" s="21"/>
      <c r="AW437" s="22"/>
      <c r="AX437" s="19"/>
      <c r="AY437" s="19"/>
      <c r="AZ437" s="19"/>
      <c r="BA437" s="23"/>
      <c r="BB437" s="19"/>
      <c r="BC437" s="19"/>
      <c r="BD437" s="19"/>
    </row>
    <row r="438" spans="1:56">
      <c r="A438" s="13"/>
      <c r="B438" s="11"/>
      <c r="C438" s="12"/>
      <c r="D438" s="12">
        <f t="shared" si="70"/>
        <v>2.0833299999999999E-2</v>
      </c>
      <c r="E438" s="10"/>
      <c r="F438" s="10" t="str">
        <f>IFERROR(VLOOKUP(E438,Data!A$2:B$5,2,TRUE), "")</f>
        <v/>
      </c>
      <c r="G438" s="3"/>
      <c r="H438" s="13" t="str">
        <f>IFERROR(VLOOKUP(A438,Customer_Data!$A$1:$P$114,8,TRUE),"")</f>
        <v/>
      </c>
      <c r="I438" s="13"/>
      <c r="J438" s="3" t="str">
        <f t="shared" si="76"/>
        <v/>
      </c>
      <c r="K438" s="62" t="e">
        <f>(VLOOKUP($J438,Herbicide_Data!$A$1:$L$61,9,TRUE))</f>
        <v>#N/A</v>
      </c>
      <c r="L438" s="62" t="e">
        <f>VLOOKUP($J438,Herbicide_Data!$A$1:$L$61,12,TRUE)</f>
        <v>#N/A</v>
      </c>
      <c r="M438" s="16" t="e">
        <f t="shared" si="71"/>
        <v>#N/A</v>
      </c>
      <c r="N438" s="62" t="str">
        <f t="shared" si="77"/>
        <v/>
      </c>
      <c r="O438" s="63" t="e">
        <f>VLOOKUP($N438,Herbicide_Data!$A$1:$L$61,9)</f>
        <v>#N/A</v>
      </c>
      <c r="P438" s="62" t="e">
        <f>VLOOKUP($N438,Herbicide_Data!$A$1:$P$61,13)</f>
        <v>#N/A</v>
      </c>
      <c r="Q438" s="16" t="e">
        <f t="shared" si="72"/>
        <v>#N/A</v>
      </c>
      <c r="R438" s="62" t="str">
        <f t="shared" si="78"/>
        <v/>
      </c>
      <c r="S438" s="63" t="e">
        <f>VLOOKUP($R438,Herbicide_Data!$A$1:$L$61,9)</f>
        <v>#N/A</v>
      </c>
      <c r="T438" s="62" t="e">
        <f>VLOOKUP($R438,Herbicide_Data!$A$1:$Q$61,13)</f>
        <v>#N/A</v>
      </c>
      <c r="U438" s="16" t="e">
        <f t="shared" si="73"/>
        <v>#N/A</v>
      </c>
      <c r="V438" s="62" t="b">
        <f t="shared" si="79"/>
        <v>0</v>
      </c>
      <c r="W438" s="63" t="e">
        <f>VLOOKUP($V438,Herbicide_Data!$A$1:$L$17,9)</f>
        <v>#N/A</v>
      </c>
      <c r="X438" s="62" t="e">
        <f>VLOOKUP($V438,Herbicide_Data!$A$1:$L$17,12)</f>
        <v>#N/A</v>
      </c>
      <c r="Y438" s="16" t="e">
        <f t="shared" si="74"/>
        <v>#N/A</v>
      </c>
      <c r="Z438" s="15"/>
      <c r="AA438" s="13"/>
      <c r="AB438" s="17"/>
      <c r="AC438" s="3"/>
      <c r="AD438" s="10"/>
      <c r="AE438" s="3"/>
      <c r="AF438" s="10"/>
      <c r="AG438" s="15"/>
      <c r="AH438" s="62" t="str">
        <f t="shared" si="80"/>
        <v/>
      </c>
      <c r="AI438" s="62" t="e">
        <f>VLOOKUP($AH438,Herbicide_Data!$A$1:$Q$61,13)</f>
        <v>#N/A</v>
      </c>
      <c r="AJ438" s="16" t="e">
        <f t="shared" si="75"/>
        <v>#N/A</v>
      </c>
      <c r="AK438" s="3"/>
      <c r="AL438" s="3"/>
      <c r="AM438" s="3"/>
      <c r="AN438" s="3"/>
      <c r="AO438" s="3"/>
      <c r="AP438" s="3"/>
      <c r="AQ438" s="18"/>
      <c r="AR438" s="19"/>
      <c r="AS438" s="19"/>
      <c r="AT438" s="20"/>
      <c r="AU438" s="20"/>
      <c r="AV438" s="21"/>
      <c r="AW438" s="22"/>
      <c r="AX438" s="19"/>
      <c r="AY438" s="19"/>
      <c r="AZ438" s="19"/>
      <c r="BA438" s="23"/>
      <c r="BB438" s="19"/>
      <c r="BC438" s="19"/>
      <c r="BD438" s="19"/>
    </row>
    <row r="439" spans="1:56">
      <c r="A439" s="13"/>
      <c r="B439" s="11"/>
      <c r="C439" s="12"/>
      <c r="D439" s="12">
        <f t="shared" si="70"/>
        <v>2.0833299999999999E-2</v>
      </c>
      <c r="E439" s="10"/>
      <c r="F439" s="10" t="str">
        <f>IFERROR(VLOOKUP(E439,Data!A$2:B$5,2,TRUE), "")</f>
        <v/>
      </c>
      <c r="G439" s="3"/>
      <c r="H439" s="13" t="str">
        <f>IFERROR(VLOOKUP(A439,Customer_Data!$A$1:$P$114,8,TRUE),"")</f>
        <v/>
      </c>
      <c r="I439" s="13"/>
      <c r="J439" s="3" t="str">
        <f t="shared" si="76"/>
        <v/>
      </c>
      <c r="K439" s="62" t="e">
        <f>(VLOOKUP($J439,Herbicide_Data!$A$1:$L$61,9,TRUE))</f>
        <v>#N/A</v>
      </c>
      <c r="L439" s="62" t="e">
        <f>VLOOKUP($J439,Herbicide_Data!$A$1:$L$61,12,TRUE)</f>
        <v>#N/A</v>
      </c>
      <c r="M439" s="16" t="e">
        <f t="shared" si="71"/>
        <v>#N/A</v>
      </c>
      <c r="N439" s="62" t="str">
        <f t="shared" si="77"/>
        <v/>
      </c>
      <c r="O439" s="63" t="e">
        <f>VLOOKUP($N439,Herbicide_Data!$A$1:$L$61,9)</f>
        <v>#N/A</v>
      </c>
      <c r="P439" s="62" t="e">
        <f>VLOOKUP($N439,Herbicide_Data!$A$1:$P$61,13)</f>
        <v>#N/A</v>
      </c>
      <c r="Q439" s="16" t="e">
        <f t="shared" si="72"/>
        <v>#N/A</v>
      </c>
      <c r="R439" s="62" t="str">
        <f t="shared" si="78"/>
        <v/>
      </c>
      <c r="S439" s="63" t="e">
        <f>VLOOKUP($R439,Herbicide_Data!$A$1:$L$61,9)</f>
        <v>#N/A</v>
      </c>
      <c r="T439" s="62" t="e">
        <f>VLOOKUP($R439,Herbicide_Data!$A$1:$Q$61,13)</f>
        <v>#N/A</v>
      </c>
      <c r="U439" s="16" t="e">
        <f t="shared" si="73"/>
        <v>#N/A</v>
      </c>
      <c r="V439" s="62" t="b">
        <f t="shared" si="79"/>
        <v>0</v>
      </c>
      <c r="W439" s="63" t="e">
        <f>VLOOKUP($V439,Herbicide_Data!$A$1:$L$17,9)</f>
        <v>#N/A</v>
      </c>
      <c r="X439" s="62" t="e">
        <f>VLOOKUP($V439,Herbicide_Data!$A$1:$L$17,12)</f>
        <v>#N/A</v>
      </c>
      <c r="Y439" s="16" t="e">
        <f t="shared" si="74"/>
        <v>#N/A</v>
      </c>
      <c r="Z439" s="15"/>
      <c r="AA439" s="13"/>
      <c r="AB439" s="17"/>
      <c r="AC439" s="3"/>
      <c r="AD439" s="10"/>
      <c r="AE439" s="3"/>
      <c r="AF439" s="10"/>
      <c r="AG439" s="15"/>
      <c r="AH439" s="62" t="str">
        <f t="shared" si="80"/>
        <v/>
      </c>
      <c r="AI439" s="62" t="e">
        <f>VLOOKUP($AH439,Herbicide_Data!$A$1:$Q$61,13)</f>
        <v>#N/A</v>
      </c>
      <c r="AJ439" s="16" t="e">
        <f t="shared" si="75"/>
        <v>#N/A</v>
      </c>
      <c r="AK439" s="3"/>
      <c r="AL439" s="3"/>
      <c r="AM439" s="3"/>
      <c r="AN439" s="3"/>
      <c r="AO439" s="3"/>
      <c r="AP439" s="3"/>
      <c r="AQ439" s="18"/>
      <c r="AR439" s="19"/>
      <c r="AS439" s="19"/>
      <c r="AT439" s="20"/>
      <c r="AU439" s="20"/>
      <c r="AV439" s="21"/>
      <c r="AW439" s="22"/>
      <c r="AX439" s="19"/>
      <c r="AY439" s="19"/>
      <c r="AZ439" s="19"/>
      <c r="BA439" s="23"/>
      <c r="BB439" s="19"/>
      <c r="BC439" s="19"/>
      <c r="BD439" s="19"/>
    </row>
    <row r="440" spans="1:56">
      <c r="A440" s="13"/>
      <c r="B440" s="11"/>
      <c r="C440" s="12"/>
      <c r="D440" s="12">
        <f t="shared" si="70"/>
        <v>2.0833299999999999E-2</v>
      </c>
      <c r="E440" s="10"/>
      <c r="F440" s="10" t="str">
        <f>IFERROR(VLOOKUP(E440,Data!A$2:B$5,2,TRUE), "")</f>
        <v/>
      </c>
      <c r="G440" s="3"/>
      <c r="H440" s="13" t="str">
        <f>IFERROR(VLOOKUP(A440,Customer_Data!$A$1:$P$114,8,TRUE),"")</f>
        <v/>
      </c>
      <c r="I440" s="13"/>
      <c r="J440" s="3" t="str">
        <f t="shared" si="76"/>
        <v/>
      </c>
      <c r="K440" s="62" t="e">
        <f>(VLOOKUP($J440,Herbicide_Data!$A$1:$L$61,9,TRUE))</f>
        <v>#N/A</v>
      </c>
      <c r="L440" s="62" t="e">
        <f>VLOOKUP($J440,Herbicide_Data!$A$1:$L$61,12,TRUE)</f>
        <v>#N/A</v>
      </c>
      <c r="M440" s="16" t="e">
        <f t="shared" si="71"/>
        <v>#N/A</v>
      </c>
      <c r="N440" s="62" t="str">
        <f t="shared" si="77"/>
        <v/>
      </c>
      <c r="O440" s="63" t="e">
        <f>VLOOKUP($N440,Herbicide_Data!$A$1:$L$61,9)</f>
        <v>#N/A</v>
      </c>
      <c r="P440" s="62" t="e">
        <f>VLOOKUP($N440,Herbicide_Data!$A$1:$P$61,13)</f>
        <v>#N/A</v>
      </c>
      <c r="Q440" s="16" t="e">
        <f t="shared" si="72"/>
        <v>#N/A</v>
      </c>
      <c r="R440" s="62" t="str">
        <f t="shared" si="78"/>
        <v/>
      </c>
      <c r="S440" s="63" t="e">
        <f>VLOOKUP($R440,Herbicide_Data!$A$1:$L$61,9)</f>
        <v>#N/A</v>
      </c>
      <c r="T440" s="62" t="e">
        <f>VLOOKUP($R440,Herbicide_Data!$A$1:$Q$61,13)</f>
        <v>#N/A</v>
      </c>
      <c r="U440" s="16" t="e">
        <f t="shared" si="73"/>
        <v>#N/A</v>
      </c>
      <c r="V440" s="62" t="b">
        <f t="shared" si="79"/>
        <v>0</v>
      </c>
      <c r="W440" s="63" t="e">
        <f>VLOOKUP($V440,Herbicide_Data!$A$1:$L$17,9)</f>
        <v>#N/A</v>
      </c>
      <c r="X440" s="62" t="e">
        <f>VLOOKUP($V440,Herbicide_Data!$A$1:$L$17,12)</f>
        <v>#N/A</v>
      </c>
      <c r="Y440" s="16" t="e">
        <f t="shared" si="74"/>
        <v>#N/A</v>
      </c>
      <c r="Z440" s="15"/>
      <c r="AA440" s="13"/>
      <c r="AB440" s="17"/>
      <c r="AC440" s="3"/>
      <c r="AD440" s="10"/>
      <c r="AE440" s="3"/>
      <c r="AF440" s="10"/>
      <c r="AG440" s="15"/>
      <c r="AH440" s="62" t="str">
        <f t="shared" si="80"/>
        <v/>
      </c>
      <c r="AI440" s="62" t="e">
        <f>VLOOKUP($AH440,Herbicide_Data!$A$1:$Q$61,13)</f>
        <v>#N/A</v>
      </c>
      <c r="AJ440" s="16" t="e">
        <f t="shared" si="75"/>
        <v>#N/A</v>
      </c>
      <c r="AK440" s="3"/>
      <c r="AL440" s="3"/>
      <c r="AM440" s="3"/>
      <c r="AN440" s="3"/>
      <c r="AO440" s="3"/>
      <c r="AP440" s="3"/>
      <c r="AQ440" s="18"/>
      <c r="AR440" s="19"/>
      <c r="AS440" s="19"/>
      <c r="AT440" s="20"/>
      <c r="AU440" s="20"/>
      <c r="AV440" s="21"/>
      <c r="AW440" s="22"/>
      <c r="AX440" s="19"/>
      <c r="AY440" s="19"/>
      <c r="AZ440" s="19"/>
      <c r="BA440" s="23"/>
      <c r="BB440" s="19"/>
      <c r="BC440" s="19"/>
      <c r="BD440" s="19"/>
    </row>
    <row r="441" spans="1:56">
      <c r="A441" s="13"/>
      <c r="B441" s="11"/>
      <c r="C441" s="12"/>
      <c r="D441" s="12">
        <f t="shared" si="70"/>
        <v>2.0833299999999999E-2</v>
      </c>
      <c r="E441" s="10"/>
      <c r="F441" s="10" t="str">
        <f>IFERROR(VLOOKUP(E441,Data!A$2:B$5,2,TRUE), "")</f>
        <v/>
      </c>
      <c r="G441" s="3"/>
      <c r="H441" s="13" t="str">
        <f>IFERROR(VLOOKUP(A441,Customer_Data!$A$1:$P$114,8,TRUE),"")</f>
        <v/>
      </c>
      <c r="I441" s="13"/>
      <c r="J441" s="3" t="str">
        <f t="shared" si="76"/>
        <v/>
      </c>
      <c r="K441" s="62" t="e">
        <f>(VLOOKUP($J441,Herbicide_Data!$A$1:$L$61,9,TRUE))</f>
        <v>#N/A</v>
      </c>
      <c r="L441" s="62" t="e">
        <f>VLOOKUP($J441,Herbicide_Data!$A$1:$L$61,12,TRUE)</f>
        <v>#N/A</v>
      </c>
      <c r="M441" s="16" t="e">
        <f t="shared" si="71"/>
        <v>#N/A</v>
      </c>
      <c r="N441" s="62" t="str">
        <f t="shared" si="77"/>
        <v/>
      </c>
      <c r="O441" s="63" t="e">
        <f>VLOOKUP($N441,Herbicide_Data!$A$1:$L$61,9)</f>
        <v>#N/A</v>
      </c>
      <c r="P441" s="62" t="e">
        <f>VLOOKUP($N441,Herbicide_Data!$A$1:$P$61,13)</f>
        <v>#N/A</v>
      </c>
      <c r="Q441" s="16" t="e">
        <f t="shared" si="72"/>
        <v>#N/A</v>
      </c>
      <c r="R441" s="62" t="str">
        <f t="shared" si="78"/>
        <v/>
      </c>
      <c r="S441" s="63" t="e">
        <f>VLOOKUP($R441,Herbicide_Data!$A$1:$L$61,9)</f>
        <v>#N/A</v>
      </c>
      <c r="T441" s="62" t="e">
        <f>VLOOKUP($R441,Herbicide_Data!$A$1:$Q$61,13)</f>
        <v>#N/A</v>
      </c>
      <c r="U441" s="16" t="e">
        <f t="shared" si="73"/>
        <v>#N/A</v>
      </c>
      <c r="V441" s="62" t="b">
        <f t="shared" si="79"/>
        <v>0</v>
      </c>
      <c r="W441" s="63" t="e">
        <f>VLOOKUP($V441,Herbicide_Data!$A$1:$L$17,9)</f>
        <v>#N/A</v>
      </c>
      <c r="X441" s="62" t="e">
        <f>VLOOKUP($V441,Herbicide_Data!$A$1:$L$17,12)</f>
        <v>#N/A</v>
      </c>
      <c r="Y441" s="16" t="e">
        <f t="shared" si="74"/>
        <v>#N/A</v>
      </c>
      <c r="Z441" s="15"/>
      <c r="AA441" s="13"/>
      <c r="AB441" s="17"/>
      <c r="AC441" s="3"/>
      <c r="AD441" s="10"/>
      <c r="AE441" s="3"/>
      <c r="AF441" s="10"/>
      <c r="AG441" s="15"/>
      <c r="AH441" s="62" t="str">
        <f t="shared" si="80"/>
        <v/>
      </c>
      <c r="AI441" s="62" t="e">
        <f>VLOOKUP($AH441,Herbicide_Data!$A$1:$Q$61,13)</f>
        <v>#N/A</v>
      </c>
      <c r="AJ441" s="16" t="e">
        <f t="shared" si="75"/>
        <v>#N/A</v>
      </c>
      <c r="AK441" s="3"/>
      <c r="AL441" s="3"/>
      <c r="AM441" s="3"/>
      <c r="AN441" s="3"/>
      <c r="AO441" s="3"/>
      <c r="AP441" s="3"/>
      <c r="AQ441" s="18"/>
      <c r="AR441" s="19"/>
      <c r="AS441" s="19"/>
      <c r="AT441" s="20"/>
      <c r="AU441" s="20"/>
      <c r="AV441" s="21"/>
      <c r="AW441" s="22"/>
      <c r="AX441" s="19"/>
      <c r="AY441" s="19"/>
      <c r="AZ441" s="19"/>
      <c r="BA441" s="23"/>
      <c r="BB441" s="19"/>
      <c r="BC441" s="19"/>
      <c r="BD441" s="19"/>
    </row>
    <row r="442" spans="1:56">
      <c r="A442" s="13"/>
      <c r="B442" s="11"/>
      <c r="C442" s="12"/>
      <c r="D442" s="12">
        <f t="shared" si="70"/>
        <v>2.0833299999999999E-2</v>
      </c>
      <c r="E442" s="10"/>
      <c r="F442" s="10" t="str">
        <f>IFERROR(VLOOKUP(E442,Data!A$2:B$5,2,TRUE), "")</f>
        <v/>
      </c>
      <c r="G442" s="3"/>
      <c r="H442" s="13" t="str">
        <f>IFERROR(VLOOKUP(A442,Customer_Data!$A$1:$P$114,8,TRUE),"")</f>
        <v/>
      </c>
      <c r="I442" s="13"/>
      <c r="J442" s="3" t="str">
        <f t="shared" si="76"/>
        <v/>
      </c>
      <c r="K442" s="62" t="e">
        <f>(VLOOKUP($J442,Herbicide_Data!$A$1:$L$61,9,TRUE))</f>
        <v>#N/A</v>
      </c>
      <c r="L442" s="62" t="e">
        <f>VLOOKUP($J442,Herbicide_Data!$A$1:$L$61,12,TRUE)</f>
        <v>#N/A</v>
      </c>
      <c r="M442" s="16" t="e">
        <f t="shared" si="71"/>
        <v>#N/A</v>
      </c>
      <c r="N442" s="62" t="str">
        <f t="shared" si="77"/>
        <v/>
      </c>
      <c r="O442" s="63" t="e">
        <f>VLOOKUP($N442,Herbicide_Data!$A$1:$L$61,9)</f>
        <v>#N/A</v>
      </c>
      <c r="P442" s="62" t="e">
        <f>VLOOKUP($N442,Herbicide_Data!$A$1:$P$61,13)</f>
        <v>#N/A</v>
      </c>
      <c r="Q442" s="16" t="e">
        <f t="shared" si="72"/>
        <v>#N/A</v>
      </c>
      <c r="R442" s="62" t="str">
        <f t="shared" si="78"/>
        <v/>
      </c>
      <c r="S442" s="63" t="e">
        <f>VLOOKUP($R442,Herbicide_Data!$A$1:$L$61,9)</f>
        <v>#N/A</v>
      </c>
      <c r="T442" s="62" t="e">
        <f>VLOOKUP($R442,Herbicide_Data!$A$1:$Q$61,13)</f>
        <v>#N/A</v>
      </c>
      <c r="U442" s="16" t="e">
        <f t="shared" si="73"/>
        <v>#N/A</v>
      </c>
      <c r="V442" s="62" t="b">
        <f t="shared" si="79"/>
        <v>0</v>
      </c>
      <c r="W442" s="63" t="e">
        <f>VLOOKUP($V442,Herbicide_Data!$A$1:$L$17,9)</f>
        <v>#N/A</v>
      </c>
      <c r="X442" s="62" t="e">
        <f>VLOOKUP($V442,Herbicide_Data!$A$1:$L$17,12)</f>
        <v>#N/A</v>
      </c>
      <c r="Y442" s="16" t="e">
        <f t="shared" si="74"/>
        <v>#N/A</v>
      </c>
      <c r="Z442" s="15"/>
      <c r="AA442" s="13"/>
      <c r="AB442" s="17"/>
      <c r="AC442" s="3"/>
      <c r="AD442" s="10"/>
      <c r="AE442" s="3"/>
      <c r="AF442" s="10"/>
      <c r="AG442" s="15"/>
      <c r="AH442" s="62" t="str">
        <f t="shared" si="80"/>
        <v/>
      </c>
      <c r="AI442" s="62" t="e">
        <f>VLOOKUP($AH442,Herbicide_Data!$A$1:$Q$61,13)</f>
        <v>#N/A</v>
      </c>
      <c r="AJ442" s="16" t="e">
        <f t="shared" si="75"/>
        <v>#N/A</v>
      </c>
      <c r="AK442" s="3"/>
      <c r="AL442" s="3"/>
      <c r="AM442" s="3"/>
      <c r="AN442" s="3"/>
      <c r="AO442" s="3"/>
      <c r="AP442" s="3"/>
      <c r="AQ442" s="18"/>
      <c r="AR442" s="19"/>
      <c r="AS442" s="19"/>
      <c r="AT442" s="20"/>
      <c r="AU442" s="20"/>
      <c r="AV442" s="21"/>
      <c r="AW442" s="22"/>
      <c r="AX442" s="19"/>
      <c r="AY442" s="19"/>
      <c r="AZ442" s="19"/>
      <c r="BA442" s="23"/>
      <c r="BB442" s="19"/>
      <c r="BC442" s="19"/>
      <c r="BD442" s="19"/>
    </row>
    <row r="443" spans="1:56">
      <c r="A443" s="13"/>
      <c r="B443" s="11"/>
      <c r="C443" s="12"/>
      <c r="D443" s="12">
        <f t="shared" si="70"/>
        <v>2.0833299999999999E-2</v>
      </c>
      <c r="E443" s="10"/>
      <c r="F443" s="10" t="str">
        <f>IFERROR(VLOOKUP(E443,Data!A$2:B$5,2,TRUE), "")</f>
        <v/>
      </c>
      <c r="G443" s="3"/>
      <c r="H443" s="13" t="str">
        <f>IFERROR(VLOOKUP(A443,Customer_Data!$A$1:$P$114,8,TRUE),"")</f>
        <v/>
      </c>
      <c r="I443" s="13"/>
      <c r="J443" s="3" t="str">
        <f t="shared" si="76"/>
        <v/>
      </c>
      <c r="K443" s="62" t="e">
        <f>(VLOOKUP($J443,Herbicide_Data!$A$1:$L$61,9,TRUE))</f>
        <v>#N/A</v>
      </c>
      <c r="L443" s="62" t="e">
        <f>VLOOKUP($J443,Herbicide_Data!$A$1:$L$61,12,TRUE)</f>
        <v>#N/A</v>
      </c>
      <c r="M443" s="16" t="e">
        <f t="shared" si="71"/>
        <v>#N/A</v>
      </c>
      <c r="N443" s="62" t="str">
        <f t="shared" si="77"/>
        <v/>
      </c>
      <c r="O443" s="63" t="e">
        <f>VLOOKUP($N443,Herbicide_Data!$A$1:$L$61,9)</f>
        <v>#N/A</v>
      </c>
      <c r="P443" s="62" t="e">
        <f>VLOOKUP($N443,Herbicide_Data!$A$1:$P$61,13)</f>
        <v>#N/A</v>
      </c>
      <c r="Q443" s="16" t="e">
        <f t="shared" si="72"/>
        <v>#N/A</v>
      </c>
      <c r="R443" s="62" t="str">
        <f t="shared" si="78"/>
        <v/>
      </c>
      <c r="S443" s="63" t="e">
        <f>VLOOKUP($R443,Herbicide_Data!$A$1:$L$61,9)</f>
        <v>#N/A</v>
      </c>
      <c r="T443" s="62" t="e">
        <f>VLOOKUP($R443,Herbicide_Data!$A$1:$Q$61,13)</f>
        <v>#N/A</v>
      </c>
      <c r="U443" s="16" t="e">
        <f t="shared" si="73"/>
        <v>#N/A</v>
      </c>
      <c r="V443" s="62" t="b">
        <f t="shared" si="79"/>
        <v>0</v>
      </c>
      <c r="W443" s="63" t="e">
        <f>VLOOKUP($V443,Herbicide_Data!$A$1:$L$17,9)</f>
        <v>#N/A</v>
      </c>
      <c r="X443" s="62" t="e">
        <f>VLOOKUP($V443,Herbicide_Data!$A$1:$L$17,12)</f>
        <v>#N/A</v>
      </c>
      <c r="Y443" s="16" t="e">
        <f t="shared" si="74"/>
        <v>#N/A</v>
      </c>
      <c r="Z443" s="15"/>
      <c r="AA443" s="13"/>
      <c r="AB443" s="17"/>
      <c r="AC443" s="3"/>
      <c r="AD443" s="10"/>
      <c r="AE443" s="3"/>
      <c r="AF443" s="10"/>
      <c r="AG443" s="15"/>
      <c r="AH443" s="62" t="str">
        <f t="shared" si="80"/>
        <v/>
      </c>
      <c r="AI443" s="62" t="e">
        <f>VLOOKUP($AH443,Herbicide_Data!$A$1:$Q$61,13)</f>
        <v>#N/A</v>
      </c>
      <c r="AJ443" s="16" t="e">
        <f t="shared" si="75"/>
        <v>#N/A</v>
      </c>
      <c r="AK443" s="3"/>
      <c r="AL443" s="3"/>
      <c r="AM443" s="3"/>
      <c r="AN443" s="3"/>
      <c r="AO443" s="3"/>
      <c r="AP443" s="3"/>
      <c r="AQ443" s="18"/>
      <c r="AR443" s="19"/>
      <c r="AS443" s="19"/>
      <c r="AT443" s="20"/>
      <c r="AU443" s="20"/>
      <c r="AV443" s="21"/>
      <c r="AW443" s="22"/>
      <c r="AX443" s="19"/>
      <c r="AY443" s="19"/>
      <c r="AZ443" s="19"/>
      <c r="BA443" s="23"/>
      <c r="BB443" s="19"/>
      <c r="BC443" s="19"/>
      <c r="BD443" s="19"/>
    </row>
    <row r="444" spans="1:56">
      <c r="A444" s="13"/>
      <c r="B444" s="11"/>
      <c r="C444" s="12"/>
      <c r="D444" s="12">
        <f t="shared" si="70"/>
        <v>2.0833299999999999E-2</v>
      </c>
      <c r="E444" s="10"/>
      <c r="F444" s="10" t="str">
        <f>IFERROR(VLOOKUP(E444,Data!A$2:B$5,2,TRUE), "")</f>
        <v/>
      </c>
      <c r="G444" s="3"/>
      <c r="H444" s="13" t="str">
        <f>IFERROR(VLOOKUP(A444,Customer_Data!$A$1:$P$114,8,TRUE),"")</f>
        <v/>
      </c>
      <c r="I444" s="13"/>
      <c r="J444" s="3" t="str">
        <f t="shared" si="76"/>
        <v/>
      </c>
      <c r="K444" s="62" t="e">
        <f>(VLOOKUP($J444,Herbicide_Data!$A$1:$L$61,9,TRUE))</f>
        <v>#N/A</v>
      </c>
      <c r="L444" s="62" t="e">
        <f>VLOOKUP($J444,Herbicide_Data!$A$1:$L$61,12,TRUE)</f>
        <v>#N/A</v>
      </c>
      <c r="M444" s="16" t="e">
        <f t="shared" si="71"/>
        <v>#N/A</v>
      </c>
      <c r="N444" s="62" t="str">
        <f t="shared" si="77"/>
        <v/>
      </c>
      <c r="O444" s="63" t="e">
        <f>VLOOKUP($N444,Herbicide_Data!$A$1:$L$61,9)</f>
        <v>#N/A</v>
      </c>
      <c r="P444" s="62" t="e">
        <f>VLOOKUP($N444,Herbicide_Data!$A$1:$P$61,13)</f>
        <v>#N/A</v>
      </c>
      <c r="Q444" s="16" t="e">
        <f t="shared" si="72"/>
        <v>#N/A</v>
      </c>
      <c r="R444" s="62" t="str">
        <f t="shared" si="78"/>
        <v/>
      </c>
      <c r="S444" s="63" t="e">
        <f>VLOOKUP($R444,Herbicide_Data!$A$1:$L$61,9)</f>
        <v>#N/A</v>
      </c>
      <c r="T444" s="62" t="e">
        <f>VLOOKUP($R444,Herbicide_Data!$A$1:$Q$61,13)</f>
        <v>#N/A</v>
      </c>
      <c r="U444" s="16" t="e">
        <f t="shared" si="73"/>
        <v>#N/A</v>
      </c>
      <c r="V444" s="62" t="b">
        <f t="shared" si="79"/>
        <v>0</v>
      </c>
      <c r="W444" s="63" t="e">
        <f>VLOOKUP($V444,Herbicide_Data!$A$1:$L$17,9)</f>
        <v>#N/A</v>
      </c>
      <c r="X444" s="62" t="e">
        <f>VLOOKUP($V444,Herbicide_Data!$A$1:$L$17,12)</f>
        <v>#N/A</v>
      </c>
      <c r="Y444" s="16" t="e">
        <f t="shared" si="74"/>
        <v>#N/A</v>
      </c>
      <c r="Z444" s="15"/>
      <c r="AA444" s="13"/>
      <c r="AB444" s="17"/>
      <c r="AC444" s="3"/>
      <c r="AD444" s="10"/>
      <c r="AE444" s="3"/>
      <c r="AF444" s="10"/>
      <c r="AG444" s="15"/>
      <c r="AH444" s="62" t="str">
        <f t="shared" si="80"/>
        <v/>
      </c>
      <c r="AI444" s="62" t="e">
        <f>VLOOKUP($AH444,Herbicide_Data!$A$1:$Q$61,13)</f>
        <v>#N/A</v>
      </c>
      <c r="AJ444" s="16" t="e">
        <f t="shared" si="75"/>
        <v>#N/A</v>
      </c>
      <c r="AK444" s="3"/>
      <c r="AL444" s="3"/>
      <c r="AM444" s="3"/>
      <c r="AN444" s="3"/>
      <c r="AO444" s="3"/>
      <c r="AP444" s="3"/>
      <c r="AQ444" s="18"/>
      <c r="AR444" s="19"/>
      <c r="AS444" s="19"/>
      <c r="AT444" s="20"/>
      <c r="AU444" s="20"/>
      <c r="AV444" s="21"/>
      <c r="AW444" s="22"/>
      <c r="AX444" s="19"/>
      <c r="AY444" s="19"/>
      <c r="AZ444" s="19"/>
      <c r="BA444" s="23"/>
      <c r="BB444" s="19"/>
      <c r="BC444" s="19"/>
      <c r="BD444" s="19"/>
    </row>
    <row r="445" spans="1:56">
      <c r="A445" s="13"/>
      <c r="B445" s="11"/>
      <c r="C445" s="12"/>
      <c r="D445" s="12">
        <f t="shared" si="70"/>
        <v>2.0833299999999999E-2</v>
      </c>
      <c r="E445" s="10"/>
      <c r="F445" s="10" t="str">
        <f>IFERROR(VLOOKUP(E445,Data!A$2:B$5,2,TRUE), "")</f>
        <v/>
      </c>
      <c r="G445" s="3"/>
      <c r="H445" s="13" t="str">
        <f>IFERROR(VLOOKUP(A445,Customer_Data!$A$1:$P$114,8,TRUE),"")</f>
        <v/>
      </c>
      <c r="I445" s="13"/>
      <c r="J445" s="3" t="str">
        <f t="shared" si="76"/>
        <v/>
      </c>
      <c r="K445" s="62" t="e">
        <f>(VLOOKUP($J445,Herbicide_Data!$A$1:$L$61,9,TRUE))</f>
        <v>#N/A</v>
      </c>
      <c r="L445" s="62" t="e">
        <f>VLOOKUP($J445,Herbicide_Data!$A$1:$L$61,12,TRUE)</f>
        <v>#N/A</v>
      </c>
      <c r="M445" s="16" t="e">
        <f t="shared" si="71"/>
        <v>#N/A</v>
      </c>
      <c r="N445" s="62" t="str">
        <f t="shared" si="77"/>
        <v/>
      </c>
      <c r="O445" s="63" t="e">
        <f>VLOOKUP($N445,Herbicide_Data!$A$1:$L$61,9)</f>
        <v>#N/A</v>
      </c>
      <c r="P445" s="62" t="e">
        <f>VLOOKUP($N445,Herbicide_Data!$A$1:$P$61,13)</f>
        <v>#N/A</v>
      </c>
      <c r="Q445" s="16" t="e">
        <f t="shared" si="72"/>
        <v>#N/A</v>
      </c>
      <c r="R445" s="62" t="str">
        <f t="shared" si="78"/>
        <v/>
      </c>
      <c r="S445" s="63" t="e">
        <f>VLOOKUP($R445,Herbicide_Data!$A$1:$L$61,9)</f>
        <v>#N/A</v>
      </c>
      <c r="T445" s="62" t="e">
        <f>VLOOKUP($R445,Herbicide_Data!$A$1:$Q$61,13)</f>
        <v>#N/A</v>
      </c>
      <c r="U445" s="16" t="e">
        <f t="shared" si="73"/>
        <v>#N/A</v>
      </c>
      <c r="V445" s="62" t="b">
        <f t="shared" si="79"/>
        <v>0</v>
      </c>
      <c r="W445" s="63" t="e">
        <f>VLOOKUP($V445,Herbicide_Data!$A$1:$L$17,9)</f>
        <v>#N/A</v>
      </c>
      <c r="X445" s="62" t="e">
        <f>VLOOKUP($V445,Herbicide_Data!$A$1:$L$17,12)</f>
        <v>#N/A</v>
      </c>
      <c r="Y445" s="16" t="e">
        <f t="shared" si="74"/>
        <v>#N/A</v>
      </c>
      <c r="Z445" s="15"/>
      <c r="AA445" s="13"/>
      <c r="AB445" s="17"/>
      <c r="AC445" s="3"/>
      <c r="AD445" s="10"/>
      <c r="AE445" s="3"/>
      <c r="AF445" s="10"/>
      <c r="AG445" s="15"/>
      <c r="AH445" s="62" t="str">
        <f t="shared" si="80"/>
        <v/>
      </c>
      <c r="AI445" s="62" t="e">
        <f>VLOOKUP($AH445,Herbicide_Data!$A$1:$Q$61,13)</f>
        <v>#N/A</v>
      </c>
      <c r="AJ445" s="16" t="e">
        <f t="shared" si="75"/>
        <v>#N/A</v>
      </c>
      <c r="AK445" s="3"/>
      <c r="AL445" s="3"/>
      <c r="AM445" s="3"/>
      <c r="AN445" s="3"/>
      <c r="AO445" s="3"/>
      <c r="AP445" s="3"/>
      <c r="AQ445" s="18"/>
      <c r="AR445" s="19"/>
      <c r="AS445" s="19"/>
      <c r="AT445" s="20"/>
      <c r="AU445" s="20"/>
      <c r="AV445" s="21"/>
      <c r="AW445" s="22"/>
      <c r="AX445" s="19"/>
      <c r="AY445" s="19"/>
      <c r="AZ445" s="19"/>
      <c r="BA445" s="23"/>
      <c r="BB445" s="19"/>
      <c r="BC445" s="19"/>
      <c r="BD445" s="19"/>
    </row>
    <row r="446" spans="1:56">
      <c r="A446" s="13"/>
      <c r="B446" s="11"/>
      <c r="C446" s="12"/>
      <c r="D446" s="12">
        <f t="shared" si="70"/>
        <v>2.0833299999999999E-2</v>
      </c>
      <c r="E446" s="10"/>
      <c r="F446" s="10" t="str">
        <f>IFERROR(VLOOKUP(E446,Data!A$2:B$5,2,TRUE), "")</f>
        <v/>
      </c>
      <c r="G446" s="3"/>
      <c r="H446" s="13" t="str">
        <f>IFERROR(VLOOKUP(A446,Customer_Data!$A$1:$P$114,8,TRUE),"")</f>
        <v/>
      </c>
      <c r="I446" s="13"/>
      <c r="J446" s="3" t="str">
        <f t="shared" si="76"/>
        <v/>
      </c>
      <c r="K446" s="62" t="e">
        <f>(VLOOKUP($J446,Herbicide_Data!$A$1:$L$61,9,TRUE))</f>
        <v>#N/A</v>
      </c>
      <c r="L446" s="62" t="e">
        <f>VLOOKUP($J446,Herbicide_Data!$A$1:$L$61,12,TRUE)</f>
        <v>#N/A</v>
      </c>
      <c r="M446" s="16" t="e">
        <f t="shared" si="71"/>
        <v>#N/A</v>
      </c>
      <c r="N446" s="62" t="str">
        <f t="shared" si="77"/>
        <v/>
      </c>
      <c r="O446" s="63" t="e">
        <f>VLOOKUP($N446,Herbicide_Data!$A$1:$L$61,9)</f>
        <v>#N/A</v>
      </c>
      <c r="P446" s="62" t="e">
        <f>VLOOKUP($N446,Herbicide_Data!$A$1:$P$61,13)</f>
        <v>#N/A</v>
      </c>
      <c r="Q446" s="16" t="e">
        <f t="shared" si="72"/>
        <v>#N/A</v>
      </c>
      <c r="R446" s="62" t="str">
        <f t="shared" si="78"/>
        <v/>
      </c>
      <c r="S446" s="63" t="e">
        <f>VLOOKUP($R446,Herbicide_Data!$A$1:$L$61,9)</f>
        <v>#N/A</v>
      </c>
      <c r="T446" s="62" t="e">
        <f>VLOOKUP($R446,Herbicide_Data!$A$1:$Q$61,13)</f>
        <v>#N/A</v>
      </c>
      <c r="U446" s="16" t="e">
        <f t="shared" si="73"/>
        <v>#N/A</v>
      </c>
      <c r="V446" s="62" t="b">
        <f t="shared" si="79"/>
        <v>0</v>
      </c>
      <c r="W446" s="63" t="e">
        <f>VLOOKUP($V446,Herbicide_Data!$A$1:$L$17,9)</f>
        <v>#N/A</v>
      </c>
      <c r="X446" s="62" t="e">
        <f>VLOOKUP($V446,Herbicide_Data!$A$1:$L$17,12)</f>
        <v>#N/A</v>
      </c>
      <c r="Y446" s="16" t="e">
        <f t="shared" si="74"/>
        <v>#N/A</v>
      </c>
      <c r="Z446" s="15"/>
      <c r="AA446" s="13"/>
      <c r="AB446" s="17"/>
      <c r="AC446" s="3"/>
      <c r="AD446" s="10"/>
      <c r="AE446" s="3"/>
      <c r="AF446" s="10"/>
      <c r="AG446" s="15"/>
      <c r="AH446" s="62" t="str">
        <f t="shared" si="80"/>
        <v/>
      </c>
      <c r="AI446" s="62" t="e">
        <f>VLOOKUP($AH446,Herbicide_Data!$A$1:$Q$61,13)</f>
        <v>#N/A</v>
      </c>
      <c r="AJ446" s="16" t="e">
        <f t="shared" si="75"/>
        <v>#N/A</v>
      </c>
      <c r="AK446" s="3"/>
      <c r="AL446" s="3"/>
      <c r="AM446" s="3"/>
      <c r="AN446" s="3"/>
      <c r="AO446" s="3"/>
      <c r="AP446" s="3"/>
      <c r="AQ446" s="18"/>
      <c r="AR446" s="19"/>
      <c r="AS446" s="19"/>
      <c r="AT446" s="20"/>
      <c r="AU446" s="20"/>
      <c r="AV446" s="21"/>
      <c r="AW446" s="22"/>
      <c r="AX446" s="19"/>
      <c r="AY446" s="19"/>
      <c r="AZ446" s="19"/>
      <c r="BA446" s="23"/>
      <c r="BB446" s="19"/>
      <c r="BC446" s="19"/>
      <c r="BD446" s="19"/>
    </row>
    <row r="447" spans="1:56">
      <c r="A447" s="13"/>
      <c r="B447" s="11"/>
      <c r="C447" s="12"/>
      <c r="D447" s="12">
        <f t="shared" si="70"/>
        <v>2.0833299999999999E-2</v>
      </c>
      <c r="E447" s="10"/>
      <c r="F447" s="10" t="str">
        <f>IFERROR(VLOOKUP(E447,Data!A$2:B$5,2,TRUE), "")</f>
        <v/>
      </c>
      <c r="G447" s="3"/>
      <c r="H447" s="13" t="str">
        <f>IFERROR(VLOOKUP(A447,Customer_Data!$A$1:$P$114,8,TRUE),"")</f>
        <v/>
      </c>
      <c r="I447" s="13"/>
      <c r="J447" s="3" t="str">
        <f t="shared" si="76"/>
        <v/>
      </c>
      <c r="K447" s="62" t="e">
        <f>(VLOOKUP($J447,Herbicide_Data!$A$1:$L$61,9,TRUE))</f>
        <v>#N/A</v>
      </c>
      <c r="L447" s="62" t="e">
        <f>VLOOKUP($J447,Herbicide_Data!$A$1:$L$61,12,TRUE)</f>
        <v>#N/A</v>
      </c>
      <c r="M447" s="16" t="e">
        <f t="shared" si="71"/>
        <v>#N/A</v>
      </c>
      <c r="N447" s="62" t="str">
        <f t="shared" si="77"/>
        <v/>
      </c>
      <c r="O447" s="63" t="e">
        <f>VLOOKUP($N447,Herbicide_Data!$A$1:$L$61,9)</f>
        <v>#N/A</v>
      </c>
      <c r="P447" s="62" t="e">
        <f>VLOOKUP($N447,Herbicide_Data!$A$1:$P$61,13)</f>
        <v>#N/A</v>
      </c>
      <c r="Q447" s="16" t="e">
        <f t="shared" si="72"/>
        <v>#N/A</v>
      </c>
      <c r="R447" s="62" t="str">
        <f t="shared" si="78"/>
        <v/>
      </c>
      <c r="S447" s="63" t="e">
        <f>VLOOKUP($R447,Herbicide_Data!$A$1:$L$61,9)</f>
        <v>#N/A</v>
      </c>
      <c r="T447" s="62" t="e">
        <f>VLOOKUP($R447,Herbicide_Data!$A$1:$Q$61,13)</f>
        <v>#N/A</v>
      </c>
      <c r="U447" s="16" t="e">
        <f t="shared" si="73"/>
        <v>#N/A</v>
      </c>
      <c r="V447" s="62" t="b">
        <f t="shared" si="79"/>
        <v>0</v>
      </c>
      <c r="W447" s="63" t="e">
        <f>VLOOKUP($V447,Herbicide_Data!$A$1:$L$17,9)</f>
        <v>#N/A</v>
      </c>
      <c r="X447" s="62" t="e">
        <f>VLOOKUP($V447,Herbicide_Data!$A$1:$L$17,12)</f>
        <v>#N/A</v>
      </c>
      <c r="Y447" s="16" t="e">
        <f t="shared" si="74"/>
        <v>#N/A</v>
      </c>
      <c r="Z447" s="15"/>
      <c r="AA447" s="13"/>
      <c r="AB447" s="17"/>
      <c r="AC447" s="3"/>
      <c r="AD447" s="10"/>
      <c r="AE447" s="3"/>
      <c r="AF447" s="10"/>
      <c r="AG447" s="15"/>
      <c r="AH447" s="62" t="str">
        <f t="shared" si="80"/>
        <v/>
      </c>
      <c r="AI447" s="62" t="e">
        <f>VLOOKUP($AH447,Herbicide_Data!$A$1:$Q$61,13)</f>
        <v>#N/A</v>
      </c>
      <c r="AJ447" s="16" t="e">
        <f t="shared" si="75"/>
        <v>#N/A</v>
      </c>
      <c r="AK447" s="3"/>
      <c r="AL447" s="3"/>
      <c r="AM447" s="3"/>
      <c r="AN447" s="3"/>
      <c r="AO447" s="3"/>
      <c r="AP447" s="3"/>
      <c r="AQ447" s="18"/>
      <c r="AR447" s="19"/>
      <c r="AS447" s="19"/>
      <c r="AT447" s="20"/>
      <c r="AU447" s="20"/>
      <c r="AV447" s="21"/>
      <c r="AW447" s="22"/>
      <c r="AX447" s="19"/>
      <c r="AY447" s="19"/>
      <c r="AZ447" s="19"/>
      <c r="BA447" s="23"/>
      <c r="BB447" s="19"/>
      <c r="BC447" s="19"/>
      <c r="BD447" s="19"/>
    </row>
    <row r="448" spans="1:56">
      <c r="A448" s="13"/>
      <c r="B448" s="11"/>
      <c r="C448" s="12"/>
      <c r="D448" s="12">
        <f t="shared" si="70"/>
        <v>2.0833299999999999E-2</v>
      </c>
      <c r="E448" s="10"/>
      <c r="F448" s="10" t="str">
        <f>IFERROR(VLOOKUP(E448,Data!A$2:B$5,2,TRUE), "")</f>
        <v/>
      </c>
      <c r="G448" s="3"/>
      <c r="H448" s="13" t="str">
        <f>IFERROR(VLOOKUP(A448,Customer_Data!$A$1:$P$114,8,TRUE),"")</f>
        <v/>
      </c>
      <c r="I448" s="13"/>
      <c r="J448" s="3" t="str">
        <f t="shared" si="76"/>
        <v/>
      </c>
      <c r="K448" s="62" t="e">
        <f>(VLOOKUP($J448,Herbicide_Data!$A$1:$L$61,9,TRUE))</f>
        <v>#N/A</v>
      </c>
      <c r="L448" s="62" t="e">
        <f>VLOOKUP($J448,Herbicide_Data!$A$1:$L$61,12,TRUE)</f>
        <v>#N/A</v>
      </c>
      <c r="M448" s="16" t="e">
        <f t="shared" si="71"/>
        <v>#N/A</v>
      </c>
      <c r="N448" s="62" t="str">
        <f t="shared" si="77"/>
        <v/>
      </c>
      <c r="O448" s="63" t="e">
        <f>VLOOKUP($N448,Herbicide_Data!$A$1:$L$61,9)</f>
        <v>#N/A</v>
      </c>
      <c r="P448" s="62" t="e">
        <f>VLOOKUP($N448,Herbicide_Data!$A$1:$P$61,13)</f>
        <v>#N/A</v>
      </c>
      <c r="Q448" s="16" t="e">
        <f t="shared" si="72"/>
        <v>#N/A</v>
      </c>
      <c r="R448" s="62" t="str">
        <f t="shared" si="78"/>
        <v/>
      </c>
      <c r="S448" s="63" t="e">
        <f>VLOOKUP($R448,Herbicide_Data!$A$1:$L$61,9)</f>
        <v>#N/A</v>
      </c>
      <c r="T448" s="62" t="e">
        <f>VLOOKUP($R448,Herbicide_Data!$A$1:$Q$61,13)</f>
        <v>#N/A</v>
      </c>
      <c r="U448" s="16" t="e">
        <f t="shared" si="73"/>
        <v>#N/A</v>
      </c>
      <c r="V448" s="62" t="b">
        <f t="shared" si="79"/>
        <v>0</v>
      </c>
      <c r="W448" s="63" t="e">
        <f>VLOOKUP($V448,Herbicide_Data!$A$1:$L$17,9)</f>
        <v>#N/A</v>
      </c>
      <c r="X448" s="62" t="e">
        <f>VLOOKUP($V448,Herbicide_Data!$A$1:$L$17,12)</f>
        <v>#N/A</v>
      </c>
      <c r="Y448" s="16" t="e">
        <f t="shared" si="74"/>
        <v>#N/A</v>
      </c>
      <c r="Z448" s="15"/>
      <c r="AA448" s="13"/>
      <c r="AB448" s="17"/>
      <c r="AC448" s="3"/>
      <c r="AD448" s="10"/>
      <c r="AE448" s="3"/>
      <c r="AF448" s="10"/>
      <c r="AG448" s="15"/>
      <c r="AH448" s="62" t="str">
        <f t="shared" si="80"/>
        <v/>
      </c>
      <c r="AI448" s="62" t="e">
        <f>VLOOKUP($AH448,Herbicide_Data!$A$1:$Q$61,13)</f>
        <v>#N/A</v>
      </c>
      <c r="AJ448" s="16" t="e">
        <f t="shared" si="75"/>
        <v>#N/A</v>
      </c>
      <c r="AK448" s="3"/>
      <c r="AL448" s="3"/>
      <c r="AM448" s="3"/>
      <c r="AN448" s="3"/>
      <c r="AO448" s="3"/>
      <c r="AP448" s="3"/>
      <c r="AQ448" s="18"/>
      <c r="AR448" s="19"/>
      <c r="AS448" s="19"/>
      <c r="AT448" s="20"/>
      <c r="AU448" s="20"/>
      <c r="AV448" s="21"/>
      <c r="AW448" s="22"/>
      <c r="AX448" s="19"/>
      <c r="AY448" s="19"/>
      <c r="AZ448" s="19"/>
      <c r="BA448" s="23"/>
      <c r="BB448" s="19"/>
      <c r="BC448" s="19"/>
      <c r="BD448" s="19"/>
    </row>
    <row r="449" spans="1:56">
      <c r="A449" s="13"/>
      <c r="B449" s="11"/>
      <c r="C449" s="12"/>
      <c r="D449" s="12">
        <f t="shared" si="70"/>
        <v>2.0833299999999999E-2</v>
      </c>
      <c r="E449" s="10"/>
      <c r="F449" s="10" t="str">
        <f>IFERROR(VLOOKUP(E449,Data!A$2:B$5,2,TRUE), "")</f>
        <v/>
      </c>
      <c r="G449" s="3"/>
      <c r="H449" s="13" t="str">
        <f>IFERROR(VLOOKUP(A449,Customer_Data!$A$1:$P$114,8,TRUE),"")</f>
        <v/>
      </c>
      <c r="I449" s="13"/>
      <c r="J449" s="3" t="str">
        <f t="shared" si="76"/>
        <v/>
      </c>
      <c r="K449" s="62" t="e">
        <f>(VLOOKUP($J449,Herbicide_Data!$A$1:$L$61,9,TRUE))</f>
        <v>#N/A</v>
      </c>
      <c r="L449" s="62" t="e">
        <f>VLOOKUP($J449,Herbicide_Data!$A$1:$L$61,12,TRUE)</f>
        <v>#N/A</v>
      </c>
      <c r="M449" s="16" t="e">
        <f t="shared" si="71"/>
        <v>#N/A</v>
      </c>
      <c r="N449" s="62" t="str">
        <f t="shared" si="77"/>
        <v/>
      </c>
      <c r="O449" s="63" t="e">
        <f>VLOOKUP($N449,Herbicide_Data!$A$1:$L$61,9)</f>
        <v>#N/A</v>
      </c>
      <c r="P449" s="62" t="e">
        <f>VLOOKUP($N449,Herbicide_Data!$A$1:$P$61,13)</f>
        <v>#N/A</v>
      </c>
      <c r="Q449" s="16" t="e">
        <f t="shared" si="72"/>
        <v>#N/A</v>
      </c>
      <c r="R449" s="62" t="str">
        <f t="shared" si="78"/>
        <v/>
      </c>
      <c r="S449" s="63" t="e">
        <f>VLOOKUP($R449,Herbicide_Data!$A$1:$L$61,9)</f>
        <v>#N/A</v>
      </c>
      <c r="T449" s="62" t="e">
        <f>VLOOKUP($R449,Herbicide_Data!$A$1:$Q$61,13)</f>
        <v>#N/A</v>
      </c>
      <c r="U449" s="16" t="e">
        <f t="shared" si="73"/>
        <v>#N/A</v>
      </c>
      <c r="V449" s="62" t="b">
        <f t="shared" si="79"/>
        <v>0</v>
      </c>
      <c r="W449" s="63" t="e">
        <f>VLOOKUP($V449,Herbicide_Data!$A$1:$L$17,9)</f>
        <v>#N/A</v>
      </c>
      <c r="X449" s="62" t="e">
        <f>VLOOKUP($V449,Herbicide_Data!$A$1:$L$17,12)</f>
        <v>#N/A</v>
      </c>
      <c r="Y449" s="16" t="e">
        <f t="shared" si="74"/>
        <v>#N/A</v>
      </c>
      <c r="Z449" s="15"/>
      <c r="AA449" s="13"/>
      <c r="AB449" s="17"/>
      <c r="AC449" s="3"/>
      <c r="AD449" s="10"/>
      <c r="AE449" s="3"/>
      <c r="AF449" s="10"/>
      <c r="AG449" s="15"/>
      <c r="AH449" s="62" t="str">
        <f t="shared" si="80"/>
        <v/>
      </c>
      <c r="AI449" s="62" t="e">
        <f>VLOOKUP($AH449,Herbicide_Data!$A$1:$Q$61,13)</f>
        <v>#N/A</v>
      </c>
      <c r="AJ449" s="16" t="e">
        <f t="shared" si="75"/>
        <v>#N/A</v>
      </c>
      <c r="AK449" s="3"/>
      <c r="AL449" s="3"/>
      <c r="AM449" s="3"/>
      <c r="AN449" s="3"/>
      <c r="AO449" s="3"/>
      <c r="AP449" s="3"/>
      <c r="AQ449" s="18"/>
      <c r="AR449" s="19"/>
      <c r="AS449" s="19"/>
      <c r="AT449" s="20"/>
      <c r="AU449" s="20"/>
      <c r="AV449" s="21"/>
      <c r="AW449" s="22"/>
      <c r="AX449" s="19"/>
      <c r="AY449" s="19"/>
      <c r="AZ449" s="19"/>
      <c r="BA449" s="23"/>
      <c r="BB449" s="19"/>
      <c r="BC449" s="19"/>
      <c r="BD449" s="19"/>
    </row>
    <row r="450" spans="1:56">
      <c r="A450" s="13"/>
      <c r="B450" s="11"/>
      <c r="C450" s="12"/>
      <c r="D450" s="12">
        <f t="shared" ref="D450:D500" si="81">C450+0.0208333</f>
        <v>2.0833299999999999E-2</v>
      </c>
      <c r="E450" s="10"/>
      <c r="F450" s="10" t="str">
        <f>IFERROR(VLOOKUP(E450,Data!A$2:B$5,2,TRUE), "")</f>
        <v/>
      </c>
      <c r="G450" s="3"/>
      <c r="H450" s="13" t="str">
        <f>IFERROR(VLOOKUP(A450,Customer_Data!$A$1:$P$114,8,TRUE),"")</f>
        <v/>
      </c>
      <c r="I450" s="13"/>
      <c r="J450" s="3" t="str">
        <f t="shared" si="76"/>
        <v/>
      </c>
      <c r="K450" s="62" t="e">
        <f>(VLOOKUP($J450,Herbicide_Data!$A$1:$L$61,9,TRUE))</f>
        <v>#N/A</v>
      </c>
      <c r="L450" s="62" t="e">
        <f>VLOOKUP($J450,Herbicide_Data!$A$1:$L$61,12,TRUE)</f>
        <v>#N/A</v>
      </c>
      <c r="M450" s="16" t="e">
        <f t="shared" ref="M450:M500" si="82">L450*(H450/43560)</f>
        <v>#N/A</v>
      </c>
      <c r="N450" s="62" t="str">
        <f t="shared" si="77"/>
        <v/>
      </c>
      <c r="O450" s="63" t="e">
        <f>VLOOKUP($N450,Herbicide_Data!$A$1:$L$61,9)</f>
        <v>#N/A</v>
      </c>
      <c r="P450" s="62" t="e">
        <f>VLOOKUP($N450,Herbicide_Data!$A$1:$P$61,13)</f>
        <v>#N/A</v>
      </c>
      <c r="Q450" s="16" t="e">
        <f t="shared" ref="Q450:Q500" si="83">P450*($H450/43560)</f>
        <v>#N/A</v>
      </c>
      <c r="R450" s="62" t="str">
        <f t="shared" si="78"/>
        <v/>
      </c>
      <c r="S450" s="63" t="e">
        <f>VLOOKUP($R450,Herbicide_Data!$A$1:$L$61,9)</f>
        <v>#N/A</v>
      </c>
      <c r="T450" s="62" t="e">
        <f>VLOOKUP($R450,Herbicide_Data!$A$1:$Q$61,13)</f>
        <v>#N/A</v>
      </c>
      <c r="U450" s="16" t="e">
        <f t="shared" ref="U450:U500" si="84">T450*($H450/43560)</f>
        <v>#N/A</v>
      </c>
      <c r="V450" s="62" t="b">
        <f t="shared" si="79"/>
        <v>0</v>
      </c>
      <c r="W450" s="63" t="e">
        <f>VLOOKUP($V450,Herbicide_Data!$A$1:$L$17,9)</f>
        <v>#N/A</v>
      </c>
      <c r="X450" s="62" t="e">
        <f>VLOOKUP($V450,Herbicide_Data!$A$1:$L$17,12)</f>
        <v>#N/A</v>
      </c>
      <c r="Y450" s="16" t="e">
        <f t="shared" ref="Y450:Y500" si="85">X450*($H450/43560)</f>
        <v>#N/A</v>
      </c>
      <c r="Z450" s="15"/>
      <c r="AA450" s="13"/>
      <c r="AB450" s="17"/>
      <c r="AC450" s="3"/>
      <c r="AD450" s="10"/>
      <c r="AE450" s="3"/>
      <c r="AF450" s="10"/>
      <c r="AG450" s="15"/>
      <c r="AH450" s="62" t="str">
        <f t="shared" si="80"/>
        <v/>
      </c>
      <c r="AI450" s="62" t="e">
        <f>VLOOKUP($AH450,Herbicide_Data!$A$1:$Q$61,13)</f>
        <v>#N/A</v>
      </c>
      <c r="AJ450" s="16" t="e">
        <f t="shared" ref="AJ450:AJ500" si="86">AI450*($H450/43560)</f>
        <v>#N/A</v>
      </c>
      <c r="AK450" s="3"/>
      <c r="AL450" s="3"/>
      <c r="AM450" s="3"/>
      <c r="AN450" s="3"/>
      <c r="AO450" s="3"/>
      <c r="AP450" s="3"/>
      <c r="AQ450" s="18"/>
      <c r="AR450" s="19"/>
      <c r="AS450" s="19"/>
      <c r="AT450" s="20"/>
      <c r="AU450" s="20"/>
      <c r="AV450" s="21"/>
      <c r="AW450" s="22"/>
      <c r="AX450" s="19"/>
      <c r="AY450" s="19"/>
      <c r="AZ450" s="19"/>
      <c r="BA450" s="23"/>
      <c r="BB450" s="19"/>
      <c r="BC450" s="19"/>
      <c r="BD450" s="19"/>
    </row>
    <row r="451" spans="1:56">
      <c r="A451" s="13"/>
      <c r="B451" s="11"/>
      <c r="C451" s="12"/>
      <c r="D451" s="12">
        <f t="shared" si="81"/>
        <v>2.0833299999999999E-2</v>
      </c>
      <c r="E451" s="10"/>
      <c r="F451" s="10" t="str">
        <f>IFERROR(VLOOKUP(E451,Data!A$2:B$5,2,TRUE), "")</f>
        <v/>
      </c>
      <c r="G451" s="3"/>
      <c r="H451" s="13" t="str">
        <f>IFERROR(VLOOKUP(A451,Customer_Data!$A$1:$P$114,8,TRUE),"")</f>
        <v/>
      </c>
      <c r="I451" s="13"/>
      <c r="J451" s="3" t="str">
        <f t="shared" ref="J451:J500" si="87">IF($G451=("Fall (pre/post emerge)"),"Princep Liquid (100-526)", IF($G451=("Fertilize"),"Harrell's 34-0-5",IF($G451=("Spot Treat"),"Outrider (59639-223)","")))</f>
        <v/>
      </c>
      <c r="K451" s="62" t="e">
        <f>(VLOOKUP($J451,Herbicide_Data!$A$1:$L$61,9,TRUE))</f>
        <v>#N/A</v>
      </c>
      <c r="L451" s="62" t="e">
        <f>VLOOKUP($J451,Herbicide_Data!$A$1:$L$61,12,TRUE)</f>
        <v>#N/A</v>
      </c>
      <c r="M451" s="16" t="e">
        <f t="shared" si="82"/>
        <v>#N/A</v>
      </c>
      <c r="N451" s="62" t="str">
        <f t="shared" ref="N451:N500" si="88">IF($G451=("Fall (pre/post emerge)"),"Triplet SF (3-Way) 228-312",IF($G451=("Spring Preemerge (Jan)"),"Triplet SF (3-Way) 228-312",IF($G451=("Spring Preemerge (Apr)"),"Triplet SF (3-Way) 228-312","")))</f>
        <v/>
      </c>
      <c r="O451" s="63" t="e">
        <f>VLOOKUP($N451,Herbicide_Data!$A$1:$L$61,9)</f>
        <v>#N/A</v>
      </c>
      <c r="P451" s="62" t="e">
        <f>VLOOKUP($N451,Herbicide_Data!$A$1:$P$61,13)</f>
        <v>#N/A</v>
      </c>
      <c r="Q451" s="16" t="e">
        <f t="shared" si="83"/>
        <v>#N/A</v>
      </c>
      <c r="R451" s="62" t="str">
        <f t="shared" ref="R451:R500" si="89">IF($G451=("Fall (pre/post emerge)"),"Resolute 4Fl (100-1139)",IF($G451=("Spring Preemerge (Jan)"),"Resolute 4Fl (100-1139)",IF($G451=("Spring Preemerge (Apr)"),"Certinty Turf 59639-226","")))</f>
        <v/>
      </c>
      <c r="S451" s="63" t="e">
        <f>VLOOKUP($R451,Herbicide_Data!$A$1:$L$61,9)</f>
        <v>#N/A</v>
      </c>
      <c r="T451" s="62" t="e">
        <f>VLOOKUP($R451,Herbicide_Data!$A$1:$Q$61,13)</f>
        <v>#N/A</v>
      </c>
      <c r="U451" s="16" t="e">
        <f t="shared" si="84"/>
        <v>#N/A</v>
      </c>
      <c r="V451" s="62" t="b">
        <f t="shared" ref="V451:V500" si="90">IF($G451 = ("Preemerge"),"MSM Turf 228-373")</f>
        <v>0</v>
      </c>
      <c r="W451" s="63" t="e">
        <f>VLOOKUP($V451,Herbicide_Data!$A$1:$L$17,9)</f>
        <v>#N/A</v>
      </c>
      <c r="X451" s="62" t="e">
        <f>VLOOKUP($V451,Herbicide_Data!$A$1:$L$17,12)</f>
        <v>#N/A</v>
      </c>
      <c r="Y451" s="16" t="e">
        <f t="shared" si="85"/>
        <v>#N/A</v>
      </c>
      <c r="Z451" s="15"/>
      <c r="AA451" s="13"/>
      <c r="AB451" s="17"/>
      <c r="AC451" s="3"/>
      <c r="AD451" s="10"/>
      <c r="AE451" s="3"/>
      <c r="AF451" s="10"/>
      <c r="AG451" s="15"/>
      <c r="AH451" s="62" t="str">
        <f t="shared" si="80"/>
        <v/>
      </c>
      <c r="AI451" s="62" t="e">
        <f>VLOOKUP($AH451,Herbicide_Data!$A$1:$Q$61,13)</f>
        <v>#N/A</v>
      </c>
      <c r="AJ451" s="16" t="e">
        <f t="shared" si="86"/>
        <v>#N/A</v>
      </c>
      <c r="AK451" s="3"/>
      <c r="AL451" s="3"/>
      <c r="AM451" s="3"/>
      <c r="AN451" s="3"/>
      <c r="AO451" s="3"/>
      <c r="AP451" s="3"/>
      <c r="AQ451" s="18"/>
      <c r="AR451" s="19"/>
      <c r="AS451" s="19"/>
      <c r="AT451" s="20"/>
      <c r="AU451" s="20"/>
      <c r="AV451" s="21"/>
      <c r="AW451" s="22"/>
      <c r="AX451" s="19"/>
      <c r="AY451" s="19"/>
      <c r="AZ451" s="19"/>
      <c r="BA451" s="23"/>
      <c r="BB451" s="19"/>
      <c r="BC451" s="19"/>
      <c r="BD451" s="19"/>
    </row>
    <row r="452" spans="1:56">
      <c r="A452" s="13"/>
      <c r="B452" s="11"/>
      <c r="C452" s="12"/>
      <c r="D452" s="12">
        <f t="shared" si="81"/>
        <v>2.0833299999999999E-2</v>
      </c>
      <c r="E452" s="10"/>
      <c r="F452" s="10" t="str">
        <f>IFERROR(VLOOKUP(E452,Data!A$2:B$5,2,TRUE), "")</f>
        <v/>
      </c>
      <c r="G452" s="3"/>
      <c r="H452" s="13" t="str">
        <f>IFERROR(VLOOKUP(A452,Customer_Data!$A$1:$P$114,8,TRUE),"")</f>
        <v/>
      </c>
      <c r="I452" s="13"/>
      <c r="J452" s="3" t="str">
        <f t="shared" si="87"/>
        <v/>
      </c>
      <c r="K452" s="62" t="e">
        <f>(VLOOKUP($J452,Herbicide_Data!$A$1:$L$61,9,TRUE))</f>
        <v>#N/A</v>
      </c>
      <c r="L452" s="62" t="e">
        <f>VLOOKUP($J452,Herbicide_Data!$A$1:$L$61,12,TRUE)</f>
        <v>#N/A</v>
      </c>
      <c r="M452" s="16" t="e">
        <f t="shared" si="82"/>
        <v>#N/A</v>
      </c>
      <c r="N452" s="62" t="str">
        <f t="shared" si="88"/>
        <v/>
      </c>
      <c r="O452" s="63" t="e">
        <f>VLOOKUP($N452,Herbicide_Data!$A$1:$L$61,9)</f>
        <v>#N/A</v>
      </c>
      <c r="P452" s="62" t="e">
        <f>VLOOKUP($N452,Herbicide_Data!$A$1:$P$61,13)</f>
        <v>#N/A</v>
      </c>
      <c r="Q452" s="16" t="e">
        <f t="shared" si="83"/>
        <v>#N/A</v>
      </c>
      <c r="R452" s="62" t="str">
        <f t="shared" si="89"/>
        <v/>
      </c>
      <c r="S452" s="63" t="e">
        <f>VLOOKUP($R452,Herbicide_Data!$A$1:$L$61,9)</f>
        <v>#N/A</v>
      </c>
      <c r="T452" s="62" t="e">
        <f>VLOOKUP($R452,Herbicide_Data!$A$1:$Q$61,13)</f>
        <v>#N/A</v>
      </c>
      <c r="U452" s="16" t="e">
        <f t="shared" si="84"/>
        <v>#N/A</v>
      </c>
      <c r="V452" s="62" t="b">
        <f t="shared" si="90"/>
        <v>0</v>
      </c>
      <c r="W452" s="63" t="e">
        <f>VLOOKUP($V452,Herbicide_Data!$A$1:$L$17,9)</f>
        <v>#N/A</v>
      </c>
      <c r="X452" s="62" t="e">
        <f>VLOOKUP($V452,Herbicide_Data!$A$1:$L$17,12)</f>
        <v>#N/A</v>
      </c>
      <c r="Y452" s="16" t="e">
        <f t="shared" si="85"/>
        <v>#N/A</v>
      </c>
      <c r="Z452" s="15"/>
      <c r="AA452" s="13"/>
      <c r="AB452" s="17"/>
      <c r="AC452" s="3"/>
      <c r="AD452" s="10"/>
      <c r="AE452" s="3"/>
      <c r="AF452" s="10"/>
      <c r="AG452" s="15"/>
      <c r="AH452" s="62" t="str">
        <f t="shared" si="80"/>
        <v/>
      </c>
      <c r="AI452" s="62" t="e">
        <f>VLOOKUP($AH452,Herbicide_Data!$A$1:$Q$61,13)</f>
        <v>#N/A</v>
      </c>
      <c r="AJ452" s="16" t="e">
        <f t="shared" si="86"/>
        <v>#N/A</v>
      </c>
      <c r="AK452" s="3"/>
      <c r="AL452" s="3"/>
      <c r="AM452" s="3"/>
      <c r="AN452" s="3"/>
      <c r="AO452" s="3"/>
      <c r="AP452" s="3"/>
      <c r="AQ452" s="18"/>
      <c r="AR452" s="19"/>
      <c r="AS452" s="19"/>
      <c r="AT452" s="20"/>
      <c r="AU452" s="20"/>
      <c r="AV452" s="21"/>
      <c r="AW452" s="22"/>
      <c r="AX452" s="19"/>
      <c r="AY452" s="19"/>
      <c r="AZ452" s="19"/>
      <c r="BA452" s="23"/>
      <c r="BB452" s="19"/>
      <c r="BC452" s="19"/>
      <c r="BD452" s="19"/>
    </row>
    <row r="453" spans="1:56">
      <c r="A453" s="13"/>
      <c r="B453" s="11"/>
      <c r="C453" s="12"/>
      <c r="D453" s="12">
        <f t="shared" si="81"/>
        <v>2.0833299999999999E-2</v>
      </c>
      <c r="E453" s="10"/>
      <c r="F453" s="10" t="str">
        <f>IFERROR(VLOOKUP(E453,Data!A$2:B$5,2,TRUE), "")</f>
        <v/>
      </c>
      <c r="G453" s="3"/>
      <c r="H453" s="13" t="str">
        <f>IFERROR(VLOOKUP(A453,Customer_Data!$A$1:$P$114,8,TRUE),"")</f>
        <v/>
      </c>
      <c r="I453" s="13"/>
      <c r="J453" s="3" t="str">
        <f t="shared" si="87"/>
        <v/>
      </c>
      <c r="K453" s="62" t="e">
        <f>(VLOOKUP($J453,Herbicide_Data!$A$1:$L$61,9,TRUE))</f>
        <v>#N/A</v>
      </c>
      <c r="L453" s="62" t="e">
        <f>VLOOKUP($J453,Herbicide_Data!$A$1:$L$61,12,TRUE)</f>
        <v>#N/A</v>
      </c>
      <c r="M453" s="16" t="e">
        <f t="shared" si="82"/>
        <v>#N/A</v>
      </c>
      <c r="N453" s="62" t="str">
        <f t="shared" si="88"/>
        <v/>
      </c>
      <c r="O453" s="63" t="e">
        <f>VLOOKUP($N453,Herbicide_Data!$A$1:$L$61,9)</f>
        <v>#N/A</v>
      </c>
      <c r="P453" s="62" t="e">
        <f>VLOOKUP($N453,Herbicide_Data!$A$1:$P$61,13)</f>
        <v>#N/A</v>
      </c>
      <c r="Q453" s="16" t="e">
        <f t="shared" si="83"/>
        <v>#N/A</v>
      </c>
      <c r="R453" s="62" t="str">
        <f t="shared" si="89"/>
        <v/>
      </c>
      <c r="S453" s="63" t="e">
        <f>VLOOKUP($R453,Herbicide_Data!$A$1:$L$61,9)</f>
        <v>#N/A</v>
      </c>
      <c r="T453" s="62" t="e">
        <f>VLOOKUP($R453,Herbicide_Data!$A$1:$Q$61,13)</f>
        <v>#N/A</v>
      </c>
      <c r="U453" s="16" t="e">
        <f t="shared" si="84"/>
        <v>#N/A</v>
      </c>
      <c r="V453" s="62" t="b">
        <f t="shared" si="90"/>
        <v>0</v>
      </c>
      <c r="W453" s="63" t="e">
        <f>VLOOKUP($V453,Herbicide_Data!$A$1:$L$17,9)</f>
        <v>#N/A</v>
      </c>
      <c r="X453" s="62" t="e">
        <f>VLOOKUP($V453,Herbicide_Data!$A$1:$L$17,12)</f>
        <v>#N/A</v>
      </c>
      <c r="Y453" s="16" t="e">
        <f t="shared" si="85"/>
        <v>#N/A</v>
      </c>
      <c r="Z453" s="15"/>
      <c r="AA453" s="13"/>
      <c r="AB453" s="17"/>
      <c r="AC453" s="3"/>
      <c r="AD453" s="10"/>
      <c r="AE453" s="3"/>
      <c r="AF453" s="10"/>
      <c r="AG453" s="15"/>
      <c r="AH453" s="62" t="str">
        <f t="shared" si="80"/>
        <v/>
      </c>
      <c r="AI453" s="62" t="e">
        <f>VLOOKUP($AH453,Herbicide_Data!$A$1:$Q$61,13)</f>
        <v>#N/A</v>
      </c>
      <c r="AJ453" s="16" t="e">
        <f t="shared" si="86"/>
        <v>#N/A</v>
      </c>
      <c r="AK453" s="3"/>
      <c r="AL453" s="3"/>
      <c r="AM453" s="3"/>
      <c r="AN453" s="3"/>
      <c r="AO453" s="3"/>
      <c r="AP453" s="3"/>
      <c r="AQ453" s="18"/>
      <c r="AR453" s="19"/>
      <c r="AS453" s="19"/>
      <c r="AT453" s="20"/>
      <c r="AU453" s="20"/>
      <c r="AV453" s="21"/>
      <c r="AW453" s="22"/>
      <c r="AX453" s="19"/>
      <c r="AY453" s="19"/>
      <c r="AZ453" s="19"/>
      <c r="BA453" s="23"/>
      <c r="BB453" s="19"/>
      <c r="BC453" s="19"/>
      <c r="BD453" s="19"/>
    </row>
    <row r="454" spans="1:56">
      <c r="A454" s="13"/>
      <c r="B454" s="11"/>
      <c r="C454" s="12"/>
      <c r="D454" s="12">
        <f t="shared" si="81"/>
        <v>2.0833299999999999E-2</v>
      </c>
      <c r="E454" s="10"/>
      <c r="F454" s="10" t="str">
        <f>IFERROR(VLOOKUP(E454,Data!A$2:B$5,2,TRUE), "")</f>
        <v/>
      </c>
      <c r="G454" s="3"/>
      <c r="H454" s="13" t="str">
        <f>IFERROR(VLOOKUP(A454,Customer_Data!$A$1:$P$114,8,TRUE),"")</f>
        <v/>
      </c>
      <c r="I454" s="13"/>
      <c r="J454" s="3" t="str">
        <f t="shared" si="87"/>
        <v/>
      </c>
      <c r="K454" s="62" t="e">
        <f>(VLOOKUP($J454,Herbicide_Data!$A$1:$L$61,9,TRUE))</f>
        <v>#N/A</v>
      </c>
      <c r="L454" s="62" t="e">
        <f>VLOOKUP($J454,Herbicide_Data!$A$1:$L$61,12,TRUE)</f>
        <v>#N/A</v>
      </c>
      <c r="M454" s="16" t="e">
        <f t="shared" si="82"/>
        <v>#N/A</v>
      </c>
      <c r="N454" s="62" t="str">
        <f t="shared" si="88"/>
        <v/>
      </c>
      <c r="O454" s="63" t="e">
        <f>VLOOKUP($N454,Herbicide_Data!$A$1:$L$61,9)</f>
        <v>#N/A</v>
      </c>
      <c r="P454" s="62" t="e">
        <f>VLOOKUP($N454,Herbicide_Data!$A$1:$P$61,13)</f>
        <v>#N/A</v>
      </c>
      <c r="Q454" s="16" t="e">
        <f t="shared" si="83"/>
        <v>#N/A</v>
      </c>
      <c r="R454" s="62" t="str">
        <f t="shared" si="89"/>
        <v/>
      </c>
      <c r="S454" s="63" t="e">
        <f>VLOOKUP($R454,Herbicide_Data!$A$1:$L$61,9)</f>
        <v>#N/A</v>
      </c>
      <c r="T454" s="62" t="e">
        <f>VLOOKUP($R454,Herbicide_Data!$A$1:$Q$61,13)</f>
        <v>#N/A</v>
      </c>
      <c r="U454" s="16" t="e">
        <f t="shared" si="84"/>
        <v>#N/A</v>
      </c>
      <c r="V454" s="62" t="b">
        <f t="shared" si="90"/>
        <v>0</v>
      </c>
      <c r="W454" s="63" t="e">
        <f>VLOOKUP($V454,Herbicide_Data!$A$1:$L$17,9)</f>
        <v>#N/A</v>
      </c>
      <c r="X454" s="62" t="e">
        <f>VLOOKUP($V454,Herbicide_Data!$A$1:$L$17,12)</f>
        <v>#N/A</v>
      </c>
      <c r="Y454" s="16" t="e">
        <f t="shared" si="85"/>
        <v>#N/A</v>
      </c>
      <c r="Z454" s="15"/>
      <c r="AA454" s="13"/>
      <c r="AB454" s="17"/>
      <c r="AC454" s="3"/>
      <c r="AD454" s="10"/>
      <c r="AE454" s="3"/>
      <c r="AF454" s="10"/>
      <c r="AG454" s="15"/>
      <c r="AH454" s="62" t="str">
        <f t="shared" si="80"/>
        <v/>
      </c>
      <c r="AI454" s="62" t="e">
        <f>VLOOKUP($AH454,Herbicide_Data!$A$1:$Q$61,13)</f>
        <v>#N/A</v>
      </c>
      <c r="AJ454" s="16" t="e">
        <f t="shared" si="86"/>
        <v>#N/A</v>
      </c>
      <c r="AK454" s="3"/>
      <c r="AL454" s="3"/>
      <c r="AM454" s="3"/>
      <c r="AN454" s="3"/>
      <c r="AO454" s="3"/>
      <c r="AP454" s="3"/>
      <c r="AQ454" s="18"/>
      <c r="AR454" s="19"/>
      <c r="AS454" s="19"/>
      <c r="AT454" s="20"/>
      <c r="AU454" s="20"/>
      <c r="AV454" s="21"/>
      <c r="AW454" s="22"/>
      <c r="AX454" s="19"/>
      <c r="AY454" s="19"/>
      <c r="AZ454" s="19"/>
      <c r="BA454" s="23"/>
      <c r="BB454" s="19"/>
      <c r="BC454" s="19"/>
      <c r="BD454" s="19"/>
    </row>
    <row r="455" spans="1:56">
      <c r="A455" s="13"/>
      <c r="B455" s="11"/>
      <c r="C455" s="12"/>
      <c r="D455" s="12">
        <f t="shared" si="81"/>
        <v>2.0833299999999999E-2</v>
      </c>
      <c r="E455" s="10"/>
      <c r="F455" s="10" t="str">
        <f>IFERROR(VLOOKUP(E455,Data!A$2:B$5,2,TRUE), "")</f>
        <v/>
      </c>
      <c r="G455" s="3"/>
      <c r="H455" s="13" t="str">
        <f>IFERROR(VLOOKUP(A455,Customer_Data!$A$1:$P$114,8,TRUE),"")</f>
        <v/>
      </c>
      <c r="I455" s="13"/>
      <c r="J455" s="3" t="str">
        <f t="shared" si="87"/>
        <v/>
      </c>
      <c r="K455" s="62" t="e">
        <f>(VLOOKUP($J455,Herbicide_Data!$A$1:$L$61,9,TRUE))</f>
        <v>#N/A</v>
      </c>
      <c r="L455" s="62" t="e">
        <f>VLOOKUP($J455,Herbicide_Data!$A$1:$L$61,12,TRUE)</f>
        <v>#N/A</v>
      </c>
      <c r="M455" s="16" t="e">
        <f t="shared" si="82"/>
        <v>#N/A</v>
      </c>
      <c r="N455" s="62" t="str">
        <f t="shared" si="88"/>
        <v/>
      </c>
      <c r="O455" s="63" t="e">
        <f>VLOOKUP($N455,Herbicide_Data!$A$1:$L$61,9)</f>
        <v>#N/A</v>
      </c>
      <c r="P455" s="62" t="e">
        <f>VLOOKUP($N455,Herbicide_Data!$A$1:$P$61,13)</f>
        <v>#N/A</v>
      </c>
      <c r="Q455" s="16" t="e">
        <f t="shared" si="83"/>
        <v>#N/A</v>
      </c>
      <c r="R455" s="62" t="str">
        <f t="shared" si="89"/>
        <v/>
      </c>
      <c r="S455" s="63" t="e">
        <f>VLOOKUP($R455,Herbicide_Data!$A$1:$L$61,9)</f>
        <v>#N/A</v>
      </c>
      <c r="T455" s="62" t="e">
        <f>VLOOKUP($R455,Herbicide_Data!$A$1:$Q$61,13)</f>
        <v>#N/A</v>
      </c>
      <c r="U455" s="16" t="e">
        <f t="shared" si="84"/>
        <v>#N/A</v>
      </c>
      <c r="V455" s="62" t="b">
        <f t="shared" si="90"/>
        <v>0</v>
      </c>
      <c r="W455" s="63" t="e">
        <f>VLOOKUP($V455,Herbicide_Data!$A$1:$L$17,9)</f>
        <v>#N/A</v>
      </c>
      <c r="X455" s="62" t="e">
        <f>VLOOKUP($V455,Herbicide_Data!$A$1:$L$17,12)</f>
        <v>#N/A</v>
      </c>
      <c r="Y455" s="16" t="e">
        <f t="shared" si="85"/>
        <v>#N/A</v>
      </c>
      <c r="Z455" s="15"/>
      <c r="AA455" s="13"/>
      <c r="AB455" s="17"/>
      <c r="AC455" s="3"/>
      <c r="AD455" s="10"/>
      <c r="AE455" s="3"/>
      <c r="AF455" s="10"/>
      <c r="AG455" s="15"/>
      <c r="AH455" s="62" t="str">
        <f t="shared" si="80"/>
        <v/>
      </c>
      <c r="AI455" s="62" t="e">
        <f>VLOOKUP($AH455,Herbicide_Data!$A$1:$Q$61,13)</f>
        <v>#N/A</v>
      </c>
      <c r="AJ455" s="16" t="e">
        <f t="shared" si="86"/>
        <v>#N/A</v>
      </c>
      <c r="AK455" s="3"/>
      <c r="AL455" s="3"/>
      <c r="AM455" s="3"/>
      <c r="AN455" s="3"/>
      <c r="AO455" s="3"/>
      <c r="AP455" s="3"/>
      <c r="AQ455" s="18"/>
      <c r="AR455" s="19"/>
      <c r="AS455" s="19"/>
      <c r="AT455" s="20"/>
      <c r="AU455" s="20"/>
      <c r="AV455" s="21"/>
      <c r="AW455" s="22"/>
      <c r="AX455" s="19"/>
      <c r="AY455" s="19"/>
      <c r="AZ455" s="19"/>
      <c r="BA455" s="23"/>
      <c r="BB455" s="19"/>
      <c r="BC455" s="19"/>
      <c r="BD455" s="19"/>
    </row>
    <row r="456" spans="1:56">
      <c r="A456" s="13"/>
      <c r="B456" s="11"/>
      <c r="C456" s="12"/>
      <c r="D456" s="12">
        <f t="shared" si="81"/>
        <v>2.0833299999999999E-2</v>
      </c>
      <c r="E456" s="10"/>
      <c r="F456" s="10" t="str">
        <f>IFERROR(VLOOKUP(E456,Data!A$2:B$5,2,TRUE), "")</f>
        <v/>
      </c>
      <c r="G456" s="3"/>
      <c r="H456" s="13" t="str">
        <f>IFERROR(VLOOKUP(A456,Customer_Data!$A$1:$P$114,8,TRUE),"")</f>
        <v/>
      </c>
      <c r="I456" s="13"/>
      <c r="J456" s="3" t="str">
        <f t="shared" si="87"/>
        <v/>
      </c>
      <c r="K456" s="62" t="e">
        <f>(VLOOKUP($J456,Herbicide_Data!$A$1:$L$61,9,TRUE))</f>
        <v>#N/A</v>
      </c>
      <c r="L456" s="62" t="e">
        <f>VLOOKUP($J456,Herbicide_Data!$A$1:$L$61,12,TRUE)</f>
        <v>#N/A</v>
      </c>
      <c r="M456" s="16" t="e">
        <f t="shared" si="82"/>
        <v>#N/A</v>
      </c>
      <c r="N456" s="62" t="str">
        <f t="shared" si="88"/>
        <v/>
      </c>
      <c r="O456" s="63" t="e">
        <f>VLOOKUP($N456,Herbicide_Data!$A$1:$L$61,9)</f>
        <v>#N/A</v>
      </c>
      <c r="P456" s="62" t="e">
        <f>VLOOKUP($N456,Herbicide_Data!$A$1:$P$61,13)</f>
        <v>#N/A</v>
      </c>
      <c r="Q456" s="16" t="e">
        <f t="shared" si="83"/>
        <v>#N/A</v>
      </c>
      <c r="R456" s="62" t="str">
        <f t="shared" si="89"/>
        <v/>
      </c>
      <c r="S456" s="63" t="e">
        <f>VLOOKUP($R456,Herbicide_Data!$A$1:$L$61,9)</f>
        <v>#N/A</v>
      </c>
      <c r="T456" s="62" t="e">
        <f>VLOOKUP($R456,Herbicide_Data!$A$1:$Q$61,13)</f>
        <v>#N/A</v>
      </c>
      <c r="U456" s="16" t="e">
        <f t="shared" si="84"/>
        <v>#N/A</v>
      </c>
      <c r="V456" s="62" t="b">
        <f t="shared" si="90"/>
        <v>0</v>
      </c>
      <c r="W456" s="63" t="e">
        <f>VLOOKUP($V456,Herbicide_Data!$A$1:$L$17,9)</f>
        <v>#N/A</v>
      </c>
      <c r="X456" s="62" t="e">
        <f>VLOOKUP($V456,Herbicide_Data!$A$1:$L$17,12)</f>
        <v>#N/A</v>
      </c>
      <c r="Y456" s="16" t="e">
        <f t="shared" si="85"/>
        <v>#N/A</v>
      </c>
      <c r="Z456" s="15"/>
      <c r="AA456" s="13"/>
      <c r="AB456" s="17"/>
      <c r="AC456" s="3"/>
      <c r="AD456" s="10"/>
      <c r="AE456" s="3"/>
      <c r="AF456" s="10"/>
      <c r="AG456" s="15"/>
      <c r="AH456" s="62" t="str">
        <f t="shared" si="80"/>
        <v/>
      </c>
      <c r="AI456" s="62" t="e">
        <f>VLOOKUP($AH456,Herbicide_Data!$A$1:$Q$61,13)</f>
        <v>#N/A</v>
      </c>
      <c r="AJ456" s="16" t="e">
        <f t="shared" si="86"/>
        <v>#N/A</v>
      </c>
      <c r="AK456" s="3"/>
      <c r="AL456" s="3"/>
      <c r="AM456" s="3"/>
      <c r="AN456" s="3"/>
      <c r="AO456" s="3"/>
      <c r="AP456" s="3"/>
      <c r="AQ456" s="18"/>
      <c r="AR456" s="19"/>
      <c r="AS456" s="19"/>
      <c r="AT456" s="20"/>
      <c r="AU456" s="20"/>
      <c r="AV456" s="21"/>
      <c r="AW456" s="22"/>
      <c r="AX456" s="19"/>
      <c r="AY456" s="19"/>
      <c r="AZ456" s="19"/>
      <c r="BA456" s="23"/>
      <c r="BB456" s="19"/>
      <c r="BC456" s="19"/>
      <c r="BD456" s="19"/>
    </row>
    <row r="457" spans="1:56">
      <c r="A457" s="13"/>
      <c r="B457" s="11"/>
      <c r="C457" s="12"/>
      <c r="D457" s="12">
        <f t="shared" si="81"/>
        <v>2.0833299999999999E-2</v>
      </c>
      <c r="E457" s="10"/>
      <c r="F457" s="10" t="str">
        <f>IFERROR(VLOOKUP(E457,Data!A$2:B$5,2,TRUE), "")</f>
        <v/>
      </c>
      <c r="G457" s="3"/>
      <c r="H457" s="13" t="str">
        <f>IFERROR(VLOOKUP(A457,Customer_Data!$A$1:$P$114,8,TRUE),"")</f>
        <v/>
      </c>
      <c r="I457" s="13"/>
      <c r="J457" s="3" t="str">
        <f t="shared" si="87"/>
        <v/>
      </c>
      <c r="K457" s="62" t="e">
        <f>(VLOOKUP($J457,Herbicide_Data!$A$1:$L$61,9,TRUE))</f>
        <v>#N/A</v>
      </c>
      <c r="L457" s="62" t="e">
        <f>VLOOKUP($J457,Herbicide_Data!$A$1:$L$61,12,TRUE)</f>
        <v>#N/A</v>
      </c>
      <c r="M457" s="16" t="e">
        <f t="shared" si="82"/>
        <v>#N/A</v>
      </c>
      <c r="N457" s="62" t="str">
        <f t="shared" si="88"/>
        <v/>
      </c>
      <c r="O457" s="63" t="e">
        <f>VLOOKUP($N457,Herbicide_Data!$A$1:$L$61,9)</f>
        <v>#N/A</v>
      </c>
      <c r="P457" s="62" t="e">
        <f>VLOOKUP($N457,Herbicide_Data!$A$1:$P$61,13)</f>
        <v>#N/A</v>
      </c>
      <c r="Q457" s="16" t="e">
        <f t="shared" si="83"/>
        <v>#N/A</v>
      </c>
      <c r="R457" s="62" t="str">
        <f t="shared" si="89"/>
        <v/>
      </c>
      <c r="S457" s="63" t="e">
        <f>VLOOKUP($R457,Herbicide_Data!$A$1:$L$61,9)</f>
        <v>#N/A</v>
      </c>
      <c r="T457" s="62" t="e">
        <f>VLOOKUP($R457,Herbicide_Data!$A$1:$Q$61,13)</f>
        <v>#N/A</v>
      </c>
      <c r="U457" s="16" t="e">
        <f t="shared" si="84"/>
        <v>#N/A</v>
      </c>
      <c r="V457" s="62" t="b">
        <f t="shared" si="90"/>
        <v>0</v>
      </c>
      <c r="W457" s="63" t="e">
        <f>VLOOKUP($V457,Herbicide_Data!$A$1:$L$17,9)</f>
        <v>#N/A</v>
      </c>
      <c r="X457" s="62" t="e">
        <f>VLOOKUP($V457,Herbicide_Data!$A$1:$L$17,12)</f>
        <v>#N/A</v>
      </c>
      <c r="Y457" s="16" t="e">
        <f t="shared" si="85"/>
        <v>#N/A</v>
      </c>
      <c r="Z457" s="15"/>
      <c r="AA457" s="13"/>
      <c r="AB457" s="17"/>
      <c r="AC457" s="3"/>
      <c r="AD457" s="10"/>
      <c r="AE457" s="3"/>
      <c r="AF457" s="10"/>
      <c r="AG457" s="15"/>
      <c r="AH457" s="62" t="str">
        <f t="shared" si="80"/>
        <v/>
      </c>
      <c r="AI457" s="62" t="e">
        <f>VLOOKUP($AH457,Herbicide_Data!$A$1:$Q$61,13)</f>
        <v>#N/A</v>
      </c>
      <c r="AJ457" s="16" t="e">
        <f t="shared" si="86"/>
        <v>#N/A</v>
      </c>
      <c r="AK457" s="3"/>
      <c r="AL457" s="3"/>
      <c r="AM457" s="3"/>
      <c r="AN457" s="3"/>
      <c r="AO457" s="3"/>
      <c r="AP457" s="3"/>
      <c r="AQ457" s="18"/>
      <c r="AR457" s="19"/>
      <c r="AS457" s="19"/>
      <c r="AT457" s="20"/>
      <c r="AU457" s="20"/>
      <c r="AV457" s="21"/>
      <c r="AW457" s="22"/>
      <c r="AX457" s="19"/>
      <c r="AY457" s="19"/>
      <c r="AZ457" s="19"/>
      <c r="BA457" s="23"/>
      <c r="BB457" s="19"/>
      <c r="BC457" s="19"/>
      <c r="BD457" s="19"/>
    </row>
    <row r="458" spans="1:56">
      <c r="A458" s="13"/>
      <c r="B458" s="11"/>
      <c r="C458" s="12"/>
      <c r="D458" s="12">
        <f t="shared" si="81"/>
        <v>2.0833299999999999E-2</v>
      </c>
      <c r="E458" s="10"/>
      <c r="F458" s="10" t="str">
        <f>IFERROR(VLOOKUP(E458,Data!A$2:B$5,2,TRUE), "")</f>
        <v/>
      </c>
      <c r="G458" s="3"/>
      <c r="H458" s="13" t="str">
        <f>IFERROR(VLOOKUP(A458,Customer_Data!$A$1:$P$114,8,TRUE),"")</f>
        <v/>
      </c>
      <c r="I458" s="13"/>
      <c r="J458" s="3" t="str">
        <f t="shared" si="87"/>
        <v/>
      </c>
      <c r="K458" s="62" t="e">
        <f>(VLOOKUP($J458,Herbicide_Data!$A$1:$L$61,9,TRUE))</f>
        <v>#N/A</v>
      </c>
      <c r="L458" s="62" t="e">
        <f>VLOOKUP($J458,Herbicide_Data!$A$1:$L$61,12,TRUE)</f>
        <v>#N/A</v>
      </c>
      <c r="M458" s="16" t="e">
        <f t="shared" si="82"/>
        <v>#N/A</v>
      </c>
      <c r="N458" s="62" t="str">
        <f t="shared" si="88"/>
        <v/>
      </c>
      <c r="O458" s="63" t="e">
        <f>VLOOKUP($N458,Herbicide_Data!$A$1:$L$61,9)</f>
        <v>#N/A</v>
      </c>
      <c r="P458" s="62" t="e">
        <f>VLOOKUP($N458,Herbicide_Data!$A$1:$P$61,13)</f>
        <v>#N/A</v>
      </c>
      <c r="Q458" s="16" t="e">
        <f t="shared" si="83"/>
        <v>#N/A</v>
      </c>
      <c r="R458" s="62" t="str">
        <f t="shared" si="89"/>
        <v/>
      </c>
      <c r="S458" s="63" t="e">
        <f>VLOOKUP($R458,Herbicide_Data!$A$1:$L$61,9)</f>
        <v>#N/A</v>
      </c>
      <c r="T458" s="62" t="e">
        <f>VLOOKUP($R458,Herbicide_Data!$A$1:$Q$61,13)</f>
        <v>#N/A</v>
      </c>
      <c r="U458" s="16" t="e">
        <f t="shared" si="84"/>
        <v>#N/A</v>
      </c>
      <c r="V458" s="62" t="b">
        <f t="shared" si="90"/>
        <v>0</v>
      </c>
      <c r="W458" s="63" t="e">
        <f>VLOOKUP($V458,Herbicide_Data!$A$1:$L$17,9)</f>
        <v>#N/A</v>
      </c>
      <c r="X458" s="62" t="e">
        <f>VLOOKUP($V458,Herbicide_Data!$A$1:$L$17,12)</f>
        <v>#N/A</v>
      </c>
      <c r="Y458" s="16" t="e">
        <f t="shared" si="85"/>
        <v>#N/A</v>
      </c>
      <c r="Z458" s="15"/>
      <c r="AA458" s="13"/>
      <c r="AB458" s="17"/>
      <c r="AC458" s="3"/>
      <c r="AD458" s="10"/>
      <c r="AE458" s="3"/>
      <c r="AF458" s="10"/>
      <c r="AG458" s="15"/>
      <c r="AH458" s="62" t="str">
        <f t="shared" si="80"/>
        <v/>
      </c>
      <c r="AI458" s="62" t="e">
        <f>VLOOKUP($AH458,Herbicide_Data!$A$1:$Q$61,13)</f>
        <v>#N/A</v>
      </c>
      <c r="AJ458" s="16" t="e">
        <f t="shared" si="86"/>
        <v>#N/A</v>
      </c>
      <c r="AK458" s="3"/>
      <c r="AL458" s="3"/>
      <c r="AM458" s="3"/>
      <c r="AN458" s="3"/>
      <c r="AO458" s="3"/>
      <c r="AP458" s="3"/>
      <c r="AQ458" s="18"/>
      <c r="AR458" s="19"/>
      <c r="AS458" s="19"/>
      <c r="AT458" s="20"/>
      <c r="AU458" s="20"/>
      <c r="AV458" s="21"/>
      <c r="AW458" s="22"/>
      <c r="AX458" s="19"/>
      <c r="AY458" s="19"/>
      <c r="AZ458" s="19"/>
      <c r="BA458" s="23"/>
      <c r="BB458" s="19"/>
      <c r="BC458" s="19"/>
      <c r="BD458" s="19"/>
    </row>
    <row r="459" spans="1:56">
      <c r="A459" s="13"/>
      <c r="B459" s="11"/>
      <c r="C459" s="12"/>
      <c r="D459" s="12">
        <f t="shared" si="81"/>
        <v>2.0833299999999999E-2</v>
      </c>
      <c r="E459" s="10"/>
      <c r="F459" s="10" t="str">
        <f>IFERROR(VLOOKUP(E459,Data!A$2:B$5,2,TRUE), "")</f>
        <v/>
      </c>
      <c r="G459" s="3"/>
      <c r="H459" s="13" t="str">
        <f>IFERROR(VLOOKUP(A459,Customer_Data!$A$1:$P$114,8,TRUE),"")</f>
        <v/>
      </c>
      <c r="I459" s="13"/>
      <c r="J459" s="3" t="str">
        <f t="shared" si="87"/>
        <v/>
      </c>
      <c r="K459" s="62" t="e">
        <f>(VLOOKUP($J459,Herbicide_Data!$A$1:$L$61,9,TRUE))</f>
        <v>#N/A</v>
      </c>
      <c r="L459" s="62" t="e">
        <f>VLOOKUP($J459,Herbicide_Data!$A$1:$L$61,12,TRUE)</f>
        <v>#N/A</v>
      </c>
      <c r="M459" s="16" t="e">
        <f t="shared" si="82"/>
        <v>#N/A</v>
      </c>
      <c r="N459" s="62" t="str">
        <f t="shared" si="88"/>
        <v/>
      </c>
      <c r="O459" s="63" t="e">
        <f>VLOOKUP($N459,Herbicide_Data!$A$1:$L$61,9)</f>
        <v>#N/A</v>
      </c>
      <c r="P459" s="62" t="e">
        <f>VLOOKUP($N459,Herbicide_Data!$A$1:$P$61,13)</f>
        <v>#N/A</v>
      </c>
      <c r="Q459" s="16" t="e">
        <f t="shared" si="83"/>
        <v>#N/A</v>
      </c>
      <c r="R459" s="62" t="str">
        <f t="shared" si="89"/>
        <v/>
      </c>
      <c r="S459" s="63" t="e">
        <f>VLOOKUP($R459,Herbicide_Data!$A$1:$L$61,9)</f>
        <v>#N/A</v>
      </c>
      <c r="T459" s="62" t="e">
        <f>VLOOKUP($R459,Herbicide_Data!$A$1:$Q$61,13)</f>
        <v>#N/A</v>
      </c>
      <c r="U459" s="16" t="e">
        <f t="shared" si="84"/>
        <v>#N/A</v>
      </c>
      <c r="V459" s="62" t="b">
        <f t="shared" si="90"/>
        <v>0</v>
      </c>
      <c r="W459" s="63" t="e">
        <f>VLOOKUP($V459,Herbicide_Data!$A$1:$L$17,9)</f>
        <v>#N/A</v>
      </c>
      <c r="X459" s="62" t="e">
        <f>VLOOKUP($V459,Herbicide_Data!$A$1:$L$17,12)</f>
        <v>#N/A</v>
      </c>
      <c r="Y459" s="16" t="e">
        <f t="shared" si="85"/>
        <v>#N/A</v>
      </c>
      <c r="Z459" s="15"/>
      <c r="AA459" s="13"/>
      <c r="AB459" s="17"/>
      <c r="AC459" s="3"/>
      <c r="AD459" s="10"/>
      <c r="AE459" s="3"/>
      <c r="AF459" s="10"/>
      <c r="AG459" s="15"/>
      <c r="AH459" s="62" t="str">
        <f t="shared" si="80"/>
        <v/>
      </c>
      <c r="AI459" s="62" t="e">
        <f>VLOOKUP($AH459,Herbicide_Data!$A$1:$Q$61,13)</f>
        <v>#N/A</v>
      </c>
      <c r="AJ459" s="16" t="e">
        <f t="shared" si="86"/>
        <v>#N/A</v>
      </c>
      <c r="AK459" s="3"/>
      <c r="AL459" s="3"/>
      <c r="AM459" s="3"/>
      <c r="AN459" s="3"/>
      <c r="AO459" s="3"/>
      <c r="AP459" s="3"/>
      <c r="AQ459" s="18"/>
      <c r="AR459" s="19"/>
      <c r="AS459" s="19"/>
      <c r="AT459" s="20"/>
      <c r="AU459" s="20"/>
      <c r="AV459" s="21"/>
      <c r="AW459" s="22"/>
      <c r="AX459" s="19"/>
      <c r="AY459" s="19"/>
      <c r="AZ459" s="19"/>
      <c r="BA459" s="23"/>
      <c r="BB459" s="19"/>
      <c r="BC459" s="19"/>
      <c r="BD459" s="19"/>
    </row>
    <row r="460" spans="1:56">
      <c r="A460" s="13"/>
      <c r="B460" s="11"/>
      <c r="C460" s="12"/>
      <c r="D460" s="12">
        <f t="shared" si="81"/>
        <v>2.0833299999999999E-2</v>
      </c>
      <c r="E460" s="10"/>
      <c r="F460" s="10" t="str">
        <f>IFERROR(VLOOKUP(E460,Data!A$2:B$5,2,TRUE), "")</f>
        <v/>
      </c>
      <c r="G460" s="3"/>
      <c r="H460" s="13" t="str">
        <f>IFERROR(VLOOKUP(A460,Customer_Data!$A$1:$P$114,8,TRUE),"")</f>
        <v/>
      </c>
      <c r="I460" s="13"/>
      <c r="J460" s="3" t="str">
        <f t="shared" si="87"/>
        <v/>
      </c>
      <c r="K460" s="62" t="e">
        <f>(VLOOKUP($J460,Herbicide_Data!$A$1:$L$61,9,TRUE))</f>
        <v>#N/A</v>
      </c>
      <c r="L460" s="62" t="e">
        <f>VLOOKUP($J460,Herbicide_Data!$A$1:$L$61,12,TRUE)</f>
        <v>#N/A</v>
      </c>
      <c r="M460" s="16" t="e">
        <f t="shared" si="82"/>
        <v>#N/A</v>
      </c>
      <c r="N460" s="62" t="str">
        <f t="shared" si="88"/>
        <v/>
      </c>
      <c r="O460" s="63" t="e">
        <f>VLOOKUP($N460,Herbicide_Data!$A$1:$L$61,9)</f>
        <v>#N/A</v>
      </c>
      <c r="P460" s="62" t="e">
        <f>VLOOKUP($N460,Herbicide_Data!$A$1:$P$61,13)</f>
        <v>#N/A</v>
      </c>
      <c r="Q460" s="16" t="e">
        <f t="shared" si="83"/>
        <v>#N/A</v>
      </c>
      <c r="R460" s="62" t="str">
        <f t="shared" si="89"/>
        <v/>
      </c>
      <c r="S460" s="63" t="e">
        <f>VLOOKUP($R460,Herbicide_Data!$A$1:$L$61,9)</f>
        <v>#N/A</v>
      </c>
      <c r="T460" s="62" t="e">
        <f>VLOOKUP($R460,Herbicide_Data!$A$1:$Q$61,13)</f>
        <v>#N/A</v>
      </c>
      <c r="U460" s="16" t="e">
        <f t="shared" si="84"/>
        <v>#N/A</v>
      </c>
      <c r="V460" s="62" t="b">
        <f t="shared" si="90"/>
        <v>0</v>
      </c>
      <c r="W460" s="63" t="e">
        <f>VLOOKUP($V460,Herbicide_Data!$A$1:$L$17,9)</f>
        <v>#N/A</v>
      </c>
      <c r="X460" s="62" t="e">
        <f>VLOOKUP($V460,Herbicide_Data!$A$1:$L$17,12)</f>
        <v>#N/A</v>
      </c>
      <c r="Y460" s="16" t="e">
        <f t="shared" si="85"/>
        <v>#N/A</v>
      </c>
      <c r="Z460" s="15"/>
      <c r="AA460" s="13"/>
      <c r="AB460" s="17"/>
      <c r="AC460" s="3"/>
      <c r="AD460" s="10"/>
      <c r="AE460" s="3"/>
      <c r="AF460" s="10"/>
      <c r="AG460" s="15"/>
      <c r="AH460" s="62" t="str">
        <f t="shared" si="80"/>
        <v/>
      </c>
      <c r="AI460" s="62" t="e">
        <f>VLOOKUP($AH460,Herbicide_Data!$A$1:$Q$61,13)</f>
        <v>#N/A</v>
      </c>
      <c r="AJ460" s="16" t="e">
        <f t="shared" si="86"/>
        <v>#N/A</v>
      </c>
      <c r="AK460" s="3"/>
      <c r="AL460" s="3"/>
      <c r="AM460" s="3"/>
      <c r="AN460" s="3"/>
      <c r="AO460" s="3"/>
      <c r="AP460" s="3"/>
      <c r="AQ460" s="18"/>
      <c r="AR460" s="19"/>
      <c r="AS460" s="19"/>
      <c r="AT460" s="20"/>
      <c r="AU460" s="20"/>
      <c r="AV460" s="21"/>
      <c r="AW460" s="22"/>
      <c r="AX460" s="19"/>
      <c r="AY460" s="19"/>
      <c r="AZ460" s="19"/>
      <c r="BA460" s="23"/>
      <c r="BB460" s="19"/>
      <c r="BC460" s="19"/>
      <c r="BD460" s="19"/>
    </row>
    <row r="461" spans="1:56">
      <c r="A461" s="13"/>
      <c r="B461" s="11"/>
      <c r="C461" s="12"/>
      <c r="D461" s="12">
        <f t="shared" si="81"/>
        <v>2.0833299999999999E-2</v>
      </c>
      <c r="E461" s="10"/>
      <c r="F461" s="10" t="str">
        <f>IFERROR(VLOOKUP(E461,Data!A$2:B$5,2,TRUE), "")</f>
        <v/>
      </c>
      <c r="G461" s="3"/>
      <c r="H461" s="13" t="str">
        <f>IFERROR(VLOOKUP(A461,Customer_Data!$A$1:$P$114,8,TRUE),"")</f>
        <v/>
      </c>
      <c r="I461" s="13"/>
      <c r="J461" s="3" t="str">
        <f t="shared" si="87"/>
        <v/>
      </c>
      <c r="K461" s="62" t="e">
        <f>(VLOOKUP($J461,Herbicide_Data!$A$1:$L$61,9,TRUE))</f>
        <v>#N/A</v>
      </c>
      <c r="L461" s="62" t="e">
        <f>VLOOKUP($J461,Herbicide_Data!$A$1:$L$61,12,TRUE)</f>
        <v>#N/A</v>
      </c>
      <c r="M461" s="16" t="e">
        <f t="shared" si="82"/>
        <v>#N/A</v>
      </c>
      <c r="N461" s="62" t="str">
        <f t="shared" si="88"/>
        <v/>
      </c>
      <c r="O461" s="63" t="e">
        <f>VLOOKUP($N461,Herbicide_Data!$A$1:$L$61,9)</f>
        <v>#N/A</v>
      </c>
      <c r="P461" s="62" t="e">
        <f>VLOOKUP($N461,Herbicide_Data!$A$1:$P$61,13)</f>
        <v>#N/A</v>
      </c>
      <c r="Q461" s="16" t="e">
        <f t="shared" si="83"/>
        <v>#N/A</v>
      </c>
      <c r="R461" s="62" t="str">
        <f t="shared" si="89"/>
        <v/>
      </c>
      <c r="S461" s="63" t="e">
        <f>VLOOKUP($R461,Herbicide_Data!$A$1:$L$61,9)</f>
        <v>#N/A</v>
      </c>
      <c r="T461" s="62" t="e">
        <f>VLOOKUP($R461,Herbicide_Data!$A$1:$Q$61,13)</f>
        <v>#N/A</v>
      </c>
      <c r="U461" s="16" t="e">
        <f t="shared" si="84"/>
        <v>#N/A</v>
      </c>
      <c r="V461" s="62" t="b">
        <f t="shared" si="90"/>
        <v>0</v>
      </c>
      <c r="W461" s="63" t="e">
        <f>VLOOKUP($V461,Herbicide_Data!$A$1:$L$17,9)</f>
        <v>#N/A</v>
      </c>
      <c r="X461" s="62" t="e">
        <f>VLOOKUP($V461,Herbicide_Data!$A$1:$L$17,12)</f>
        <v>#N/A</v>
      </c>
      <c r="Y461" s="16" t="e">
        <f t="shared" si="85"/>
        <v>#N/A</v>
      </c>
      <c r="Z461" s="15"/>
      <c r="AA461" s="13"/>
      <c r="AB461" s="17"/>
      <c r="AC461" s="3"/>
      <c r="AD461" s="10"/>
      <c r="AE461" s="3"/>
      <c r="AF461" s="10"/>
      <c r="AG461" s="15"/>
      <c r="AH461" s="62" t="str">
        <f t="shared" si="80"/>
        <v/>
      </c>
      <c r="AI461" s="62" t="e">
        <f>VLOOKUP($AH461,Herbicide_Data!$A$1:$Q$61,13)</f>
        <v>#N/A</v>
      </c>
      <c r="AJ461" s="16" t="e">
        <f t="shared" si="86"/>
        <v>#N/A</v>
      </c>
      <c r="AK461" s="3"/>
      <c r="AL461" s="3"/>
      <c r="AM461" s="3"/>
      <c r="AN461" s="3"/>
      <c r="AO461" s="3"/>
      <c r="AP461" s="3"/>
      <c r="AQ461" s="18"/>
      <c r="AR461" s="19"/>
      <c r="AS461" s="19"/>
      <c r="AT461" s="20"/>
      <c r="AU461" s="20"/>
      <c r="AV461" s="21"/>
      <c r="AW461" s="22"/>
      <c r="AX461" s="19"/>
      <c r="AY461" s="19"/>
      <c r="AZ461" s="19"/>
      <c r="BA461" s="23"/>
      <c r="BB461" s="19"/>
      <c r="BC461" s="19"/>
      <c r="BD461" s="19"/>
    </row>
    <row r="462" spans="1:56">
      <c r="A462" s="13"/>
      <c r="B462" s="11"/>
      <c r="C462" s="12"/>
      <c r="D462" s="12">
        <f t="shared" si="81"/>
        <v>2.0833299999999999E-2</v>
      </c>
      <c r="E462" s="10"/>
      <c r="F462" s="10" t="str">
        <f>IFERROR(VLOOKUP(E462,Data!A$2:B$5,2,TRUE), "")</f>
        <v/>
      </c>
      <c r="G462" s="3"/>
      <c r="H462" s="13" t="str">
        <f>IFERROR(VLOOKUP(A462,Customer_Data!$A$1:$P$114,8,TRUE),"")</f>
        <v/>
      </c>
      <c r="I462" s="13"/>
      <c r="J462" s="3" t="str">
        <f t="shared" si="87"/>
        <v/>
      </c>
      <c r="K462" s="62" t="e">
        <f>(VLOOKUP($J462,Herbicide_Data!$A$1:$L$61,9,TRUE))</f>
        <v>#N/A</v>
      </c>
      <c r="L462" s="62" t="e">
        <f>VLOOKUP($J462,Herbicide_Data!$A$1:$L$61,12,TRUE)</f>
        <v>#N/A</v>
      </c>
      <c r="M462" s="16" t="e">
        <f t="shared" si="82"/>
        <v>#N/A</v>
      </c>
      <c r="N462" s="62" t="str">
        <f t="shared" si="88"/>
        <v/>
      </c>
      <c r="O462" s="63" t="e">
        <f>VLOOKUP($N462,Herbicide_Data!$A$1:$L$61,9)</f>
        <v>#N/A</v>
      </c>
      <c r="P462" s="62" t="e">
        <f>VLOOKUP($N462,Herbicide_Data!$A$1:$P$61,13)</f>
        <v>#N/A</v>
      </c>
      <c r="Q462" s="16" t="e">
        <f t="shared" si="83"/>
        <v>#N/A</v>
      </c>
      <c r="R462" s="62" t="str">
        <f t="shared" si="89"/>
        <v/>
      </c>
      <c r="S462" s="63" t="e">
        <f>VLOOKUP($R462,Herbicide_Data!$A$1:$L$61,9)</f>
        <v>#N/A</v>
      </c>
      <c r="T462" s="62" t="e">
        <f>VLOOKUP($R462,Herbicide_Data!$A$1:$Q$61,13)</f>
        <v>#N/A</v>
      </c>
      <c r="U462" s="16" t="e">
        <f t="shared" si="84"/>
        <v>#N/A</v>
      </c>
      <c r="V462" s="62" t="b">
        <f t="shared" si="90"/>
        <v>0</v>
      </c>
      <c r="W462" s="63" t="e">
        <f>VLOOKUP($V462,Herbicide_Data!$A$1:$L$17,9)</f>
        <v>#N/A</v>
      </c>
      <c r="X462" s="62" t="e">
        <f>VLOOKUP($V462,Herbicide_Data!$A$1:$L$17,12)</f>
        <v>#N/A</v>
      </c>
      <c r="Y462" s="16" t="e">
        <f t="shared" si="85"/>
        <v>#N/A</v>
      </c>
      <c r="Z462" s="15"/>
      <c r="AA462" s="13"/>
      <c r="AB462" s="17"/>
      <c r="AC462" s="3"/>
      <c r="AD462" s="10"/>
      <c r="AE462" s="3"/>
      <c r="AF462" s="10"/>
      <c r="AG462" s="15"/>
      <c r="AH462" s="62" t="str">
        <f t="shared" si="80"/>
        <v/>
      </c>
      <c r="AI462" s="62" t="e">
        <f>VLOOKUP($AH462,Herbicide_Data!$A$1:$Q$61,13)</f>
        <v>#N/A</v>
      </c>
      <c r="AJ462" s="16" t="e">
        <f t="shared" si="86"/>
        <v>#N/A</v>
      </c>
      <c r="AK462" s="3"/>
      <c r="AL462" s="3"/>
      <c r="AM462" s="3"/>
      <c r="AN462" s="3"/>
      <c r="AO462" s="3"/>
      <c r="AP462" s="3"/>
      <c r="AQ462" s="18"/>
      <c r="AR462" s="19"/>
      <c r="AS462" s="19"/>
      <c r="AT462" s="20"/>
      <c r="AU462" s="20"/>
      <c r="AV462" s="21"/>
      <c r="AW462" s="22"/>
      <c r="AX462" s="19"/>
      <c r="AY462" s="19"/>
      <c r="AZ462" s="19"/>
      <c r="BA462" s="23"/>
      <c r="BB462" s="19"/>
      <c r="BC462" s="19"/>
      <c r="BD462" s="19"/>
    </row>
    <row r="463" spans="1:56">
      <c r="A463" s="13"/>
      <c r="B463" s="11"/>
      <c r="C463" s="12"/>
      <c r="D463" s="12">
        <f t="shared" si="81"/>
        <v>2.0833299999999999E-2</v>
      </c>
      <c r="E463" s="10"/>
      <c r="F463" s="10" t="str">
        <f>IFERROR(VLOOKUP(E463,Data!A$2:B$5,2,TRUE), "")</f>
        <v/>
      </c>
      <c r="G463" s="3"/>
      <c r="H463" s="13" t="str">
        <f>IFERROR(VLOOKUP(A463,Customer_Data!$A$1:$P$114,8,TRUE),"")</f>
        <v/>
      </c>
      <c r="I463" s="13"/>
      <c r="J463" s="3" t="str">
        <f t="shared" si="87"/>
        <v/>
      </c>
      <c r="K463" s="62" t="e">
        <f>(VLOOKUP($J463,Herbicide_Data!$A$1:$L$61,9,TRUE))</f>
        <v>#N/A</v>
      </c>
      <c r="L463" s="62" t="e">
        <f>VLOOKUP($J463,Herbicide_Data!$A$1:$L$61,12,TRUE)</f>
        <v>#N/A</v>
      </c>
      <c r="M463" s="16" t="e">
        <f t="shared" si="82"/>
        <v>#N/A</v>
      </c>
      <c r="N463" s="62" t="str">
        <f t="shared" si="88"/>
        <v/>
      </c>
      <c r="O463" s="63" t="e">
        <f>VLOOKUP($N463,Herbicide_Data!$A$1:$L$61,9)</f>
        <v>#N/A</v>
      </c>
      <c r="P463" s="62" t="e">
        <f>VLOOKUP($N463,Herbicide_Data!$A$1:$P$61,13)</f>
        <v>#N/A</v>
      </c>
      <c r="Q463" s="16" t="e">
        <f t="shared" si="83"/>
        <v>#N/A</v>
      </c>
      <c r="R463" s="62" t="str">
        <f t="shared" si="89"/>
        <v/>
      </c>
      <c r="S463" s="63" t="e">
        <f>VLOOKUP($R463,Herbicide_Data!$A$1:$L$61,9)</f>
        <v>#N/A</v>
      </c>
      <c r="T463" s="62" t="e">
        <f>VLOOKUP($R463,Herbicide_Data!$A$1:$Q$61,13)</f>
        <v>#N/A</v>
      </c>
      <c r="U463" s="16" t="e">
        <f t="shared" si="84"/>
        <v>#N/A</v>
      </c>
      <c r="V463" s="62" t="b">
        <f t="shared" si="90"/>
        <v>0</v>
      </c>
      <c r="W463" s="63" t="e">
        <f>VLOOKUP($V463,Herbicide_Data!$A$1:$L$17,9)</f>
        <v>#N/A</v>
      </c>
      <c r="X463" s="62" t="e">
        <f>VLOOKUP($V463,Herbicide_Data!$A$1:$L$17,12)</f>
        <v>#N/A</v>
      </c>
      <c r="Y463" s="16" t="e">
        <f t="shared" si="85"/>
        <v>#N/A</v>
      </c>
      <c r="Z463" s="15"/>
      <c r="AA463" s="13"/>
      <c r="AB463" s="17"/>
      <c r="AC463" s="3"/>
      <c r="AD463" s="10"/>
      <c r="AE463" s="3"/>
      <c r="AF463" s="10"/>
      <c r="AG463" s="15"/>
      <c r="AH463" s="62" t="str">
        <f t="shared" si="80"/>
        <v/>
      </c>
      <c r="AI463" s="62" t="e">
        <f>VLOOKUP($AH463,Herbicide_Data!$A$1:$Q$61,13)</f>
        <v>#N/A</v>
      </c>
      <c r="AJ463" s="16" t="e">
        <f t="shared" si="86"/>
        <v>#N/A</v>
      </c>
      <c r="AK463" s="3"/>
      <c r="AL463" s="3"/>
      <c r="AM463" s="3"/>
      <c r="AN463" s="3"/>
      <c r="AO463" s="3"/>
      <c r="AP463" s="3"/>
      <c r="AQ463" s="18"/>
      <c r="AR463" s="19"/>
      <c r="AS463" s="19"/>
      <c r="AT463" s="20"/>
      <c r="AU463" s="20"/>
      <c r="AV463" s="21"/>
      <c r="AW463" s="22"/>
      <c r="AX463" s="19"/>
      <c r="AY463" s="19"/>
      <c r="AZ463" s="19"/>
      <c r="BA463" s="23"/>
      <c r="BB463" s="19"/>
      <c r="BC463" s="19"/>
      <c r="BD463" s="19"/>
    </row>
    <row r="464" spans="1:56">
      <c r="A464" s="13"/>
      <c r="B464" s="11"/>
      <c r="C464" s="12"/>
      <c r="D464" s="12">
        <f t="shared" si="81"/>
        <v>2.0833299999999999E-2</v>
      </c>
      <c r="E464" s="10"/>
      <c r="F464" s="10" t="str">
        <f>IFERROR(VLOOKUP(E464,Data!A$2:B$5,2,TRUE), "")</f>
        <v/>
      </c>
      <c r="G464" s="3"/>
      <c r="H464" s="13" t="str">
        <f>IFERROR(VLOOKUP(A464,Customer_Data!$A$1:$P$114,8,TRUE),"")</f>
        <v/>
      </c>
      <c r="I464" s="13"/>
      <c r="J464" s="3" t="str">
        <f t="shared" si="87"/>
        <v/>
      </c>
      <c r="K464" s="62" t="e">
        <f>(VLOOKUP($J464,Herbicide_Data!$A$1:$L$61,9,TRUE))</f>
        <v>#N/A</v>
      </c>
      <c r="L464" s="62" t="e">
        <f>VLOOKUP($J464,Herbicide_Data!$A$1:$L$61,12,TRUE)</f>
        <v>#N/A</v>
      </c>
      <c r="M464" s="16" t="e">
        <f t="shared" si="82"/>
        <v>#N/A</v>
      </c>
      <c r="N464" s="62" t="str">
        <f t="shared" si="88"/>
        <v/>
      </c>
      <c r="O464" s="63" t="e">
        <f>VLOOKUP($N464,Herbicide_Data!$A$1:$L$61,9)</f>
        <v>#N/A</v>
      </c>
      <c r="P464" s="62" t="e">
        <f>VLOOKUP($N464,Herbicide_Data!$A$1:$P$61,13)</f>
        <v>#N/A</v>
      </c>
      <c r="Q464" s="16" t="e">
        <f t="shared" si="83"/>
        <v>#N/A</v>
      </c>
      <c r="R464" s="62" t="str">
        <f t="shared" si="89"/>
        <v/>
      </c>
      <c r="S464" s="63" t="e">
        <f>VLOOKUP($R464,Herbicide_Data!$A$1:$L$61,9)</f>
        <v>#N/A</v>
      </c>
      <c r="T464" s="62" t="e">
        <f>VLOOKUP($R464,Herbicide_Data!$A$1:$Q$61,13)</f>
        <v>#N/A</v>
      </c>
      <c r="U464" s="16" t="e">
        <f t="shared" si="84"/>
        <v>#N/A</v>
      </c>
      <c r="V464" s="62" t="b">
        <f t="shared" si="90"/>
        <v>0</v>
      </c>
      <c r="W464" s="63" t="e">
        <f>VLOOKUP($V464,Herbicide_Data!$A$1:$L$17,9)</f>
        <v>#N/A</v>
      </c>
      <c r="X464" s="62" t="e">
        <f>VLOOKUP($V464,Herbicide_Data!$A$1:$L$17,12)</f>
        <v>#N/A</v>
      </c>
      <c r="Y464" s="16" t="e">
        <f t="shared" si="85"/>
        <v>#N/A</v>
      </c>
      <c r="Z464" s="15"/>
      <c r="AA464" s="13"/>
      <c r="AB464" s="17"/>
      <c r="AC464" s="3"/>
      <c r="AD464" s="10"/>
      <c r="AE464" s="3"/>
      <c r="AF464" s="10"/>
      <c r="AG464" s="15"/>
      <c r="AH464" s="62" t="str">
        <f t="shared" si="80"/>
        <v/>
      </c>
      <c r="AI464" s="62" t="e">
        <f>VLOOKUP($AH464,Herbicide_Data!$A$1:$Q$61,13)</f>
        <v>#N/A</v>
      </c>
      <c r="AJ464" s="16" t="e">
        <f t="shared" si="86"/>
        <v>#N/A</v>
      </c>
      <c r="AK464" s="3"/>
      <c r="AL464" s="3"/>
      <c r="AM464" s="3"/>
      <c r="AN464" s="3"/>
      <c r="AO464" s="3"/>
      <c r="AP464" s="3"/>
      <c r="AQ464" s="18"/>
      <c r="AR464" s="19"/>
      <c r="AS464" s="19"/>
      <c r="AT464" s="20"/>
      <c r="AU464" s="20"/>
      <c r="AV464" s="21"/>
      <c r="AW464" s="22"/>
      <c r="AX464" s="19"/>
      <c r="AY464" s="19"/>
      <c r="AZ464" s="19"/>
      <c r="BA464" s="23"/>
      <c r="BB464" s="19"/>
      <c r="BC464" s="19"/>
      <c r="BD464" s="19"/>
    </row>
    <row r="465" spans="1:56">
      <c r="A465" s="13"/>
      <c r="B465" s="11"/>
      <c r="C465" s="12"/>
      <c r="D465" s="12">
        <f t="shared" si="81"/>
        <v>2.0833299999999999E-2</v>
      </c>
      <c r="E465" s="10"/>
      <c r="F465" s="10" t="str">
        <f>IFERROR(VLOOKUP(E465,Data!A$2:B$5,2,TRUE), "")</f>
        <v/>
      </c>
      <c r="G465" s="3"/>
      <c r="H465" s="13" t="str">
        <f>IFERROR(VLOOKUP(A465,Customer_Data!$A$1:$P$114,8,TRUE),"")</f>
        <v/>
      </c>
      <c r="I465" s="13"/>
      <c r="J465" s="3" t="str">
        <f t="shared" si="87"/>
        <v/>
      </c>
      <c r="K465" s="62" t="e">
        <f>(VLOOKUP($J465,Herbicide_Data!$A$1:$L$61,9,TRUE))</f>
        <v>#N/A</v>
      </c>
      <c r="L465" s="62" t="e">
        <f>VLOOKUP($J465,Herbicide_Data!$A$1:$L$61,12,TRUE)</f>
        <v>#N/A</v>
      </c>
      <c r="M465" s="16" t="e">
        <f t="shared" si="82"/>
        <v>#N/A</v>
      </c>
      <c r="N465" s="62" t="str">
        <f t="shared" si="88"/>
        <v/>
      </c>
      <c r="O465" s="63" t="e">
        <f>VLOOKUP($N465,Herbicide_Data!$A$1:$L$61,9)</f>
        <v>#N/A</v>
      </c>
      <c r="P465" s="62" t="e">
        <f>VLOOKUP($N465,Herbicide_Data!$A$1:$P$61,13)</f>
        <v>#N/A</v>
      </c>
      <c r="Q465" s="16" t="e">
        <f t="shared" si="83"/>
        <v>#N/A</v>
      </c>
      <c r="R465" s="62" t="str">
        <f t="shared" si="89"/>
        <v/>
      </c>
      <c r="S465" s="63" t="e">
        <f>VLOOKUP($R465,Herbicide_Data!$A$1:$L$61,9)</f>
        <v>#N/A</v>
      </c>
      <c r="T465" s="62" t="e">
        <f>VLOOKUP($R465,Herbicide_Data!$A$1:$Q$61,13)</f>
        <v>#N/A</v>
      </c>
      <c r="U465" s="16" t="e">
        <f t="shared" si="84"/>
        <v>#N/A</v>
      </c>
      <c r="V465" s="62" t="b">
        <f t="shared" si="90"/>
        <v>0</v>
      </c>
      <c r="W465" s="63" t="e">
        <f>VLOOKUP($V465,Herbicide_Data!$A$1:$L$17,9)</f>
        <v>#N/A</v>
      </c>
      <c r="X465" s="62" t="e">
        <f>VLOOKUP($V465,Herbicide_Data!$A$1:$L$17,12)</f>
        <v>#N/A</v>
      </c>
      <c r="Y465" s="16" t="e">
        <f t="shared" si="85"/>
        <v>#N/A</v>
      </c>
      <c r="Z465" s="15"/>
      <c r="AA465" s="13"/>
      <c r="AB465" s="17"/>
      <c r="AC465" s="3"/>
      <c r="AD465" s="10"/>
      <c r="AE465" s="3"/>
      <c r="AF465" s="10"/>
      <c r="AG465" s="15"/>
      <c r="AH465" s="62" t="str">
        <f t="shared" si="80"/>
        <v/>
      </c>
      <c r="AI465" s="62" t="e">
        <f>VLOOKUP($AH465,Herbicide_Data!$A$1:$Q$61,13)</f>
        <v>#N/A</v>
      </c>
      <c r="AJ465" s="16" t="e">
        <f t="shared" si="86"/>
        <v>#N/A</v>
      </c>
      <c r="AK465" s="3"/>
      <c r="AL465" s="3"/>
      <c r="AM465" s="3"/>
      <c r="AN465" s="3"/>
      <c r="AO465" s="3"/>
      <c r="AP465" s="3"/>
      <c r="AQ465" s="18"/>
      <c r="AR465" s="19"/>
      <c r="AS465" s="19"/>
      <c r="AT465" s="20"/>
      <c r="AU465" s="20"/>
      <c r="AV465" s="21"/>
      <c r="AW465" s="22"/>
      <c r="AX465" s="19"/>
      <c r="AY465" s="19"/>
      <c r="AZ465" s="19"/>
      <c r="BA465" s="23"/>
      <c r="BB465" s="19"/>
      <c r="BC465" s="19"/>
      <c r="BD465" s="19"/>
    </row>
    <row r="466" spans="1:56">
      <c r="A466" s="13"/>
      <c r="B466" s="11"/>
      <c r="C466" s="12"/>
      <c r="D466" s="12">
        <f t="shared" si="81"/>
        <v>2.0833299999999999E-2</v>
      </c>
      <c r="E466" s="10"/>
      <c r="F466" s="10" t="str">
        <f>IFERROR(VLOOKUP(E466,Data!A$2:B$5,2,TRUE), "")</f>
        <v/>
      </c>
      <c r="G466" s="3"/>
      <c r="H466" s="13" t="str">
        <f>IFERROR(VLOOKUP(A466,Customer_Data!$A$1:$P$114,8,TRUE),"")</f>
        <v/>
      </c>
      <c r="I466" s="13"/>
      <c r="J466" s="3" t="str">
        <f t="shared" si="87"/>
        <v/>
      </c>
      <c r="K466" s="62" t="e">
        <f>(VLOOKUP($J466,Herbicide_Data!$A$1:$L$61,9,TRUE))</f>
        <v>#N/A</v>
      </c>
      <c r="L466" s="62" t="e">
        <f>VLOOKUP($J466,Herbicide_Data!$A$1:$L$61,12,TRUE)</f>
        <v>#N/A</v>
      </c>
      <c r="M466" s="16" t="e">
        <f t="shared" si="82"/>
        <v>#N/A</v>
      </c>
      <c r="N466" s="62" t="str">
        <f t="shared" si="88"/>
        <v/>
      </c>
      <c r="O466" s="63" t="e">
        <f>VLOOKUP($N466,Herbicide_Data!$A$1:$L$61,9)</f>
        <v>#N/A</v>
      </c>
      <c r="P466" s="62" t="e">
        <f>VLOOKUP($N466,Herbicide_Data!$A$1:$P$61,13)</f>
        <v>#N/A</v>
      </c>
      <c r="Q466" s="16" t="e">
        <f t="shared" si="83"/>
        <v>#N/A</v>
      </c>
      <c r="R466" s="62" t="str">
        <f t="shared" si="89"/>
        <v/>
      </c>
      <c r="S466" s="63" t="e">
        <f>VLOOKUP($R466,Herbicide_Data!$A$1:$L$61,9)</f>
        <v>#N/A</v>
      </c>
      <c r="T466" s="62" t="e">
        <f>VLOOKUP($R466,Herbicide_Data!$A$1:$Q$61,13)</f>
        <v>#N/A</v>
      </c>
      <c r="U466" s="16" t="e">
        <f t="shared" si="84"/>
        <v>#N/A</v>
      </c>
      <c r="V466" s="62" t="b">
        <f t="shared" si="90"/>
        <v>0</v>
      </c>
      <c r="W466" s="63" t="e">
        <f>VLOOKUP($V466,Herbicide_Data!$A$1:$L$17,9)</f>
        <v>#N/A</v>
      </c>
      <c r="X466" s="62" t="e">
        <f>VLOOKUP($V466,Herbicide_Data!$A$1:$L$17,12)</f>
        <v>#N/A</v>
      </c>
      <c r="Y466" s="16" t="e">
        <f t="shared" si="85"/>
        <v>#N/A</v>
      </c>
      <c r="Z466" s="15"/>
      <c r="AA466" s="13"/>
      <c r="AB466" s="17"/>
      <c r="AC466" s="3"/>
      <c r="AD466" s="10"/>
      <c r="AE466" s="3"/>
      <c r="AF466" s="10"/>
      <c r="AG466" s="15"/>
      <c r="AH466" s="62" t="str">
        <f t="shared" si="80"/>
        <v/>
      </c>
      <c r="AI466" s="62" t="e">
        <f>VLOOKUP($AH466,Herbicide_Data!$A$1:$Q$61,13)</f>
        <v>#N/A</v>
      </c>
      <c r="AJ466" s="16" t="e">
        <f t="shared" si="86"/>
        <v>#N/A</v>
      </c>
      <c r="AK466" s="3"/>
      <c r="AL466" s="3"/>
      <c r="AM466" s="3"/>
      <c r="AN466" s="3"/>
      <c r="AO466" s="3"/>
      <c r="AP466" s="3"/>
      <c r="AQ466" s="18"/>
      <c r="AR466" s="19"/>
      <c r="AS466" s="19"/>
      <c r="AT466" s="20"/>
      <c r="AU466" s="20"/>
      <c r="AV466" s="21"/>
      <c r="AW466" s="22"/>
      <c r="AX466" s="19"/>
      <c r="AY466" s="19"/>
      <c r="AZ466" s="19"/>
      <c r="BA466" s="23"/>
      <c r="BB466" s="19"/>
      <c r="BC466" s="19"/>
      <c r="BD466" s="19"/>
    </row>
    <row r="467" spans="1:56">
      <c r="A467" s="13"/>
      <c r="B467" s="11"/>
      <c r="C467" s="12"/>
      <c r="D467" s="12">
        <f t="shared" si="81"/>
        <v>2.0833299999999999E-2</v>
      </c>
      <c r="E467" s="10"/>
      <c r="F467" s="10" t="str">
        <f>IFERROR(VLOOKUP(E467,Data!A$2:B$5,2,TRUE), "")</f>
        <v/>
      </c>
      <c r="G467" s="3"/>
      <c r="H467" s="13" t="str">
        <f>IFERROR(VLOOKUP(A467,Customer_Data!$A$1:$P$114,8,TRUE),"")</f>
        <v/>
      </c>
      <c r="I467" s="13"/>
      <c r="J467" s="3" t="str">
        <f t="shared" si="87"/>
        <v/>
      </c>
      <c r="K467" s="62" t="e">
        <f>(VLOOKUP($J467,Herbicide_Data!$A$1:$L$61,9,TRUE))</f>
        <v>#N/A</v>
      </c>
      <c r="L467" s="62" t="e">
        <f>VLOOKUP($J467,Herbicide_Data!$A$1:$L$61,12,TRUE)</f>
        <v>#N/A</v>
      </c>
      <c r="M467" s="16" t="e">
        <f t="shared" si="82"/>
        <v>#N/A</v>
      </c>
      <c r="N467" s="62" t="str">
        <f t="shared" si="88"/>
        <v/>
      </c>
      <c r="O467" s="63" t="e">
        <f>VLOOKUP($N467,Herbicide_Data!$A$1:$L$61,9)</f>
        <v>#N/A</v>
      </c>
      <c r="P467" s="62" t="e">
        <f>VLOOKUP($N467,Herbicide_Data!$A$1:$P$61,13)</f>
        <v>#N/A</v>
      </c>
      <c r="Q467" s="16" t="e">
        <f t="shared" si="83"/>
        <v>#N/A</v>
      </c>
      <c r="R467" s="62" t="str">
        <f t="shared" si="89"/>
        <v/>
      </c>
      <c r="S467" s="63" t="e">
        <f>VLOOKUP($R467,Herbicide_Data!$A$1:$L$61,9)</f>
        <v>#N/A</v>
      </c>
      <c r="T467" s="62" t="e">
        <f>VLOOKUP($R467,Herbicide_Data!$A$1:$Q$61,13)</f>
        <v>#N/A</v>
      </c>
      <c r="U467" s="16" t="e">
        <f t="shared" si="84"/>
        <v>#N/A</v>
      </c>
      <c r="V467" s="62" t="b">
        <f t="shared" si="90"/>
        <v>0</v>
      </c>
      <c r="W467" s="63" t="e">
        <f>VLOOKUP($V467,Herbicide_Data!$A$1:$L$17,9)</f>
        <v>#N/A</v>
      </c>
      <c r="X467" s="62" t="e">
        <f>VLOOKUP($V467,Herbicide_Data!$A$1:$L$17,12)</f>
        <v>#N/A</v>
      </c>
      <c r="Y467" s="16" t="e">
        <f t="shared" si="85"/>
        <v>#N/A</v>
      </c>
      <c r="Z467" s="15"/>
      <c r="AA467" s="13"/>
      <c r="AB467" s="17"/>
      <c r="AC467" s="3"/>
      <c r="AD467" s="10"/>
      <c r="AE467" s="3"/>
      <c r="AF467" s="10"/>
      <c r="AG467" s="15"/>
      <c r="AH467" s="62" t="str">
        <f t="shared" si="80"/>
        <v/>
      </c>
      <c r="AI467" s="62" t="e">
        <f>VLOOKUP($AH467,Herbicide_Data!$A$1:$Q$61,13)</f>
        <v>#N/A</v>
      </c>
      <c r="AJ467" s="16" t="e">
        <f t="shared" si="86"/>
        <v>#N/A</v>
      </c>
      <c r="AK467" s="3"/>
      <c r="AL467" s="3"/>
      <c r="AM467" s="3"/>
      <c r="AN467" s="3"/>
      <c r="AO467" s="3"/>
      <c r="AP467" s="3"/>
      <c r="AQ467" s="18"/>
      <c r="AR467" s="19"/>
      <c r="AS467" s="19"/>
      <c r="AT467" s="20"/>
      <c r="AU467" s="20"/>
      <c r="AV467" s="21"/>
      <c r="AW467" s="22"/>
      <c r="AX467" s="19"/>
      <c r="AY467" s="19"/>
      <c r="AZ467" s="19"/>
      <c r="BA467" s="23"/>
      <c r="BB467" s="19"/>
      <c r="BC467" s="19"/>
      <c r="BD467" s="19"/>
    </row>
    <row r="468" spans="1:56">
      <c r="A468" s="13"/>
      <c r="B468" s="11"/>
      <c r="C468" s="12"/>
      <c r="D468" s="12">
        <f t="shared" si="81"/>
        <v>2.0833299999999999E-2</v>
      </c>
      <c r="E468" s="10"/>
      <c r="F468" s="10" t="str">
        <f>IFERROR(VLOOKUP(E468,Data!A$2:B$5,2,TRUE), "")</f>
        <v/>
      </c>
      <c r="G468" s="3"/>
      <c r="H468" s="13" t="str">
        <f>IFERROR(VLOOKUP(A468,Customer_Data!$A$1:$P$114,8,TRUE),"")</f>
        <v/>
      </c>
      <c r="I468" s="13"/>
      <c r="J468" s="3" t="str">
        <f t="shared" si="87"/>
        <v/>
      </c>
      <c r="K468" s="62" t="e">
        <f>(VLOOKUP($J468,Herbicide_Data!$A$1:$L$61,9,TRUE))</f>
        <v>#N/A</v>
      </c>
      <c r="L468" s="62" t="e">
        <f>VLOOKUP($J468,Herbicide_Data!$A$1:$L$61,12,TRUE)</f>
        <v>#N/A</v>
      </c>
      <c r="M468" s="16" t="e">
        <f t="shared" si="82"/>
        <v>#N/A</v>
      </c>
      <c r="N468" s="62" t="str">
        <f t="shared" si="88"/>
        <v/>
      </c>
      <c r="O468" s="63" t="e">
        <f>VLOOKUP($N468,Herbicide_Data!$A$1:$L$61,9)</f>
        <v>#N/A</v>
      </c>
      <c r="P468" s="62" t="e">
        <f>VLOOKUP($N468,Herbicide_Data!$A$1:$P$61,13)</f>
        <v>#N/A</v>
      </c>
      <c r="Q468" s="16" t="e">
        <f t="shared" si="83"/>
        <v>#N/A</v>
      </c>
      <c r="R468" s="62" t="str">
        <f t="shared" si="89"/>
        <v/>
      </c>
      <c r="S468" s="63" t="e">
        <f>VLOOKUP($R468,Herbicide_Data!$A$1:$L$61,9)</f>
        <v>#N/A</v>
      </c>
      <c r="T468" s="62" t="e">
        <f>VLOOKUP($R468,Herbicide_Data!$A$1:$Q$61,13)</f>
        <v>#N/A</v>
      </c>
      <c r="U468" s="16" t="e">
        <f t="shared" si="84"/>
        <v>#N/A</v>
      </c>
      <c r="V468" s="62" t="b">
        <f t="shared" si="90"/>
        <v>0</v>
      </c>
      <c r="W468" s="63" t="e">
        <f>VLOOKUP($V468,Herbicide_Data!$A$1:$L$17,9)</f>
        <v>#N/A</v>
      </c>
      <c r="X468" s="62" t="e">
        <f>VLOOKUP($V468,Herbicide_Data!$A$1:$L$17,12)</f>
        <v>#N/A</v>
      </c>
      <c r="Y468" s="16" t="e">
        <f t="shared" si="85"/>
        <v>#N/A</v>
      </c>
      <c r="Z468" s="15"/>
      <c r="AA468" s="13"/>
      <c r="AB468" s="17"/>
      <c r="AC468" s="3"/>
      <c r="AD468" s="10"/>
      <c r="AE468" s="3"/>
      <c r="AF468" s="10"/>
      <c r="AG468" s="15"/>
      <c r="AH468" s="62" t="str">
        <f t="shared" si="80"/>
        <v/>
      </c>
      <c r="AI468" s="62" t="e">
        <f>VLOOKUP($AH468,Herbicide_Data!$A$1:$Q$61,13)</f>
        <v>#N/A</v>
      </c>
      <c r="AJ468" s="16" t="e">
        <f t="shared" si="86"/>
        <v>#N/A</v>
      </c>
      <c r="AK468" s="3"/>
      <c r="AL468" s="3"/>
      <c r="AM468" s="3"/>
      <c r="AN468" s="3"/>
      <c r="AO468" s="3"/>
      <c r="AP468" s="3"/>
      <c r="AQ468" s="18"/>
      <c r="AR468" s="19"/>
      <c r="AS468" s="19"/>
      <c r="AT468" s="20"/>
      <c r="AU468" s="20"/>
      <c r="AV468" s="21"/>
      <c r="AW468" s="22"/>
      <c r="AX468" s="19"/>
      <c r="AY468" s="19"/>
      <c r="AZ468" s="19"/>
      <c r="BA468" s="23"/>
      <c r="BB468" s="19"/>
      <c r="BC468" s="19"/>
      <c r="BD468" s="19"/>
    </row>
    <row r="469" spans="1:56">
      <c r="A469" s="13"/>
      <c r="B469" s="11"/>
      <c r="C469" s="12"/>
      <c r="D469" s="12">
        <f t="shared" si="81"/>
        <v>2.0833299999999999E-2</v>
      </c>
      <c r="E469" s="10"/>
      <c r="F469" s="10" t="str">
        <f>IFERROR(VLOOKUP(E469,Data!A$2:B$5,2,TRUE), "")</f>
        <v/>
      </c>
      <c r="G469" s="3"/>
      <c r="H469" s="13" t="str">
        <f>IFERROR(VLOOKUP(A469,Customer_Data!$A$1:$P$114,8,TRUE),"")</f>
        <v/>
      </c>
      <c r="I469" s="13"/>
      <c r="J469" s="3" t="str">
        <f t="shared" si="87"/>
        <v/>
      </c>
      <c r="K469" s="62" t="e">
        <f>(VLOOKUP($J469,Herbicide_Data!$A$1:$L$61,9,TRUE))</f>
        <v>#N/A</v>
      </c>
      <c r="L469" s="62" t="e">
        <f>VLOOKUP($J469,Herbicide_Data!$A$1:$L$61,12,TRUE)</f>
        <v>#N/A</v>
      </c>
      <c r="M469" s="16" t="e">
        <f t="shared" si="82"/>
        <v>#N/A</v>
      </c>
      <c r="N469" s="62" t="str">
        <f t="shared" si="88"/>
        <v/>
      </c>
      <c r="O469" s="63" t="e">
        <f>VLOOKUP($N469,Herbicide_Data!$A$1:$L$61,9)</f>
        <v>#N/A</v>
      </c>
      <c r="P469" s="62" t="e">
        <f>VLOOKUP($N469,Herbicide_Data!$A$1:$P$61,13)</f>
        <v>#N/A</v>
      </c>
      <c r="Q469" s="16" t="e">
        <f t="shared" si="83"/>
        <v>#N/A</v>
      </c>
      <c r="R469" s="62" t="str">
        <f t="shared" si="89"/>
        <v/>
      </c>
      <c r="S469" s="63" t="e">
        <f>VLOOKUP($R469,Herbicide_Data!$A$1:$L$61,9)</f>
        <v>#N/A</v>
      </c>
      <c r="T469" s="62" t="e">
        <f>VLOOKUP($R469,Herbicide_Data!$A$1:$Q$61,13)</f>
        <v>#N/A</v>
      </c>
      <c r="U469" s="16" t="e">
        <f t="shared" si="84"/>
        <v>#N/A</v>
      </c>
      <c r="V469" s="62" t="b">
        <f t="shared" si="90"/>
        <v>0</v>
      </c>
      <c r="W469" s="63" t="e">
        <f>VLOOKUP($V469,Herbicide_Data!$A$1:$L$17,9)</f>
        <v>#N/A</v>
      </c>
      <c r="X469" s="62" t="e">
        <f>VLOOKUP($V469,Herbicide_Data!$A$1:$L$17,12)</f>
        <v>#N/A</v>
      </c>
      <c r="Y469" s="16" t="e">
        <f t="shared" si="85"/>
        <v>#N/A</v>
      </c>
      <c r="Z469" s="15"/>
      <c r="AA469" s="13"/>
      <c r="AB469" s="17"/>
      <c r="AC469" s="3"/>
      <c r="AD469" s="10"/>
      <c r="AE469" s="3"/>
      <c r="AF469" s="10"/>
      <c r="AG469" s="15"/>
      <c r="AH469" s="62" t="str">
        <f t="shared" si="80"/>
        <v/>
      </c>
      <c r="AI469" s="62" t="e">
        <f>VLOOKUP($AH469,Herbicide_Data!$A$1:$Q$61,13)</f>
        <v>#N/A</v>
      </c>
      <c r="AJ469" s="16" t="e">
        <f t="shared" si="86"/>
        <v>#N/A</v>
      </c>
      <c r="AK469" s="3"/>
      <c r="AL469" s="3"/>
      <c r="AM469" s="3"/>
      <c r="AN469" s="3"/>
      <c r="AO469" s="3"/>
      <c r="AP469" s="3"/>
      <c r="AQ469" s="18"/>
      <c r="AR469" s="19"/>
      <c r="AS469" s="19"/>
      <c r="AT469" s="20"/>
      <c r="AU469" s="20"/>
      <c r="AV469" s="21"/>
      <c r="AW469" s="22"/>
      <c r="AX469" s="19"/>
      <c r="AY469" s="19"/>
      <c r="AZ469" s="19"/>
      <c r="BA469" s="23"/>
      <c r="BB469" s="19"/>
      <c r="BC469" s="19"/>
      <c r="BD469" s="19"/>
    </row>
    <row r="470" spans="1:56">
      <c r="A470" s="13"/>
      <c r="B470" s="11"/>
      <c r="C470" s="12"/>
      <c r="D470" s="12">
        <f t="shared" si="81"/>
        <v>2.0833299999999999E-2</v>
      </c>
      <c r="E470" s="10"/>
      <c r="F470" s="10" t="str">
        <f>IFERROR(VLOOKUP(E470,Data!A$2:B$5,2,TRUE), "")</f>
        <v/>
      </c>
      <c r="G470" s="3"/>
      <c r="H470" s="13" t="str">
        <f>IFERROR(VLOOKUP(A470,Customer_Data!$A$1:$P$114,8,TRUE),"")</f>
        <v/>
      </c>
      <c r="I470" s="13"/>
      <c r="J470" s="3" t="str">
        <f t="shared" si="87"/>
        <v/>
      </c>
      <c r="K470" s="62" t="e">
        <f>(VLOOKUP($J470,Herbicide_Data!$A$1:$L$61,9,TRUE))</f>
        <v>#N/A</v>
      </c>
      <c r="L470" s="62" t="e">
        <f>VLOOKUP($J470,Herbicide_Data!$A$1:$L$61,12,TRUE)</f>
        <v>#N/A</v>
      </c>
      <c r="M470" s="16" t="e">
        <f t="shared" si="82"/>
        <v>#N/A</v>
      </c>
      <c r="N470" s="62" t="str">
        <f t="shared" si="88"/>
        <v/>
      </c>
      <c r="O470" s="63" t="e">
        <f>VLOOKUP($N470,Herbicide_Data!$A$1:$L$61,9)</f>
        <v>#N/A</v>
      </c>
      <c r="P470" s="62" t="e">
        <f>VLOOKUP($N470,Herbicide_Data!$A$1:$P$61,13)</f>
        <v>#N/A</v>
      </c>
      <c r="Q470" s="16" t="e">
        <f t="shared" si="83"/>
        <v>#N/A</v>
      </c>
      <c r="R470" s="62" t="str">
        <f t="shared" si="89"/>
        <v/>
      </c>
      <c r="S470" s="63" t="e">
        <f>VLOOKUP($R470,Herbicide_Data!$A$1:$L$61,9)</f>
        <v>#N/A</v>
      </c>
      <c r="T470" s="62" t="e">
        <f>VLOOKUP($R470,Herbicide_Data!$A$1:$Q$61,13)</f>
        <v>#N/A</v>
      </c>
      <c r="U470" s="16" t="e">
        <f t="shared" si="84"/>
        <v>#N/A</v>
      </c>
      <c r="V470" s="62" t="b">
        <f t="shared" si="90"/>
        <v>0</v>
      </c>
      <c r="W470" s="63" t="e">
        <f>VLOOKUP($V470,Herbicide_Data!$A$1:$L$17,9)</f>
        <v>#N/A</v>
      </c>
      <c r="X470" s="62" t="e">
        <f>VLOOKUP($V470,Herbicide_Data!$A$1:$L$17,12)</f>
        <v>#N/A</v>
      </c>
      <c r="Y470" s="16" t="e">
        <f t="shared" si="85"/>
        <v>#N/A</v>
      </c>
      <c r="Z470" s="15"/>
      <c r="AA470" s="13"/>
      <c r="AB470" s="17"/>
      <c r="AC470" s="3"/>
      <c r="AD470" s="10"/>
      <c r="AE470" s="3"/>
      <c r="AF470" s="10"/>
      <c r="AG470" s="15"/>
      <c r="AH470" s="62" t="str">
        <f t="shared" si="80"/>
        <v/>
      </c>
      <c r="AI470" s="62" t="e">
        <f>VLOOKUP($AH470,Herbicide_Data!$A$1:$Q$61,13)</f>
        <v>#N/A</v>
      </c>
      <c r="AJ470" s="16" t="e">
        <f t="shared" si="86"/>
        <v>#N/A</v>
      </c>
      <c r="AK470" s="3"/>
      <c r="AL470" s="3"/>
      <c r="AM470" s="3"/>
      <c r="AN470" s="3"/>
      <c r="AO470" s="3"/>
      <c r="AP470" s="3"/>
      <c r="AQ470" s="18"/>
      <c r="AR470" s="19"/>
      <c r="AS470" s="19"/>
      <c r="AT470" s="20"/>
      <c r="AU470" s="20"/>
      <c r="AV470" s="21"/>
      <c r="AW470" s="22"/>
      <c r="AX470" s="19"/>
      <c r="AY470" s="19"/>
      <c r="AZ470" s="19"/>
      <c r="BA470" s="23"/>
      <c r="BB470" s="19"/>
      <c r="BC470" s="19"/>
      <c r="BD470" s="19"/>
    </row>
    <row r="471" spans="1:56">
      <c r="A471" s="13"/>
      <c r="B471" s="11"/>
      <c r="C471" s="12"/>
      <c r="D471" s="12">
        <f t="shared" si="81"/>
        <v>2.0833299999999999E-2</v>
      </c>
      <c r="E471" s="10"/>
      <c r="F471" s="10" t="str">
        <f>IFERROR(VLOOKUP(E471,Data!A$2:B$5,2,TRUE), "")</f>
        <v/>
      </c>
      <c r="G471" s="3"/>
      <c r="H471" s="13" t="str">
        <f>IFERROR(VLOOKUP(A471,Customer_Data!$A$1:$P$114,8,TRUE),"")</f>
        <v/>
      </c>
      <c r="I471" s="13"/>
      <c r="J471" s="3" t="str">
        <f t="shared" si="87"/>
        <v/>
      </c>
      <c r="K471" s="62" t="e">
        <f>(VLOOKUP($J471,Herbicide_Data!$A$1:$L$61,9,TRUE))</f>
        <v>#N/A</v>
      </c>
      <c r="L471" s="62" t="e">
        <f>VLOOKUP($J471,Herbicide_Data!$A$1:$L$61,12,TRUE)</f>
        <v>#N/A</v>
      </c>
      <c r="M471" s="16" t="e">
        <f t="shared" si="82"/>
        <v>#N/A</v>
      </c>
      <c r="N471" s="62" t="str">
        <f t="shared" si="88"/>
        <v/>
      </c>
      <c r="O471" s="63" t="e">
        <f>VLOOKUP($N471,Herbicide_Data!$A$1:$L$61,9)</f>
        <v>#N/A</v>
      </c>
      <c r="P471" s="62" t="e">
        <f>VLOOKUP($N471,Herbicide_Data!$A$1:$P$61,13)</f>
        <v>#N/A</v>
      </c>
      <c r="Q471" s="16" t="e">
        <f t="shared" si="83"/>
        <v>#N/A</v>
      </c>
      <c r="R471" s="62" t="str">
        <f t="shared" si="89"/>
        <v/>
      </c>
      <c r="S471" s="63" t="e">
        <f>VLOOKUP($R471,Herbicide_Data!$A$1:$L$61,9)</f>
        <v>#N/A</v>
      </c>
      <c r="T471" s="62" t="e">
        <f>VLOOKUP($R471,Herbicide_Data!$A$1:$Q$61,13)</f>
        <v>#N/A</v>
      </c>
      <c r="U471" s="16" t="e">
        <f t="shared" si="84"/>
        <v>#N/A</v>
      </c>
      <c r="V471" s="62" t="b">
        <f t="shared" si="90"/>
        <v>0</v>
      </c>
      <c r="W471" s="63" t="e">
        <f>VLOOKUP($V471,Herbicide_Data!$A$1:$L$17,9)</f>
        <v>#N/A</v>
      </c>
      <c r="X471" s="62" t="e">
        <f>VLOOKUP($V471,Herbicide_Data!$A$1:$L$17,12)</f>
        <v>#N/A</v>
      </c>
      <c r="Y471" s="16" t="e">
        <f t="shared" si="85"/>
        <v>#N/A</v>
      </c>
      <c r="Z471" s="15"/>
      <c r="AA471" s="13"/>
      <c r="AB471" s="17"/>
      <c r="AC471" s="3"/>
      <c r="AD471" s="10"/>
      <c r="AE471" s="3"/>
      <c r="AF471" s="10"/>
      <c r="AG471" s="15"/>
      <c r="AH471" s="62" t="str">
        <f t="shared" si="80"/>
        <v/>
      </c>
      <c r="AI471" s="62" t="e">
        <f>VLOOKUP($AH471,Herbicide_Data!$A$1:$Q$61,13)</f>
        <v>#N/A</v>
      </c>
      <c r="AJ471" s="16" t="e">
        <f t="shared" si="86"/>
        <v>#N/A</v>
      </c>
      <c r="AK471" s="3"/>
      <c r="AL471" s="3"/>
      <c r="AM471" s="3"/>
      <c r="AN471" s="3"/>
      <c r="AO471" s="3"/>
      <c r="AP471" s="3"/>
      <c r="AQ471" s="18"/>
      <c r="AR471" s="19"/>
      <c r="AS471" s="19"/>
      <c r="AT471" s="20"/>
      <c r="AU471" s="20"/>
      <c r="AV471" s="21"/>
      <c r="AW471" s="22"/>
      <c r="AX471" s="19"/>
      <c r="AY471" s="19"/>
      <c r="AZ471" s="19"/>
      <c r="BA471" s="23"/>
      <c r="BB471" s="19"/>
      <c r="BC471" s="19"/>
      <c r="BD471" s="19"/>
    </row>
    <row r="472" spans="1:56">
      <c r="A472" s="13"/>
      <c r="B472" s="11"/>
      <c r="C472" s="12"/>
      <c r="D472" s="12">
        <f t="shared" si="81"/>
        <v>2.0833299999999999E-2</v>
      </c>
      <c r="E472" s="10"/>
      <c r="F472" s="10" t="str">
        <f>IFERROR(VLOOKUP(E472,Data!A$2:B$5,2,TRUE), "")</f>
        <v/>
      </c>
      <c r="G472" s="3"/>
      <c r="H472" s="13" t="str">
        <f>IFERROR(VLOOKUP(A472,Customer_Data!$A$1:$P$114,8,TRUE),"")</f>
        <v/>
      </c>
      <c r="I472" s="13"/>
      <c r="J472" s="3" t="str">
        <f t="shared" si="87"/>
        <v/>
      </c>
      <c r="K472" s="62" t="e">
        <f>(VLOOKUP($J472,Herbicide_Data!$A$1:$L$61,9,TRUE))</f>
        <v>#N/A</v>
      </c>
      <c r="L472" s="62" t="e">
        <f>VLOOKUP($J472,Herbicide_Data!$A$1:$L$61,12,TRUE)</f>
        <v>#N/A</v>
      </c>
      <c r="M472" s="16" t="e">
        <f t="shared" si="82"/>
        <v>#N/A</v>
      </c>
      <c r="N472" s="62" t="str">
        <f t="shared" si="88"/>
        <v/>
      </c>
      <c r="O472" s="63" t="e">
        <f>VLOOKUP($N472,Herbicide_Data!$A$1:$L$61,9)</f>
        <v>#N/A</v>
      </c>
      <c r="P472" s="62" t="e">
        <f>VLOOKUP($N472,Herbicide_Data!$A$1:$P$61,13)</f>
        <v>#N/A</v>
      </c>
      <c r="Q472" s="16" t="e">
        <f t="shared" si="83"/>
        <v>#N/A</v>
      </c>
      <c r="R472" s="62" t="str">
        <f t="shared" si="89"/>
        <v/>
      </c>
      <c r="S472" s="63" t="e">
        <f>VLOOKUP($R472,Herbicide_Data!$A$1:$L$61,9)</f>
        <v>#N/A</v>
      </c>
      <c r="T472" s="62" t="e">
        <f>VLOOKUP($R472,Herbicide_Data!$A$1:$Q$61,13)</f>
        <v>#N/A</v>
      </c>
      <c r="U472" s="16" t="e">
        <f t="shared" si="84"/>
        <v>#N/A</v>
      </c>
      <c r="V472" s="62" t="b">
        <f t="shared" si="90"/>
        <v>0</v>
      </c>
      <c r="W472" s="63" t="e">
        <f>VLOOKUP($V472,Herbicide_Data!$A$1:$L$17,9)</f>
        <v>#N/A</v>
      </c>
      <c r="X472" s="62" t="e">
        <f>VLOOKUP($V472,Herbicide_Data!$A$1:$L$17,12)</f>
        <v>#N/A</v>
      </c>
      <c r="Y472" s="16" t="e">
        <f t="shared" si="85"/>
        <v>#N/A</v>
      </c>
      <c r="Z472" s="15"/>
      <c r="AA472" s="13"/>
      <c r="AB472" s="17"/>
      <c r="AC472" s="3"/>
      <c r="AD472" s="10"/>
      <c r="AE472" s="3"/>
      <c r="AF472" s="10"/>
      <c r="AG472" s="15"/>
      <c r="AH472" s="62" t="str">
        <f t="shared" si="80"/>
        <v/>
      </c>
      <c r="AI472" s="62" t="e">
        <f>VLOOKUP($AH472,Herbicide_Data!$A$1:$Q$61,13)</f>
        <v>#N/A</v>
      </c>
      <c r="AJ472" s="16" t="e">
        <f t="shared" si="86"/>
        <v>#N/A</v>
      </c>
      <c r="AK472" s="3"/>
      <c r="AL472" s="3"/>
      <c r="AM472" s="3"/>
      <c r="AN472" s="3"/>
      <c r="AO472" s="3"/>
      <c r="AP472" s="3"/>
      <c r="AQ472" s="18"/>
      <c r="AR472" s="19"/>
      <c r="AS472" s="19"/>
      <c r="AT472" s="20"/>
      <c r="AU472" s="20"/>
      <c r="AV472" s="21"/>
      <c r="AW472" s="22"/>
      <c r="AX472" s="19"/>
      <c r="AY472" s="19"/>
      <c r="AZ472" s="19"/>
      <c r="BA472" s="23"/>
      <c r="BB472" s="19"/>
      <c r="BC472" s="19"/>
      <c r="BD472" s="19"/>
    </row>
    <row r="473" spans="1:56">
      <c r="A473" s="13"/>
      <c r="B473" s="11"/>
      <c r="C473" s="12"/>
      <c r="D473" s="12">
        <f t="shared" si="81"/>
        <v>2.0833299999999999E-2</v>
      </c>
      <c r="E473" s="10"/>
      <c r="F473" s="10" t="str">
        <f>IFERROR(VLOOKUP(E473,Data!A$2:B$5,2,TRUE), "")</f>
        <v/>
      </c>
      <c r="G473" s="3"/>
      <c r="H473" s="13" t="str">
        <f>IFERROR(VLOOKUP(A473,Customer_Data!$A$1:$P$114,8,TRUE),"")</f>
        <v/>
      </c>
      <c r="I473" s="13"/>
      <c r="J473" s="3" t="str">
        <f t="shared" si="87"/>
        <v/>
      </c>
      <c r="K473" s="62" t="e">
        <f>(VLOOKUP($J473,Herbicide_Data!$A$1:$L$61,9,TRUE))</f>
        <v>#N/A</v>
      </c>
      <c r="L473" s="62" t="e">
        <f>VLOOKUP($J473,Herbicide_Data!$A$1:$L$61,12,TRUE)</f>
        <v>#N/A</v>
      </c>
      <c r="M473" s="16" t="e">
        <f t="shared" si="82"/>
        <v>#N/A</v>
      </c>
      <c r="N473" s="62" t="str">
        <f t="shared" si="88"/>
        <v/>
      </c>
      <c r="O473" s="63" t="e">
        <f>VLOOKUP($N473,Herbicide_Data!$A$1:$L$61,9)</f>
        <v>#N/A</v>
      </c>
      <c r="P473" s="62" t="e">
        <f>VLOOKUP($N473,Herbicide_Data!$A$1:$P$61,13)</f>
        <v>#N/A</v>
      </c>
      <c r="Q473" s="16" t="e">
        <f t="shared" si="83"/>
        <v>#N/A</v>
      </c>
      <c r="R473" s="62" t="str">
        <f t="shared" si="89"/>
        <v/>
      </c>
      <c r="S473" s="63" t="e">
        <f>VLOOKUP($R473,Herbicide_Data!$A$1:$L$61,9)</f>
        <v>#N/A</v>
      </c>
      <c r="T473" s="62" t="e">
        <f>VLOOKUP($R473,Herbicide_Data!$A$1:$Q$61,13)</f>
        <v>#N/A</v>
      </c>
      <c r="U473" s="16" t="e">
        <f t="shared" si="84"/>
        <v>#N/A</v>
      </c>
      <c r="V473" s="62" t="b">
        <f t="shared" si="90"/>
        <v>0</v>
      </c>
      <c r="W473" s="63" t="e">
        <f>VLOOKUP($V473,Herbicide_Data!$A$1:$L$17,9)</f>
        <v>#N/A</v>
      </c>
      <c r="X473" s="62" t="e">
        <f>VLOOKUP($V473,Herbicide_Data!$A$1:$L$17,12)</f>
        <v>#N/A</v>
      </c>
      <c r="Y473" s="16" t="e">
        <f t="shared" si="85"/>
        <v>#N/A</v>
      </c>
      <c r="Z473" s="15"/>
      <c r="AA473" s="13"/>
      <c r="AB473" s="17"/>
      <c r="AC473" s="3"/>
      <c r="AD473" s="10"/>
      <c r="AE473" s="3"/>
      <c r="AF473" s="10"/>
      <c r="AG473" s="15"/>
      <c r="AH473" s="62" t="str">
        <f t="shared" si="80"/>
        <v/>
      </c>
      <c r="AI473" s="62" t="e">
        <f>VLOOKUP($AH473,Herbicide_Data!$A$1:$Q$61,13)</f>
        <v>#N/A</v>
      </c>
      <c r="AJ473" s="16" t="e">
        <f t="shared" si="86"/>
        <v>#N/A</v>
      </c>
      <c r="AK473" s="3"/>
      <c r="AL473" s="3"/>
      <c r="AM473" s="3"/>
      <c r="AN473" s="3"/>
      <c r="AO473" s="3"/>
      <c r="AP473" s="3"/>
      <c r="AQ473" s="18"/>
      <c r="AR473" s="19"/>
      <c r="AS473" s="19"/>
      <c r="AT473" s="20"/>
      <c r="AU473" s="20"/>
      <c r="AV473" s="21"/>
      <c r="AW473" s="22"/>
      <c r="AX473" s="19"/>
      <c r="AY473" s="19"/>
      <c r="AZ473" s="19"/>
      <c r="BA473" s="23"/>
      <c r="BB473" s="19"/>
      <c r="BC473" s="19"/>
      <c r="BD473" s="19"/>
    </row>
    <row r="474" spans="1:56">
      <c r="A474" s="13"/>
      <c r="B474" s="11"/>
      <c r="C474" s="12"/>
      <c r="D474" s="12">
        <f t="shared" si="81"/>
        <v>2.0833299999999999E-2</v>
      </c>
      <c r="E474" s="10"/>
      <c r="F474" s="10" t="str">
        <f>IFERROR(VLOOKUP(E474,Data!A$2:B$5,2,TRUE), "")</f>
        <v/>
      </c>
      <c r="G474" s="3"/>
      <c r="H474" s="13" t="str">
        <f>IFERROR(VLOOKUP(A474,Customer_Data!$A$1:$P$114,8,TRUE),"")</f>
        <v/>
      </c>
      <c r="I474" s="13"/>
      <c r="J474" s="3" t="str">
        <f t="shared" si="87"/>
        <v/>
      </c>
      <c r="K474" s="62" t="e">
        <f>(VLOOKUP($J474,Herbicide_Data!$A$1:$L$61,9,TRUE))</f>
        <v>#N/A</v>
      </c>
      <c r="L474" s="62" t="e">
        <f>VLOOKUP($J474,Herbicide_Data!$A$1:$L$61,12,TRUE)</f>
        <v>#N/A</v>
      </c>
      <c r="M474" s="16" t="e">
        <f t="shared" si="82"/>
        <v>#N/A</v>
      </c>
      <c r="N474" s="62" t="str">
        <f t="shared" si="88"/>
        <v/>
      </c>
      <c r="O474" s="63" t="e">
        <f>VLOOKUP($N474,Herbicide_Data!$A$1:$L$61,9)</f>
        <v>#N/A</v>
      </c>
      <c r="P474" s="62" t="e">
        <f>VLOOKUP($N474,Herbicide_Data!$A$1:$P$61,13)</f>
        <v>#N/A</v>
      </c>
      <c r="Q474" s="16" t="e">
        <f t="shared" si="83"/>
        <v>#N/A</v>
      </c>
      <c r="R474" s="62" t="str">
        <f t="shared" si="89"/>
        <v/>
      </c>
      <c r="S474" s="63" t="e">
        <f>VLOOKUP($R474,Herbicide_Data!$A$1:$L$61,9)</f>
        <v>#N/A</v>
      </c>
      <c r="T474" s="62" t="e">
        <f>VLOOKUP($R474,Herbicide_Data!$A$1:$Q$61,13)</f>
        <v>#N/A</v>
      </c>
      <c r="U474" s="16" t="e">
        <f t="shared" si="84"/>
        <v>#N/A</v>
      </c>
      <c r="V474" s="62" t="b">
        <f t="shared" si="90"/>
        <v>0</v>
      </c>
      <c r="W474" s="63" t="e">
        <f>VLOOKUP($V474,Herbicide_Data!$A$1:$L$17,9)</f>
        <v>#N/A</v>
      </c>
      <c r="X474" s="62" t="e">
        <f>VLOOKUP($V474,Herbicide_Data!$A$1:$L$17,12)</f>
        <v>#N/A</v>
      </c>
      <c r="Y474" s="16" t="e">
        <f t="shared" si="85"/>
        <v>#N/A</v>
      </c>
      <c r="Z474" s="15"/>
      <c r="AA474" s="13"/>
      <c r="AB474" s="17"/>
      <c r="AC474" s="3"/>
      <c r="AD474" s="10"/>
      <c r="AE474" s="3"/>
      <c r="AF474" s="10"/>
      <c r="AG474" s="15"/>
      <c r="AH474" s="62" t="str">
        <f t="shared" si="80"/>
        <v/>
      </c>
      <c r="AI474" s="62" t="e">
        <f>VLOOKUP($AH474,Herbicide_Data!$A$1:$Q$61,13)</f>
        <v>#N/A</v>
      </c>
      <c r="AJ474" s="16" t="e">
        <f t="shared" si="86"/>
        <v>#N/A</v>
      </c>
      <c r="AK474" s="3"/>
      <c r="AL474" s="3"/>
      <c r="AM474" s="3"/>
      <c r="AN474" s="3"/>
      <c r="AO474" s="3"/>
      <c r="AP474" s="3"/>
      <c r="AQ474" s="18"/>
      <c r="AR474" s="19"/>
      <c r="AS474" s="19"/>
      <c r="AT474" s="20"/>
      <c r="AU474" s="20"/>
      <c r="AV474" s="21"/>
      <c r="AW474" s="22"/>
      <c r="AX474" s="19"/>
      <c r="AY474" s="19"/>
      <c r="AZ474" s="19"/>
      <c r="BA474" s="23"/>
      <c r="BB474" s="19"/>
      <c r="BC474" s="19"/>
      <c r="BD474" s="19"/>
    </row>
    <row r="475" spans="1:56">
      <c r="A475" s="13"/>
      <c r="B475" s="11"/>
      <c r="C475" s="12"/>
      <c r="D475" s="12">
        <f t="shared" si="81"/>
        <v>2.0833299999999999E-2</v>
      </c>
      <c r="E475" s="10"/>
      <c r="F475" s="10" t="str">
        <f>IFERROR(VLOOKUP(E475,Data!A$2:B$5,2,TRUE), "")</f>
        <v/>
      </c>
      <c r="G475" s="3"/>
      <c r="H475" s="13" t="str">
        <f>IFERROR(VLOOKUP(A475,Customer_Data!$A$1:$P$114,8,TRUE),"")</f>
        <v/>
      </c>
      <c r="I475" s="13"/>
      <c r="J475" s="3" t="str">
        <f t="shared" si="87"/>
        <v/>
      </c>
      <c r="K475" s="62" t="e">
        <f>(VLOOKUP($J475,Herbicide_Data!$A$1:$L$61,9,TRUE))</f>
        <v>#N/A</v>
      </c>
      <c r="L475" s="62" t="e">
        <f>VLOOKUP($J475,Herbicide_Data!$A$1:$L$61,12,TRUE)</f>
        <v>#N/A</v>
      </c>
      <c r="M475" s="16" t="e">
        <f t="shared" si="82"/>
        <v>#N/A</v>
      </c>
      <c r="N475" s="62" t="str">
        <f t="shared" si="88"/>
        <v/>
      </c>
      <c r="O475" s="63" t="e">
        <f>VLOOKUP($N475,Herbicide_Data!$A$1:$L$61,9)</f>
        <v>#N/A</v>
      </c>
      <c r="P475" s="62" t="e">
        <f>VLOOKUP($N475,Herbicide_Data!$A$1:$P$61,13)</f>
        <v>#N/A</v>
      </c>
      <c r="Q475" s="16" t="e">
        <f t="shared" si="83"/>
        <v>#N/A</v>
      </c>
      <c r="R475" s="62" t="str">
        <f t="shared" si="89"/>
        <v/>
      </c>
      <c r="S475" s="63" t="e">
        <f>VLOOKUP($R475,Herbicide_Data!$A$1:$L$61,9)</f>
        <v>#N/A</v>
      </c>
      <c r="T475" s="62" t="e">
        <f>VLOOKUP($R475,Herbicide_Data!$A$1:$Q$61,13)</f>
        <v>#N/A</v>
      </c>
      <c r="U475" s="16" t="e">
        <f t="shared" si="84"/>
        <v>#N/A</v>
      </c>
      <c r="V475" s="62" t="b">
        <f t="shared" si="90"/>
        <v>0</v>
      </c>
      <c r="W475" s="63" t="e">
        <f>VLOOKUP($V475,Herbicide_Data!$A$1:$L$17,9)</f>
        <v>#N/A</v>
      </c>
      <c r="X475" s="62" t="e">
        <f>VLOOKUP($V475,Herbicide_Data!$A$1:$L$17,12)</f>
        <v>#N/A</v>
      </c>
      <c r="Y475" s="16" t="e">
        <f t="shared" si="85"/>
        <v>#N/A</v>
      </c>
      <c r="Z475" s="15"/>
      <c r="AA475" s="13"/>
      <c r="AB475" s="17"/>
      <c r="AC475" s="3"/>
      <c r="AD475" s="10"/>
      <c r="AE475" s="3"/>
      <c r="AF475" s="10"/>
      <c r="AG475" s="15"/>
      <c r="AH475" s="62" t="str">
        <f t="shared" si="80"/>
        <v/>
      </c>
      <c r="AI475" s="62" t="e">
        <f>VLOOKUP($AH475,Herbicide_Data!$A$1:$Q$61,13)</f>
        <v>#N/A</v>
      </c>
      <c r="AJ475" s="16" t="e">
        <f t="shared" si="86"/>
        <v>#N/A</v>
      </c>
      <c r="AK475" s="3"/>
      <c r="AL475" s="3"/>
      <c r="AM475" s="3"/>
      <c r="AN475" s="3"/>
      <c r="AO475" s="3"/>
      <c r="AP475" s="3"/>
      <c r="AQ475" s="18"/>
      <c r="AR475" s="19"/>
      <c r="AS475" s="19"/>
      <c r="AT475" s="20"/>
      <c r="AU475" s="20"/>
      <c r="AV475" s="21"/>
      <c r="AW475" s="22"/>
      <c r="AX475" s="19"/>
      <c r="AY475" s="19"/>
      <c r="AZ475" s="19"/>
      <c r="BA475" s="23"/>
      <c r="BB475" s="19"/>
      <c r="BC475" s="19"/>
      <c r="BD475" s="19"/>
    </row>
    <row r="476" spans="1:56">
      <c r="A476" s="13"/>
      <c r="B476" s="11"/>
      <c r="C476" s="12"/>
      <c r="D476" s="12">
        <f t="shared" si="81"/>
        <v>2.0833299999999999E-2</v>
      </c>
      <c r="E476" s="10"/>
      <c r="F476" s="10" t="str">
        <f>IFERROR(VLOOKUP(E476,Data!A$2:B$5,2,TRUE), "")</f>
        <v/>
      </c>
      <c r="G476" s="3"/>
      <c r="H476" s="13" t="str">
        <f>IFERROR(VLOOKUP(A476,Customer_Data!$A$1:$P$114,8,TRUE),"")</f>
        <v/>
      </c>
      <c r="I476" s="13"/>
      <c r="J476" s="3" t="str">
        <f t="shared" si="87"/>
        <v/>
      </c>
      <c r="K476" s="62" t="e">
        <f>(VLOOKUP($J476,Herbicide_Data!$A$1:$L$61,9,TRUE))</f>
        <v>#N/A</v>
      </c>
      <c r="L476" s="62" t="e">
        <f>VLOOKUP($J476,Herbicide_Data!$A$1:$L$61,12,TRUE)</f>
        <v>#N/A</v>
      </c>
      <c r="M476" s="16" t="e">
        <f t="shared" si="82"/>
        <v>#N/A</v>
      </c>
      <c r="N476" s="62" t="str">
        <f t="shared" si="88"/>
        <v/>
      </c>
      <c r="O476" s="63" t="e">
        <f>VLOOKUP($N476,Herbicide_Data!$A$1:$L$61,9)</f>
        <v>#N/A</v>
      </c>
      <c r="P476" s="62" t="e">
        <f>VLOOKUP($N476,Herbicide_Data!$A$1:$P$61,13)</f>
        <v>#N/A</v>
      </c>
      <c r="Q476" s="16" t="e">
        <f t="shared" si="83"/>
        <v>#N/A</v>
      </c>
      <c r="R476" s="62" t="str">
        <f t="shared" si="89"/>
        <v/>
      </c>
      <c r="S476" s="63" t="e">
        <f>VLOOKUP($R476,Herbicide_Data!$A$1:$L$61,9)</f>
        <v>#N/A</v>
      </c>
      <c r="T476" s="62" t="e">
        <f>VLOOKUP($R476,Herbicide_Data!$A$1:$Q$61,13)</f>
        <v>#N/A</v>
      </c>
      <c r="U476" s="16" t="e">
        <f t="shared" si="84"/>
        <v>#N/A</v>
      </c>
      <c r="V476" s="62" t="b">
        <f t="shared" si="90"/>
        <v>0</v>
      </c>
      <c r="W476" s="63" t="e">
        <f>VLOOKUP($V476,Herbicide_Data!$A$1:$L$17,9)</f>
        <v>#N/A</v>
      </c>
      <c r="X476" s="62" t="e">
        <f>VLOOKUP($V476,Herbicide_Data!$A$1:$L$17,12)</f>
        <v>#N/A</v>
      </c>
      <c r="Y476" s="16" t="e">
        <f t="shared" si="85"/>
        <v>#N/A</v>
      </c>
      <c r="Z476" s="15"/>
      <c r="AA476" s="13"/>
      <c r="AB476" s="17"/>
      <c r="AC476" s="3"/>
      <c r="AD476" s="10"/>
      <c r="AE476" s="3"/>
      <c r="AF476" s="10"/>
      <c r="AG476" s="15"/>
      <c r="AH476" s="62" t="str">
        <f t="shared" si="80"/>
        <v/>
      </c>
      <c r="AI476" s="62" t="e">
        <f>VLOOKUP($AH476,Herbicide_Data!$A$1:$Q$61,13)</f>
        <v>#N/A</v>
      </c>
      <c r="AJ476" s="16" t="e">
        <f t="shared" si="86"/>
        <v>#N/A</v>
      </c>
      <c r="AK476" s="3"/>
      <c r="AL476" s="3"/>
      <c r="AM476" s="3"/>
      <c r="AN476" s="3"/>
      <c r="AO476" s="3"/>
      <c r="AP476" s="3"/>
      <c r="AQ476" s="18"/>
      <c r="AR476" s="19"/>
      <c r="AS476" s="19"/>
      <c r="AT476" s="20"/>
      <c r="AU476" s="20"/>
      <c r="AV476" s="21"/>
      <c r="AW476" s="22"/>
      <c r="AX476" s="19"/>
      <c r="AY476" s="19"/>
      <c r="AZ476" s="19"/>
      <c r="BA476" s="23"/>
      <c r="BB476" s="19"/>
      <c r="BC476" s="19"/>
      <c r="BD476" s="19"/>
    </row>
    <row r="477" spans="1:56">
      <c r="A477" s="13"/>
      <c r="B477" s="11"/>
      <c r="C477" s="12"/>
      <c r="D477" s="12">
        <f t="shared" si="81"/>
        <v>2.0833299999999999E-2</v>
      </c>
      <c r="E477" s="10"/>
      <c r="F477" s="10" t="str">
        <f>IFERROR(VLOOKUP(E477,Data!A$2:B$5,2,TRUE), "")</f>
        <v/>
      </c>
      <c r="G477" s="3"/>
      <c r="H477" s="13" t="str">
        <f>IFERROR(VLOOKUP(A477,Customer_Data!$A$1:$P$114,8,TRUE),"")</f>
        <v/>
      </c>
      <c r="I477" s="13"/>
      <c r="J477" s="3" t="str">
        <f t="shared" si="87"/>
        <v/>
      </c>
      <c r="K477" s="62" t="e">
        <f>(VLOOKUP($J477,Herbicide_Data!$A$1:$L$61,9,TRUE))</f>
        <v>#N/A</v>
      </c>
      <c r="L477" s="62" t="e">
        <f>VLOOKUP($J477,Herbicide_Data!$A$1:$L$61,12,TRUE)</f>
        <v>#N/A</v>
      </c>
      <c r="M477" s="16" t="e">
        <f t="shared" si="82"/>
        <v>#N/A</v>
      </c>
      <c r="N477" s="62" t="str">
        <f t="shared" si="88"/>
        <v/>
      </c>
      <c r="O477" s="63" t="e">
        <f>VLOOKUP($N477,Herbicide_Data!$A$1:$L$61,9)</f>
        <v>#N/A</v>
      </c>
      <c r="P477" s="62" t="e">
        <f>VLOOKUP($N477,Herbicide_Data!$A$1:$P$61,13)</f>
        <v>#N/A</v>
      </c>
      <c r="Q477" s="16" t="e">
        <f t="shared" si="83"/>
        <v>#N/A</v>
      </c>
      <c r="R477" s="62" t="str">
        <f t="shared" si="89"/>
        <v/>
      </c>
      <c r="S477" s="63" t="e">
        <f>VLOOKUP($R477,Herbicide_Data!$A$1:$L$61,9)</f>
        <v>#N/A</v>
      </c>
      <c r="T477" s="62" t="e">
        <f>VLOOKUP($R477,Herbicide_Data!$A$1:$Q$61,13)</f>
        <v>#N/A</v>
      </c>
      <c r="U477" s="16" t="e">
        <f t="shared" si="84"/>
        <v>#N/A</v>
      </c>
      <c r="V477" s="62" t="b">
        <f t="shared" si="90"/>
        <v>0</v>
      </c>
      <c r="W477" s="63" t="e">
        <f>VLOOKUP($V477,Herbicide_Data!$A$1:$L$17,9)</f>
        <v>#N/A</v>
      </c>
      <c r="X477" s="62" t="e">
        <f>VLOOKUP($V477,Herbicide_Data!$A$1:$L$17,12)</f>
        <v>#N/A</v>
      </c>
      <c r="Y477" s="16" t="e">
        <f t="shared" si="85"/>
        <v>#N/A</v>
      </c>
      <c r="Z477" s="15"/>
      <c r="AA477" s="13"/>
      <c r="AB477" s="17"/>
      <c r="AC477" s="3"/>
      <c r="AD477" s="10"/>
      <c r="AE477" s="3"/>
      <c r="AF477" s="10"/>
      <c r="AG477" s="15"/>
      <c r="AH477" s="62" t="str">
        <f t="shared" si="80"/>
        <v/>
      </c>
      <c r="AI477" s="62" t="e">
        <f>VLOOKUP($AH477,Herbicide_Data!$A$1:$Q$61,13)</f>
        <v>#N/A</v>
      </c>
      <c r="AJ477" s="16" t="e">
        <f t="shared" si="86"/>
        <v>#N/A</v>
      </c>
      <c r="AK477" s="3"/>
      <c r="AL477" s="3"/>
      <c r="AM477" s="3"/>
      <c r="AN477" s="3"/>
      <c r="AO477" s="3"/>
      <c r="AP477" s="3"/>
      <c r="AQ477" s="18"/>
      <c r="AR477" s="19"/>
      <c r="AS477" s="19"/>
      <c r="AT477" s="20"/>
      <c r="AU477" s="20"/>
      <c r="AV477" s="21"/>
      <c r="AW477" s="22"/>
      <c r="AX477" s="19"/>
      <c r="AY477" s="19"/>
      <c r="AZ477" s="19"/>
      <c r="BA477" s="23"/>
      <c r="BB477" s="19"/>
      <c r="BC477" s="19"/>
      <c r="BD477" s="19"/>
    </row>
    <row r="478" spans="1:56">
      <c r="A478" s="13"/>
      <c r="B478" s="11"/>
      <c r="C478" s="12"/>
      <c r="D478" s="12">
        <f t="shared" si="81"/>
        <v>2.0833299999999999E-2</v>
      </c>
      <c r="E478" s="10"/>
      <c r="F478" s="10" t="str">
        <f>IFERROR(VLOOKUP(E478,Data!A$2:B$5,2,TRUE), "")</f>
        <v/>
      </c>
      <c r="G478" s="3"/>
      <c r="H478" s="13" t="str">
        <f>IFERROR(VLOOKUP(A478,Customer_Data!$A$1:$P$114,8,TRUE),"")</f>
        <v/>
      </c>
      <c r="I478" s="13"/>
      <c r="J478" s="3" t="str">
        <f t="shared" si="87"/>
        <v/>
      </c>
      <c r="K478" s="62" t="e">
        <f>(VLOOKUP($J478,Herbicide_Data!$A$1:$L$61,9,TRUE))</f>
        <v>#N/A</v>
      </c>
      <c r="L478" s="62" t="e">
        <f>VLOOKUP($J478,Herbicide_Data!$A$1:$L$61,12,TRUE)</f>
        <v>#N/A</v>
      </c>
      <c r="M478" s="16" t="e">
        <f t="shared" si="82"/>
        <v>#N/A</v>
      </c>
      <c r="N478" s="62" t="str">
        <f t="shared" si="88"/>
        <v/>
      </c>
      <c r="O478" s="63" t="e">
        <f>VLOOKUP($N478,Herbicide_Data!$A$1:$L$61,9)</f>
        <v>#N/A</v>
      </c>
      <c r="P478" s="62" t="e">
        <f>VLOOKUP($N478,Herbicide_Data!$A$1:$P$61,13)</f>
        <v>#N/A</v>
      </c>
      <c r="Q478" s="16" t="e">
        <f t="shared" si="83"/>
        <v>#N/A</v>
      </c>
      <c r="R478" s="62" t="str">
        <f t="shared" si="89"/>
        <v/>
      </c>
      <c r="S478" s="63" t="e">
        <f>VLOOKUP($R478,Herbicide_Data!$A$1:$L$61,9)</f>
        <v>#N/A</v>
      </c>
      <c r="T478" s="62" t="e">
        <f>VLOOKUP($R478,Herbicide_Data!$A$1:$Q$61,13)</f>
        <v>#N/A</v>
      </c>
      <c r="U478" s="16" t="e">
        <f t="shared" si="84"/>
        <v>#N/A</v>
      </c>
      <c r="V478" s="62" t="b">
        <f t="shared" si="90"/>
        <v>0</v>
      </c>
      <c r="W478" s="63" t="e">
        <f>VLOOKUP($V478,Herbicide_Data!$A$1:$L$17,9)</f>
        <v>#N/A</v>
      </c>
      <c r="X478" s="62" t="e">
        <f>VLOOKUP($V478,Herbicide_Data!$A$1:$L$17,12)</f>
        <v>#N/A</v>
      </c>
      <c r="Y478" s="16" t="e">
        <f t="shared" si="85"/>
        <v>#N/A</v>
      </c>
      <c r="Z478" s="15"/>
      <c r="AA478" s="13"/>
      <c r="AB478" s="17"/>
      <c r="AC478" s="3"/>
      <c r="AD478" s="10"/>
      <c r="AE478" s="3"/>
      <c r="AF478" s="10"/>
      <c r="AG478" s="15"/>
      <c r="AH478" s="62" t="str">
        <f t="shared" si="80"/>
        <v/>
      </c>
      <c r="AI478" s="62" t="e">
        <f>VLOOKUP($AH478,Herbicide_Data!$A$1:$Q$61,13)</f>
        <v>#N/A</v>
      </c>
      <c r="AJ478" s="16" t="e">
        <f t="shared" si="86"/>
        <v>#N/A</v>
      </c>
      <c r="AK478" s="3"/>
      <c r="AL478" s="3"/>
      <c r="AM478" s="3"/>
      <c r="AN478" s="3"/>
      <c r="AO478" s="3"/>
      <c r="AP478" s="3"/>
      <c r="AQ478" s="18"/>
      <c r="AR478" s="19"/>
      <c r="AS478" s="19"/>
      <c r="AT478" s="20"/>
      <c r="AU478" s="20"/>
      <c r="AV478" s="21"/>
      <c r="AW478" s="22"/>
      <c r="AX478" s="19"/>
      <c r="AY478" s="19"/>
      <c r="AZ478" s="19"/>
      <c r="BA478" s="23"/>
      <c r="BB478" s="19"/>
      <c r="BC478" s="19"/>
      <c r="BD478" s="19"/>
    </row>
    <row r="479" spans="1:56">
      <c r="A479" s="13"/>
      <c r="B479" s="11"/>
      <c r="C479" s="12"/>
      <c r="D479" s="12">
        <f t="shared" si="81"/>
        <v>2.0833299999999999E-2</v>
      </c>
      <c r="E479" s="10"/>
      <c r="F479" s="10" t="str">
        <f>IFERROR(VLOOKUP(E479,Data!A$2:B$5,2,TRUE), "")</f>
        <v/>
      </c>
      <c r="G479" s="3"/>
      <c r="H479" s="13" t="str">
        <f>IFERROR(VLOOKUP(A479,Customer_Data!$A$1:$P$114,8,TRUE),"")</f>
        <v/>
      </c>
      <c r="I479" s="13"/>
      <c r="J479" s="3" t="str">
        <f t="shared" si="87"/>
        <v/>
      </c>
      <c r="K479" s="62" t="e">
        <f>(VLOOKUP($J479,Herbicide_Data!$A$1:$L$61,9,TRUE))</f>
        <v>#N/A</v>
      </c>
      <c r="L479" s="62" t="e">
        <f>VLOOKUP($J479,Herbicide_Data!$A$1:$L$61,12,TRUE)</f>
        <v>#N/A</v>
      </c>
      <c r="M479" s="16" t="e">
        <f t="shared" si="82"/>
        <v>#N/A</v>
      </c>
      <c r="N479" s="62" t="str">
        <f t="shared" si="88"/>
        <v/>
      </c>
      <c r="O479" s="63" t="e">
        <f>VLOOKUP($N479,Herbicide_Data!$A$1:$L$61,9)</f>
        <v>#N/A</v>
      </c>
      <c r="P479" s="62" t="e">
        <f>VLOOKUP($N479,Herbicide_Data!$A$1:$P$61,13)</f>
        <v>#N/A</v>
      </c>
      <c r="Q479" s="16" t="e">
        <f t="shared" si="83"/>
        <v>#N/A</v>
      </c>
      <c r="R479" s="62" t="str">
        <f t="shared" si="89"/>
        <v/>
      </c>
      <c r="S479" s="63" t="e">
        <f>VLOOKUP($R479,Herbicide_Data!$A$1:$L$61,9)</f>
        <v>#N/A</v>
      </c>
      <c r="T479" s="62" t="e">
        <f>VLOOKUP($R479,Herbicide_Data!$A$1:$Q$61,13)</f>
        <v>#N/A</v>
      </c>
      <c r="U479" s="16" t="e">
        <f t="shared" si="84"/>
        <v>#N/A</v>
      </c>
      <c r="V479" s="62" t="b">
        <f t="shared" si="90"/>
        <v>0</v>
      </c>
      <c r="W479" s="63" t="e">
        <f>VLOOKUP($V479,Herbicide_Data!$A$1:$L$17,9)</f>
        <v>#N/A</v>
      </c>
      <c r="X479" s="62" t="e">
        <f>VLOOKUP($V479,Herbicide_Data!$A$1:$L$17,12)</f>
        <v>#N/A</v>
      </c>
      <c r="Y479" s="16" t="e">
        <f t="shared" si="85"/>
        <v>#N/A</v>
      </c>
      <c r="Z479" s="15"/>
      <c r="AA479" s="13"/>
      <c r="AB479" s="17"/>
      <c r="AC479" s="3"/>
      <c r="AD479" s="10"/>
      <c r="AE479" s="3"/>
      <c r="AF479" s="10"/>
      <c r="AG479" s="15"/>
      <c r="AH479" s="62" t="str">
        <f t="shared" ref="AH479:AH500" si="91">IF($G479=("Spring Preemerge (Jan)"),"Surfactant",IF($G479=("Spring Preemerge (Apr)"),"Surfactant",""))</f>
        <v/>
      </c>
      <c r="AI479" s="62" t="e">
        <f>VLOOKUP($AH479,Herbicide_Data!$A$1:$Q$61,13)</f>
        <v>#N/A</v>
      </c>
      <c r="AJ479" s="16" t="e">
        <f t="shared" si="86"/>
        <v>#N/A</v>
      </c>
      <c r="AK479" s="3"/>
      <c r="AL479" s="3"/>
      <c r="AM479" s="3"/>
      <c r="AN479" s="3"/>
      <c r="AO479" s="3"/>
      <c r="AP479" s="3"/>
      <c r="AQ479" s="18"/>
      <c r="AR479" s="19"/>
      <c r="AS479" s="19"/>
      <c r="AT479" s="20"/>
      <c r="AU479" s="20"/>
      <c r="AV479" s="21"/>
      <c r="AW479" s="22"/>
      <c r="AX479" s="19"/>
      <c r="AY479" s="19"/>
      <c r="AZ479" s="19"/>
      <c r="BA479" s="23"/>
      <c r="BB479" s="19"/>
      <c r="BC479" s="19"/>
      <c r="BD479" s="19"/>
    </row>
    <row r="480" spans="1:56">
      <c r="A480" s="13"/>
      <c r="B480" s="11"/>
      <c r="C480" s="12"/>
      <c r="D480" s="12">
        <f t="shared" si="81"/>
        <v>2.0833299999999999E-2</v>
      </c>
      <c r="E480" s="10"/>
      <c r="F480" s="10" t="str">
        <f>IFERROR(VLOOKUP(E480,Data!A$2:B$5,2,TRUE), "")</f>
        <v/>
      </c>
      <c r="G480" s="3"/>
      <c r="H480" s="13" t="str">
        <f>IFERROR(VLOOKUP(A480,Customer_Data!$A$1:$P$114,8,TRUE),"")</f>
        <v/>
      </c>
      <c r="I480" s="13"/>
      <c r="J480" s="3" t="str">
        <f t="shared" si="87"/>
        <v/>
      </c>
      <c r="K480" s="62" t="e">
        <f>(VLOOKUP($J480,Herbicide_Data!$A$1:$L$61,9,TRUE))</f>
        <v>#N/A</v>
      </c>
      <c r="L480" s="62" t="e">
        <f>VLOOKUP($J480,Herbicide_Data!$A$1:$L$61,12,TRUE)</f>
        <v>#N/A</v>
      </c>
      <c r="M480" s="16" t="e">
        <f t="shared" si="82"/>
        <v>#N/A</v>
      </c>
      <c r="N480" s="62" t="str">
        <f t="shared" si="88"/>
        <v/>
      </c>
      <c r="O480" s="63" t="e">
        <f>VLOOKUP($N480,Herbicide_Data!$A$1:$L$61,9)</f>
        <v>#N/A</v>
      </c>
      <c r="P480" s="62" t="e">
        <f>VLOOKUP($N480,Herbicide_Data!$A$1:$P$61,13)</f>
        <v>#N/A</v>
      </c>
      <c r="Q480" s="16" t="e">
        <f t="shared" si="83"/>
        <v>#N/A</v>
      </c>
      <c r="R480" s="62" t="str">
        <f t="shared" si="89"/>
        <v/>
      </c>
      <c r="S480" s="63" t="e">
        <f>VLOOKUP($R480,Herbicide_Data!$A$1:$L$61,9)</f>
        <v>#N/A</v>
      </c>
      <c r="T480" s="62" t="e">
        <f>VLOOKUP($R480,Herbicide_Data!$A$1:$Q$61,13)</f>
        <v>#N/A</v>
      </c>
      <c r="U480" s="16" t="e">
        <f t="shared" si="84"/>
        <v>#N/A</v>
      </c>
      <c r="V480" s="62" t="b">
        <f t="shared" si="90"/>
        <v>0</v>
      </c>
      <c r="W480" s="63" t="e">
        <f>VLOOKUP($V480,Herbicide_Data!$A$1:$L$17,9)</f>
        <v>#N/A</v>
      </c>
      <c r="X480" s="62" t="e">
        <f>VLOOKUP($V480,Herbicide_Data!$A$1:$L$17,12)</f>
        <v>#N/A</v>
      </c>
      <c r="Y480" s="16" t="e">
        <f t="shared" si="85"/>
        <v>#N/A</v>
      </c>
      <c r="Z480" s="15"/>
      <c r="AA480" s="13"/>
      <c r="AB480" s="17"/>
      <c r="AC480" s="3"/>
      <c r="AD480" s="10"/>
      <c r="AE480" s="3"/>
      <c r="AF480" s="10"/>
      <c r="AG480" s="15"/>
      <c r="AH480" s="62" t="str">
        <f t="shared" si="91"/>
        <v/>
      </c>
      <c r="AI480" s="62" t="e">
        <f>VLOOKUP($AH480,Herbicide_Data!$A$1:$Q$61,13)</f>
        <v>#N/A</v>
      </c>
      <c r="AJ480" s="16" t="e">
        <f t="shared" si="86"/>
        <v>#N/A</v>
      </c>
      <c r="AK480" s="3"/>
      <c r="AL480" s="3"/>
      <c r="AM480" s="3"/>
      <c r="AN480" s="3"/>
      <c r="AO480" s="3"/>
      <c r="AP480" s="3"/>
      <c r="AQ480" s="18"/>
      <c r="AR480" s="19"/>
      <c r="AS480" s="19"/>
      <c r="AT480" s="20"/>
      <c r="AU480" s="20"/>
      <c r="AV480" s="21"/>
      <c r="AW480" s="22"/>
      <c r="AX480" s="19"/>
      <c r="AY480" s="19"/>
      <c r="AZ480" s="19"/>
      <c r="BA480" s="23"/>
      <c r="BB480" s="19"/>
      <c r="BC480" s="19"/>
      <c r="BD480" s="19"/>
    </row>
    <row r="481" spans="1:56">
      <c r="A481" s="13"/>
      <c r="B481" s="11"/>
      <c r="C481" s="12"/>
      <c r="D481" s="12">
        <f t="shared" si="81"/>
        <v>2.0833299999999999E-2</v>
      </c>
      <c r="E481" s="10"/>
      <c r="F481" s="10" t="str">
        <f>IFERROR(VLOOKUP(E481,Data!A$2:B$5,2,TRUE), "")</f>
        <v/>
      </c>
      <c r="G481" s="3"/>
      <c r="H481" s="13" t="str">
        <f>IFERROR(VLOOKUP(A481,Customer_Data!$A$1:$P$114,8,TRUE),"")</f>
        <v/>
      </c>
      <c r="I481" s="13"/>
      <c r="J481" s="3" t="str">
        <f t="shared" si="87"/>
        <v/>
      </c>
      <c r="K481" s="62" t="e">
        <f>(VLOOKUP($J481,Herbicide_Data!$A$1:$L$61,9,TRUE))</f>
        <v>#N/A</v>
      </c>
      <c r="L481" s="62" t="e">
        <f>VLOOKUP($J481,Herbicide_Data!$A$1:$L$61,12,TRUE)</f>
        <v>#N/A</v>
      </c>
      <c r="M481" s="16" t="e">
        <f t="shared" si="82"/>
        <v>#N/A</v>
      </c>
      <c r="N481" s="62" t="str">
        <f t="shared" si="88"/>
        <v/>
      </c>
      <c r="O481" s="63" t="e">
        <f>VLOOKUP($N481,Herbicide_Data!$A$1:$L$61,9)</f>
        <v>#N/A</v>
      </c>
      <c r="P481" s="62" t="e">
        <f>VLOOKUP($N481,Herbicide_Data!$A$1:$P$61,13)</f>
        <v>#N/A</v>
      </c>
      <c r="Q481" s="16" t="e">
        <f t="shared" si="83"/>
        <v>#N/A</v>
      </c>
      <c r="R481" s="62" t="str">
        <f t="shared" si="89"/>
        <v/>
      </c>
      <c r="S481" s="63" t="e">
        <f>VLOOKUP($R481,Herbicide_Data!$A$1:$L$61,9)</f>
        <v>#N/A</v>
      </c>
      <c r="T481" s="62" t="e">
        <f>VLOOKUP($R481,Herbicide_Data!$A$1:$Q$61,13)</f>
        <v>#N/A</v>
      </c>
      <c r="U481" s="16" t="e">
        <f t="shared" si="84"/>
        <v>#N/A</v>
      </c>
      <c r="V481" s="62" t="b">
        <f t="shared" si="90"/>
        <v>0</v>
      </c>
      <c r="W481" s="63" t="e">
        <f>VLOOKUP($V481,Herbicide_Data!$A$1:$L$17,9)</f>
        <v>#N/A</v>
      </c>
      <c r="X481" s="62" t="e">
        <f>VLOOKUP($V481,Herbicide_Data!$A$1:$L$17,12)</f>
        <v>#N/A</v>
      </c>
      <c r="Y481" s="16" t="e">
        <f t="shared" si="85"/>
        <v>#N/A</v>
      </c>
      <c r="Z481" s="15"/>
      <c r="AA481" s="13"/>
      <c r="AB481" s="17"/>
      <c r="AC481" s="3"/>
      <c r="AD481" s="10"/>
      <c r="AE481" s="3"/>
      <c r="AF481" s="10"/>
      <c r="AG481" s="15"/>
      <c r="AH481" s="62" t="str">
        <f t="shared" si="91"/>
        <v/>
      </c>
      <c r="AI481" s="62" t="e">
        <f>VLOOKUP($AH481,Herbicide_Data!$A$1:$Q$61,13)</f>
        <v>#N/A</v>
      </c>
      <c r="AJ481" s="16" t="e">
        <f t="shared" si="86"/>
        <v>#N/A</v>
      </c>
      <c r="AK481" s="3"/>
      <c r="AL481" s="3"/>
      <c r="AM481" s="3"/>
      <c r="AN481" s="3"/>
      <c r="AO481" s="3"/>
      <c r="AP481" s="3"/>
      <c r="AQ481" s="18"/>
      <c r="AR481" s="19"/>
      <c r="AS481" s="19"/>
      <c r="AT481" s="20"/>
      <c r="AU481" s="20"/>
      <c r="AV481" s="21"/>
      <c r="AW481" s="22"/>
      <c r="AX481" s="19"/>
      <c r="AY481" s="19"/>
      <c r="AZ481" s="19"/>
      <c r="BA481" s="23"/>
      <c r="BB481" s="19"/>
      <c r="BC481" s="19"/>
      <c r="BD481" s="19"/>
    </row>
    <row r="482" spans="1:56">
      <c r="A482" s="13"/>
      <c r="B482" s="11"/>
      <c r="C482" s="12"/>
      <c r="D482" s="12">
        <f t="shared" si="81"/>
        <v>2.0833299999999999E-2</v>
      </c>
      <c r="E482" s="10"/>
      <c r="F482" s="10" t="str">
        <f>IFERROR(VLOOKUP(E482,Data!A$2:B$5,2,TRUE), "")</f>
        <v/>
      </c>
      <c r="G482" s="3"/>
      <c r="H482" s="13" t="str">
        <f>IFERROR(VLOOKUP(A482,Customer_Data!$A$1:$P$114,8,TRUE),"")</f>
        <v/>
      </c>
      <c r="I482" s="13"/>
      <c r="J482" s="3" t="str">
        <f t="shared" si="87"/>
        <v/>
      </c>
      <c r="K482" s="62" t="e">
        <f>(VLOOKUP($J482,Herbicide_Data!$A$1:$L$61,9,TRUE))</f>
        <v>#N/A</v>
      </c>
      <c r="L482" s="62" t="e">
        <f>VLOOKUP($J482,Herbicide_Data!$A$1:$L$61,12,TRUE)</f>
        <v>#N/A</v>
      </c>
      <c r="M482" s="16" t="e">
        <f t="shared" si="82"/>
        <v>#N/A</v>
      </c>
      <c r="N482" s="62" t="str">
        <f t="shared" si="88"/>
        <v/>
      </c>
      <c r="O482" s="63" t="e">
        <f>VLOOKUP($N482,Herbicide_Data!$A$1:$L$61,9)</f>
        <v>#N/A</v>
      </c>
      <c r="P482" s="62" t="e">
        <f>VLOOKUP($N482,Herbicide_Data!$A$1:$P$61,13)</f>
        <v>#N/A</v>
      </c>
      <c r="Q482" s="16" t="e">
        <f t="shared" si="83"/>
        <v>#N/A</v>
      </c>
      <c r="R482" s="62" t="str">
        <f t="shared" si="89"/>
        <v/>
      </c>
      <c r="S482" s="63" t="e">
        <f>VLOOKUP($R482,Herbicide_Data!$A$1:$L$61,9)</f>
        <v>#N/A</v>
      </c>
      <c r="T482" s="62" t="e">
        <f>VLOOKUP($R482,Herbicide_Data!$A$1:$Q$61,13)</f>
        <v>#N/A</v>
      </c>
      <c r="U482" s="16" t="e">
        <f t="shared" si="84"/>
        <v>#N/A</v>
      </c>
      <c r="V482" s="62" t="b">
        <f t="shared" si="90"/>
        <v>0</v>
      </c>
      <c r="W482" s="63" t="e">
        <f>VLOOKUP($V482,Herbicide_Data!$A$1:$L$17,9)</f>
        <v>#N/A</v>
      </c>
      <c r="X482" s="62" t="e">
        <f>VLOOKUP($V482,Herbicide_Data!$A$1:$L$17,12)</f>
        <v>#N/A</v>
      </c>
      <c r="Y482" s="16" t="e">
        <f t="shared" si="85"/>
        <v>#N/A</v>
      </c>
      <c r="Z482" s="15"/>
      <c r="AA482" s="13"/>
      <c r="AB482" s="17"/>
      <c r="AC482" s="3"/>
      <c r="AD482" s="10"/>
      <c r="AE482" s="3"/>
      <c r="AF482" s="10"/>
      <c r="AG482" s="15"/>
      <c r="AH482" s="62" t="str">
        <f t="shared" si="91"/>
        <v/>
      </c>
      <c r="AI482" s="62" t="e">
        <f>VLOOKUP($AH482,Herbicide_Data!$A$1:$Q$61,13)</f>
        <v>#N/A</v>
      </c>
      <c r="AJ482" s="16" t="e">
        <f t="shared" si="86"/>
        <v>#N/A</v>
      </c>
      <c r="AK482" s="3"/>
      <c r="AL482" s="3"/>
      <c r="AM482" s="3"/>
      <c r="AN482" s="3"/>
      <c r="AO482" s="3"/>
      <c r="AP482" s="3"/>
      <c r="AQ482" s="18"/>
      <c r="AR482" s="19"/>
      <c r="AS482" s="19"/>
      <c r="AT482" s="20"/>
      <c r="AU482" s="20"/>
      <c r="AV482" s="21"/>
      <c r="AW482" s="22"/>
      <c r="AX482" s="19"/>
      <c r="AY482" s="19"/>
      <c r="AZ482" s="19"/>
      <c r="BA482" s="23"/>
      <c r="BB482" s="19"/>
      <c r="BC482" s="19"/>
      <c r="BD482" s="19"/>
    </row>
    <row r="483" spans="1:56">
      <c r="A483" s="13"/>
      <c r="B483" s="11"/>
      <c r="C483" s="12"/>
      <c r="D483" s="12">
        <f t="shared" si="81"/>
        <v>2.0833299999999999E-2</v>
      </c>
      <c r="E483" s="10"/>
      <c r="F483" s="10" t="str">
        <f>IFERROR(VLOOKUP(E483,Data!A$2:B$5,2,TRUE), "")</f>
        <v/>
      </c>
      <c r="G483" s="3"/>
      <c r="H483" s="13" t="str">
        <f>IFERROR(VLOOKUP(A483,Customer_Data!$A$1:$P$114,8,TRUE),"")</f>
        <v/>
      </c>
      <c r="I483" s="13"/>
      <c r="J483" s="3" t="str">
        <f t="shared" si="87"/>
        <v/>
      </c>
      <c r="K483" s="62" t="e">
        <f>(VLOOKUP($J483,Herbicide_Data!$A$1:$L$61,9,TRUE))</f>
        <v>#N/A</v>
      </c>
      <c r="L483" s="62" t="e">
        <f>VLOOKUP($J483,Herbicide_Data!$A$1:$L$61,12,TRUE)</f>
        <v>#N/A</v>
      </c>
      <c r="M483" s="16" t="e">
        <f t="shared" si="82"/>
        <v>#N/A</v>
      </c>
      <c r="N483" s="62" t="str">
        <f t="shared" si="88"/>
        <v/>
      </c>
      <c r="O483" s="63" t="e">
        <f>VLOOKUP($N483,Herbicide_Data!$A$1:$L$61,9)</f>
        <v>#N/A</v>
      </c>
      <c r="P483" s="62" t="e">
        <f>VLOOKUP($N483,Herbicide_Data!$A$1:$P$61,13)</f>
        <v>#N/A</v>
      </c>
      <c r="Q483" s="16" t="e">
        <f t="shared" si="83"/>
        <v>#N/A</v>
      </c>
      <c r="R483" s="62" t="str">
        <f t="shared" si="89"/>
        <v/>
      </c>
      <c r="S483" s="63" t="e">
        <f>VLOOKUP($R483,Herbicide_Data!$A$1:$L$61,9)</f>
        <v>#N/A</v>
      </c>
      <c r="T483" s="62" t="e">
        <f>VLOOKUP($R483,Herbicide_Data!$A$1:$Q$61,13)</f>
        <v>#N/A</v>
      </c>
      <c r="U483" s="16" t="e">
        <f t="shared" si="84"/>
        <v>#N/A</v>
      </c>
      <c r="V483" s="62" t="b">
        <f t="shared" si="90"/>
        <v>0</v>
      </c>
      <c r="W483" s="63" t="e">
        <f>VLOOKUP($V483,Herbicide_Data!$A$1:$L$17,9)</f>
        <v>#N/A</v>
      </c>
      <c r="X483" s="62" t="e">
        <f>VLOOKUP($V483,Herbicide_Data!$A$1:$L$17,12)</f>
        <v>#N/A</v>
      </c>
      <c r="Y483" s="16" t="e">
        <f t="shared" si="85"/>
        <v>#N/A</v>
      </c>
      <c r="Z483" s="15"/>
      <c r="AA483" s="13"/>
      <c r="AB483" s="17"/>
      <c r="AC483" s="3"/>
      <c r="AD483" s="10"/>
      <c r="AE483" s="3"/>
      <c r="AF483" s="10"/>
      <c r="AG483" s="15"/>
      <c r="AH483" s="62" t="str">
        <f t="shared" si="91"/>
        <v/>
      </c>
      <c r="AI483" s="62" t="e">
        <f>VLOOKUP($AH483,Herbicide_Data!$A$1:$Q$61,13)</f>
        <v>#N/A</v>
      </c>
      <c r="AJ483" s="16" t="e">
        <f t="shared" si="86"/>
        <v>#N/A</v>
      </c>
      <c r="AK483" s="3"/>
      <c r="AL483" s="3"/>
      <c r="AM483" s="3"/>
      <c r="AN483" s="3"/>
      <c r="AO483" s="3"/>
      <c r="AP483" s="3"/>
      <c r="AQ483" s="18"/>
      <c r="AR483" s="19"/>
      <c r="AS483" s="19"/>
      <c r="AT483" s="20"/>
      <c r="AU483" s="20"/>
      <c r="AV483" s="21"/>
      <c r="AW483" s="22"/>
      <c r="AX483" s="19"/>
      <c r="AY483" s="19"/>
      <c r="AZ483" s="19"/>
      <c r="BA483" s="23"/>
      <c r="BB483" s="19"/>
      <c r="BC483" s="19"/>
      <c r="BD483" s="19"/>
    </row>
    <row r="484" spans="1:56">
      <c r="A484" s="13"/>
      <c r="B484" s="11"/>
      <c r="C484" s="12"/>
      <c r="D484" s="12">
        <f t="shared" si="81"/>
        <v>2.0833299999999999E-2</v>
      </c>
      <c r="E484" s="10"/>
      <c r="F484" s="10" t="str">
        <f>IFERROR(VLOOKUP(E484,Data!A$2:B$5,2,TRUE), "")</f>
        <v/>
      </c>
      <c r="G484" s="3"/>
      <c r="H484" s="13" t="str">
        <f>IFERROR(VLOOKUP(A484,Customer_Data!$A$1:$P$114,8,TRUE),"")</f>
        <v/>
      </c>
      <c r="I484" s="13"/>
      <c r="J484" s="3" t="str">
        <f t="shared" si="87"/>
        <v/>
      </c>
      <c r="K484" s="62" t="e">
        <f>(VLOOKUP($J484,Herbicide_Data!$A$1:$L$61,9,TRUE))</f>
        <v>#N/A</v>
      </c>
      <c r="L484" s="62" t="e">
        <f>VLOOKUP($J484,Herbicide_Data!$A$1:$L$61,12,TRUE)</f>
        <v>#N/A</v>
      </c>
      <c r="M484" s="16" t="e">
        <f t="shared" si="82"/>
        <v>#N/A</v>
      </c>
      <c r="N484" s="62" t="str">
        <f t="shared" si="88"/>
        <v/>
      </c>
      <c r="O484" s="63" t="e">
        <f>VLOOKUP($N484,Herbicide_Data!$A$1:$L$61,9)</f>
        <v>#N/A</v>
      </c>
      <c r="P484" s="62" t="e">
        <f>VLOOKUP($N484,Herbicide_Data!$A$1:$P$61,13)</f>
        <v>#N/A</v>
      </c>
      <c r="Q484" s="16" t="e">
        <f t="shared" si="83"/>
        <v>#N/A</v>
      </c>
      <c r="R484" s="62" t="str">
        <f t="shared" si="89"/>
        <v/>
      </c>
      <c r="S484" s="63" t="e">
        <f>VLOOKUP($R484,Herbicide_Data!$A$1:$L$61,9)</f>
        <v>#N/A</v>
      </c>
      <c r="T484" s="62" t="e">
        <f>VLOOKUP($R484,Herbicide_Data!$A$1:$Q$61,13)</f>
        <v>#N/A</v>
      </c>
      <c r="U484" s="16" t="e">
        <f t="shared" si="84"/>
        <v>#N/A</v>
      </c>
      <c r="V484" s="62" t="b">
        <f t="shared" si="90"/>
        <v>0</v>
      </c>
      <c r="W484" s="63" t="e">
        <f>VLOOKUP($V484,Herbicide_Data!$A$1:$L$17,9)</f>
        <v>#N/A</v>
      </c>
      <c r="X484" s="62" t="e">
        <f>VLOOKUP($V484,Herbicide_Data!$A$1:$L$17,12)</f>
        <v>#N/A</v>
      </c>
      <c r="Y484" s="16" t="e">
        <f t="shared" si="85"/>
        <v>#N/A</v>
      </c>
      <c r="Z484" s="15"/>
      <c r="AA484" s="13"/>
      <c r="AB484" s="17"/>
      <c r="AC484" s="3"/>
      <c r="AD484" s="10"/>
      <c r="AE484" s="3"/>
      <c r="AF484" s="10"/>
      <c r="AG484" s="15"/>
      <c r="AH484" s="62" t="str">
        <f t="shared" si="91"/>
        <v/>
      </c>
      <c r="AI484" s="62" t="e">
        <f>VLOOKUP($AH484,Herbicide_Data!$A$1:$Q$61,13)</f>
        <v>#N/A</v>
      </c>
      <c r="AJ484" s="16" t="e">
        <f t="shared" si="86"/>
        <v>#N/A</v>
      </c>
      <c r="AK484" s="3"/>
      <c r="AL484" s="3"/>
      <c r="AM484" s="3"/>
      <c r="AN484" s="3"/>
      <c r="AO484" s="3"/>
      <c r="AP484" s="3"/>
      <c r="AQ484" s="18"/>
      <c r="AR484" s="19"/>
      <c r="AS484" s="19"/>
      <c r="AT484" s="20"/>
      <c r="AU484" s="20"/>
      <c r="AV484" s="21"/>
      <c r="AW484" s="22"/>
      <c r="AX484" s="19"/>
      <c r="AY484" s="19"/>
      <c r="AZ484" s="19"/>
      <c r="BA484" s="23"/>
      <c r="BB484" s="19"/>
      <c r="BC484" s="19"/>
      <c r="BD484" s="19"/>
    </row>
    <row r="485" spans="1:56">
      <c r="A485" s="13"/>
      <c r="B485" s="11"/>
      <c r="C485" s="12"/>
      <c r="D485" s="12">
        <f t="shared" si="81"/>
        <v>2.0833299999999999E-2</v>
      </c>
      <c r="E485" s="10"/>
      <c r="F485" s="10" t="str">
        <f>IFERROR(VLOOKUP(E485,Data!A$2:B$5,2,TRUE), "")</f>
        <v/>
      </c>
      <c r="G485" s="3"/>
      <c r="H485" s="13" t="str">
        <f>IFERROR(VLOOKUP(A485,Customer_Data!$A$1:$P$114,8,TRUE),"")</f>
        <v/>
      </c>
      <c r="I485" s="13"/>
      <c r="J485" s="3" t="str">
        <f t="shared" si="87"/>
        <v/>
      </c>
      <c r="K485" s="62" t="e">
        <f>(VLOOKUP($J485,Herbicide_Data!$A$1:$L$61,9,TRUE))</f>
        <v>#N/A</v>
      </c>
      <c r="L485" s="62" t="e">
        <f>VLOOKUP($J485,Herbicide_Data!$A$1:$L$61,12,TRUE)</f>
        <v>#N/A</v>
      </c>
      <c r="M485" s="16" t="e">
        <f t="shared" si="82"/>
        <v>#N/A</v>
      </c>
      <c r="N485" s="62" t="str">
        <f t="shared" si="88"/>
        <v/>
      </c>
      <c r="O485" s="63" t="e">
        <f>VLOOKUP($N485,Herbicide_Data!$A$1:$L$61,9)</f>
        <v>#N/A</v>
      </c>
      <c r="P485" s="62" t="e">
        <f>VLOOKUP($N485,Herbicide_Data!$A$1:$P$61,13)</f>
        <v>#N/A</v>
      </c>
      <c r="Q485" s="16" t="e">
        <f t="shared" si="83"/>
        <v>#N/A</v>
      </c>
      <c r="R485" s="62" t="str">
        <f t="shared" si="89"/>
        <v/>
      </c>
      <c r="S485" s="63" t="e">
        <f>VLOOKUP($R485,Herbicide_Data!$A$1:$L$61,9)</f>
        <v>#N/A</v>
      </c>
      <c r="T485" s="62" t="e">
        <f>VLOOKUP($R485,Herbicide_Data!$A$1:$Q$61,13)</f>
        <v>#N/A</v>
      </c>
      <c r="U485" s="16" t="e">
        <f t="shared" si="84"/>
        <v>#N/A</v>
      </c>
      <c r="V485" s="62" t="b">
        <f t="shared" si="90"/>
        <v>0</v>
      </c>
      <c r="W485" s="63" t="e">
        <f>VLOOKUP($V485,Herbicide_Data!$A$1:$L$17,9)</f>
        <v>#N/A</v>
      </c>
      <c r="X485" s="62" t="e">
        <f>VLOOKUP($V485,Herbicide_Data!$A$1:$L$17,12)</f>
        <v>#N/A</v>
      </c>
      <c r="Y485" s="16" t="e">
        <f t="shared" si="85"/>
        <v>#N/A</v>
      </c>
      <c r="Z485" s="15"/>
      <c r="AA485" s="13"/>
      <c r="AB485" s="17"/>
      <c r="AC485" s="3"/>
      <c r="AD485" s="10"/>
      <c r="AE485" s="3"/>
      <c r="AF485" s="10"/>
      <c r="AG485" s="15"/>
      <c r="AH485" s="62" t="str">
        <f t="shared" si="91"/>
        <v/>
      </c>
      <c r="AI485" s="62" t="e">
        <f>VLOOKUP($AH485,Herbicide_Data!$A$1:$Q$61,13)</f>
        <v>#N/A</v>
      </c>
      <c r="AJ485" s="16" t="e">
        <f t="shared" si="86"/>
        <v>#N/A</v>
      </c>
      <c r="AK485" s="3"/>
      <c r="AL485" s="3"/>
      <c r="AM485" s="3"/>
      <c r="AN485" s="3"/>
      <c r="AO485" s="3"/>
      <c r="AP485" s="3"/>
      <c r="AQ485" s="18"/>
      <c r="AR485" s="19"/>
      <c r="AS485" s="19"/>
      <c r="AT485" s="20"/>
      <c r="AU485" s="20"/>
      <c r="AV485" s="21"/>
      <c r="AW485" s="22"/>
      <c r="AX485" s="19"/>
      <c r="AY485" s="19"/>
      <c r="AZ485" s="19"/>
      <c r="BA485" s="23"/>
      <c r="BB485" s="19"/>
      <c r="BC485" s="19"/>
      <c r="BD485" s="19"/>
    </row>
    <row r="486" spans="1:56">
      <c r="A486" s="13"/>
      <c r="B486" s="11"/>
      <c r="C486" s="12"/>
      <c r="D486" s="12">
        <f t="shared" si="81"/>
        <v>2.0833299999999999E-2</v>
      </c>
      <c r="E486" s="10"/>
      <c r="F486" s="10" t="str">
        <f>IFERROR(VLOOKUP(E486,Data!A$2:B$5,2,TRUE), "")</f>
        <v/>
      </c>
      <c r="G486" s="3"/>
      <c r="H486" s="13" t="str">
        <f>IFERROR(VLOOKUP(A486,Customer_Data!$A$1:$P$114,8,TRUE),"")</f>
        <v/>
      </c>
      <c r="I486" s="13"/>
      <c r="J486" s="3" t="str">
        <f t="shared" si="87"/>
        <v/>
      </c>
      <c r="K486" s="62" t="e">
        <f>(VLOOKUP($J486,Herbicide_Data!$A$1:$L$61,9,TRUE))</f>
        <v>#N/A</v>
      </c>
      <c r="L486" s="62" t="e">
        <f>VLOOKUP($J486,Herbicide_Data!$A$1:$L$61,12,TRUE)</f>
        <v>#N/A</v>
      </c>
      <c r="M486" s="16" t="e">
        <f t="shared" si="82"/>
        <v>#N/A</v>
      </c>
      <c r="N486" s="62" t="str">
        <f t="shared" si="88"/>
        <v/>
      </c>
      <c r="O486" s="63" t="e">
        <f>VLOOKUP($N486,Herbicide_Data!$A$1:$L$61,9)</f>
        <v>#N/A</v>
      </c>
      <c r="P486" s="62" t="e">
        <f>VLOOKUP($N486,Herbicide_Data!$A$1:$P$61,13)</f>
        <v>#N/A</v>
      </c>
      <c r="Q486" s="16" t="e">
        <f t="shared" si="83"/>
        <v>#N/A</v>
      </c>
      <c r="R486" s="62" t="str">
        <f t="shared" si="89"/>
        <v/>
      </c>
      <c r="S486" s="63" t="e">
        <f>VLOOKUP($R486,Herbicide_Data!$A$1:$L$61,9)</f>
        <v>#N/A</v>
      </c>
      <c r="T486" s="62" t="e">
        <f>VLOOKUP($R486,Herbicide_Data!$A$1:$Q$61,13)</f>
        <v>#N/A</v>
      </c>
      <c r="U486" s="16" t="e">
        <f t="shared" si="84"/>
        <v>#N/A</v>
      </c>
      <c r="V486" s="62" t="b">
        <f t="shared" si="90"/>
        <v>0</v>
      </c>
      <c r="W486" s="63" t="e">
        <f>VLOOKUP($V486,Herbicide_Data!$A$1:$L$17,9)</f>
        <v>#N/A</v>
      </c>
      <c r="X486" s="62" t="e">
        <f>VLOOKUP($V486,Herbicide_Data!$A$1:$L$17,12)</f>
        <v>#N/A</v>
      </c>
      <c r="Y486" s="16" t="e">
        <f t="shared" si="85"/>
        <v>#N/A</v>
      </c>
      <c r="Z486" s="15"/>
      <c r="AA486" s="13"/>
      <c r="AB486" s="17"/>
      <c r="AC486" s="3"/>
      <c r="AD486" s="10"/>
      <c r="AE486" s="3"/>
      <c r="AF486" s="10"/>
      <c r="AG486" s="15"/>
      <c r="AH486" s="62" t="str">
        <f t="shared" si="91"/>
        <v/>
      </c>
      <c r="AI486" s="62" t="e">
        <f>VLOOKUP($AH486,Herbicide_Data!$A$1:$Q$61,13)</f>
        <v>#N/A</v>
      </c>
      <c r="AJ486" s="16" t="e">
        <f t="shared" si="86"/>
        <v>#N/A</v>
      </c>
      <c r="AK486" s="3"/>
      <c r="AL486" s="3"/>
      <c r="AM486" s="3"/>
      <c r="AN486" s="3"/>
      <c r="AO486" s="3"/>
      <c r="AP486" s="3"/>
      <c r="AQ486" s="18"/>
      <c r="AR486" s="19"/>
      <c r="AS486" s="19"/>
      <c r="AT486" s="20"/>
      <c r="AU486" s="20"/>
      <c r="AV486" s="21"/>
      <c r="AW486" s="22"/>
      <c r="AX486" s="19"/>
      <c r="AY486" s="19"/>
      <c r="AZ486" s="19"/>
      <c r="BA486" s="23"/>
      <c r="BB486" s="19"/>
      <c r="BC486" s="19"/>
      <c r="BD486" s="19"/>
    </row>
    <row r="487" spans="1:56">
      <c r="A487" s="13"/>
      <c r="B487" s="11"/>
      <c r="C487" s="12"/>
      <c r="D487" s="12">
        <f t="shared" si="81"/>
        <v>2.0833299999999999E-2</v>
      </c>
      <c r="E487" s="10"/>
      <c r="F487" s="10" t="str">
        <f>IFERROR(VLOOKUP(E487,Data!A$2:B$5,2,TRUE), "")</f>
        <v/>
      </c>
      <c r="G487" s="3"/>
      <c r="H487" s="13" t="str">
        <f>IFERROR(VLOOKUP(A487,Customer_Data!$A$1:$P$114,8,TRUE),"")</f>
        <v/>
      </c>
      <c r="I487" s="13"/>
      <c r="J487" s="3" t="str">
        <f t="shared" si="87"/>
        <v/>
      </c>
      <c r="K487" s="62" t="e">
        <f>(VLOOKUP($J487,Herbicide_Data!$A$1:$L$61,9,TRUE))</f>
        <v>#N/A</v>
      </c>
      <c r="L487" s="62" t="e">
        <f>VLOOKUP($J487,Herbicide_Data!$A$1:$L$61,12,TRUE)</f>
        <v>#N/A</v>
      </c>
      <c r="M487" s="16" t="e">
        <f t="shared" si="82"/>
        <v>#N/A</v>
      </c>
      <c r="N487" s="62" t="str">
        <f t="shared" si="88"/>
        <v/>
      </c>
      <c r="O487" s="63" t="e">
        <f>VLOOKUP($N487,Herbicide_Data!$A$1:$L$61,9)</f>
        <v>#N/A</v>
      </c>
      <c r="P487" s="62" t="e">
        <f>VLOOKUP($N487,Herbicide_Data!$A$1:$P$61,13)</f>
        <v>#N/A</v>
      </c>
      <c r="Q487" s="16" t="e">
        <f t="shared" si="83"/>
        <v>#N/A</v>
      </c>
      <c r="R487" s="62" t="str">
        <f t="shared" si="89"/>
        <v/>
      </c>
      <c r="S487" s="63" t="e">
        <f>VLOOKUP($R487,Herbicide_Data!$A$1:$L$61,9)</f>
        <v>#N/A</v>
      </c>
      <c r="T487" s="62" t="e">
        <f>VLOOKUP($R487,Herbicide_Data!$A$1:$Q$61,13)</f>
        <v>#N/A</v>
      </c>
      <c r="U487" s="16" t="e">
        <f t="shared" si="84"/>
        <v>#N/A</v>
      </c>
      <c r="V487" s="62" t="b">
        <f t="shared" si="90"/>
        <v>0</v>
      </c>
      <c r="W487" s="63" t="e">
        <f>VLOOKUP($V487,Herbicide_Data!$A$1:$L$17,9)</f>
        <v>#N/A</v>
      </c>
      <c r="X487" s="62" t="e">
        <f>VLOOKUP($V487,Herbicide_Data!$A$1:$L$17,12)</f>
        <v>#N/A</v>
      </c>
      <c r="Y487" s="16" t="e">
        <f t="shared" si="85"/>
        <v>#N/A</v>
      </c>
      <c r="Z487" s="15"/>
      <c r="AA487" s="13"/>
      <c r="AB487" s="17"/>
      <c r="AC487" s="3"/>
      <c r="AD487" s="10"/>
      <c r="AE487" s="3"/>
      <c r="AF487" s="10"/>
      <c r="AG487" s="15"/>
      <c r="AH487" s="62" t="str">
        <f t="shared" si="91"/>
        <v/>
      </c>
      <c r="AI487" s="62" t="e">
        <f>VLOOKUP($AH487,Herbicide_Data!$A$1:$Q$61,13)</f>
        <v>#N/A</v>
      </c>
      <c r="AJ487" s="16" t="e">
        <f t="shared" si="86"/>
        <v>#N/A</v>
      </c>
      <c r="AK487" s="3"/>
      <c r="AL487" s="3"/>
      <c r="AM487" s="3"/>
      <c r="AN487" s="3"/>
      <c r="AO487" s="3"/>
      <c r="AP487" s="3"/>
      <c r="AQ487" s="18"/>
      <c r="AR487" s="19"/>
      <c r="AS487" s="19"/>
      <c r="AT487" s="20"/>
      <c r="AU487" s="20"/>
      <c r="AV487" s="21"/>
      <c r="AW487" s="22"/>
      <c r="AX487" s="19"/>
      <c r="AY487" s="19"/>
      <c r="AZ487" s="19"/>
      <c r="BA487" s="23"/>
      <c r="BB487" s="19"/>
      <c r="BC487" s="19"/>
      <c r="BD487" s="19"/>
    </row>
    <row r="488" spans="1:56">
      <c r="A488" s="13"/>
      <c r="B488" s="11"/>
      <c r="C488" s="12"/>
      <c r="D488" s="12">
        <f t="shared" si="81"/>
        <v>2.0833299999999999E-2</v>
      </c>
      <c r="E488" s="10"/>
      <c r="F488" s="10" t="str">
        <f>IFERROR(VLOOKUP(E488,Data!A$2:B$5,2,TRUE), "")</f>
        <v/>
      </c>
      <c r="G488" s="3"/>
      <c r="H488" s="13" t="str">
        <f>IFERROR(VLOOKUP(A488,Customer_Data!$A$1:$P$114,8,TRUE),"")</f>
        <v/>
      </c>
      <c r="I488" s="13"/>
      <c r="J488" s="3" t="str">
        <f t="shared" si="87"/>
        <v/>
      </c>
      <c r="K488" s="62" t="e">
        <f>(VLOOKUP($J488,Herbicide_Data!$A$1:$L$61,9,TRUE))</f>
        <v>#N/A</v>
      </c>
      <c r="L488" s="62" t="e">
        <f>VLOOKUP($J488,Herbicide_Data!$A$1:$L$61,12,TRUE)</f>
        <v>#N/A</v>
      </c>
      <c r="M488" s="16" t="e">
        <f t="shared" si="82"/>
        <v>#N/A</v>
      </c>
      <c r="N488" s="62" t="str">
        <f t="shared" si="88"/>
        <v/>
      </c>
      <c r="O488" s="63" t="e">
        <f>VLOOKUP($N488,Herbicide_Data!$A$1:$L$61,9)</f>
        <v>#N/A</v>
      </c>
      <c r="P488" s="62" t="e">
        <f>VLOOKUP($N488,Herbicide_Data!$A$1:$P$61,13)</f>
        <v>#N/A</v>
      </c>
      <c r="Q488" s="16" t="e">
        <f t="shared" si="83"/>
        <v>#N/A</v>
      </c>
      <c r="R488" s="62" t="str">
        <f t="shared" si="89"/>
        <v/>
      </c>
      <c r="S488" s="63" t="e">
        <f>VLOOKUP($R488,Herbicide_Data!$A$1:$L$61,9)</f>
        <v>#N/A</v>
      </c>
      <c r="T488" s="62" t="e">
        <f>VLOOKUP($R488,Herbicide_Data!$A$1:$Q$61,13)</f>
        <v>#N/A</v>
      </c>
      <c r="U488" s="16" t="e">
        <f t="shared" si="84"/>
        <v>#N/A</v>
      </c>
      <c r="V488" s="62" t="b">
        <f t="shared" si="90"/>
        <v>0</v>
      </c>
      <c r="W488" s="63" t="e">
        <f>VLOOKUP($V488,Herbicide_Data!$A$1:$L$17,9)</f>
        <v>#N/A</v>
      </c>
      <c r="X488" s="62" t="e">
        <f>VLOOKUP($V488,Herbicide_Data!$A$1:$L$17,12)</f>
        <v>#N/A</v>
      </c>
      <c r="Y488" s="16" t="e">
        <f t="shared" si="85"/>
        <v>#N/A</v>
      </c>
      <c r="Z488" s="15"/>
      <c r="AA488" s="13"/>
      <c r="AB488" s="17"/>
      <c r="AC488" s="3"/>
      <c r="AD488" s="10"/>
      <c r="AE488" s="3"/>
      <c r="AF488" s="10"/>
      <c r="AG488" s="15"/>
      <c r="AH488" s="62" t="str">
        <f t="shared" si="91"/>
        <v/>
      </c>
      <c r="AI488" s="62" t="e">
        <f>VLOOKUP($AH488,Herbicide_Data!$A$1:$Q$61,13)</f>
        <v>#N/A</v>
      </c>
      <c r="AJ488" s="16" t="e">
        <f t="shared" si="86"/>
        <v>#N/A</v>
      </c>
      <c r="AK488" s="3"/>
      <c r="AL488" s="3"/>
      <c r="AM488" s="3"/>
      <c r="AN488" s="3"/>
      <c r="AO488" s="3"/>
      <c r="AP488" s="3"/>
      <c r="AQ488" s="18"/>
      <c r="AR488" s="19"/>
      <c r="AS488" s="19"/>
      <c r="AT488" s="20"/>
      <c r="AU488" s="20"/>
      <c r="AV488" s="21"/>
      <c r="AW488" s="22"/>
      <c r="AX488" s="19"/>
      <c r="AY488" s="19"/>
      <c r="AZ488" s="19"/>
      <c r="BA488" s="23"/>
      <c r="BB488" s="19"/>
      <c r="BC488" s="19"/>
      <c r="BD488" s="19"/>
    </row>
    <row r="489" spans="1:56">
      <c r="A489" s="13"/>
      <c r="B489" s="11"/>
      <c r="C489" s="12"/>
      <c r="D489" s="12">
        <f t="shared" si="81"/>
        <v>2.0833299999999999E-2</v>
      </c>
      <c r="E489" s="10"/>
      <c r="F489" s="10" t="str">
        <f>IFERROR(VLOOKUP(E489,Data!A$2:B$5,2,TRUE), "")</f>
        <v/>
      </c>
      <c r="G489" s="3"/>
      <c r="H489" s="13" t="str">
        <f>IFERROR(VLOOKUP(A489,Customer_Data!$A$1:$P$114,8,TRUE),"")</f>
        <v/>
      </c>
      <c r="I489" s="13"/>
      <c r="J489" s="3" t="str">
        <f t="shared" si="87"/>
        <v/>
      </c>
      <c r="K489" s="62" t="e">
        <f>(VLOOKUP($J489,Herbicide_Data!$A$1:$L$61,9,TRUE))</f>
        <v>#N/A</v>
      </c>
      <c r="L489" s="62" t="e">
        <f>VLOOKUP($J489,Herbicide_Data!$A$1:$L$61,12,TRUE)</f>
        <v>#N/A</v>
      </c>
      <c r="M489" s="16" t="e">
        <f t="shared" si="82"/>
        <v>#N/A</v>
      </c>
      <c r="N489" s="62" t="str">
        <f t="shared" si="88"/>
        <v/>
      </c>
      <c r="O489" s="63" t="e">
        <f>VLOOKUP($N489,Herbicide_Data!$A$1:$L$61,9)</f>
        <v>#N/A</v>
      </c>
      <c r="P489" s="62" t="e">
        <f>VLOOKUP($N489,Herbicide_Data!$A$1:$P$61,13)</f>
        <v>#N/A</v>
      </c>
      <c r="Q489" s="16" t="e">
        <f t="shared" si="83"/>
        <v>#N/A</v>
      </c>
      <c r="R489" s="62" t="str">
        <f t="shared" si="89"/>
        <v/>
      </c>
      <c r="S489" s="63" t="e">
        <f>VLOOKUP($R489,Herbicide_Data!$A$1:$L$61,9)</f>
        <v>#N/A</v>
      </c>
      <c r="T489" s="62" t="e">
        <f>VLOOKUP($R489,Herbicide_Data!$A$1:$Q$61,13)</f>
        <v>#N/A</v>
      </c>
      <c r="U489" s="16" t="e">
        <f t="shared" si="84"/>
        <v>#N/A</v>
      </c>
      <c r="V489" s="62" t="b">
        <f t="shared" si="90"/>
        <v>0</v>
      </c>
      <c r="W489" s="63" t="e">
        <f>VLOOKUP($V489,Herbicide_Data!$A$1:$L$17,9)</f>
        <v>#N/A</v>
      </c>
      <c r="X489" s="62" t="e">
        <f>VLOOKUP($V489,Herbicide_Data!$A$1:$L$17,12)</f>
        <v>#N/A</v>
      </c>
      <c r="Y489" s="16" t="e">
        <f t="shared" si="85"/>
        <v>#N/A</v>
      </c>
      <c r="Z489" s="15"/>
      <c r="AA489" s="13"/>
      <c r="AB489" s="17"/>
      <c r="AC489" s="3"/>
      <c r="AD489" s="10"/>
      <c r="AE489" s="3"/>
      <c r="AF489" s="10"/>
      <c r="AG489" s="15"/>
      <c r="AH489" s="62" t="str">
        <f t="shared" si="91"/>
        <v/>
      </c>
      <c r="AI489" s="62" t="e">
        <f>VLOOKUP($AH489,Herbicide_Data!$A$1:$Q$61,13)</f>
        <v>#N/A</v>
      </c>
      <c r="AJ489" s="16" t="e">
        <f t="shared" si="86"/>
        <v>#N/A</v>
      </c>
      <c r="AK489" s="3"/>
      <c r="AL489" s="3"/>
      <c r="AM489" s="3"/>
      <c r="AN489" s="3"/>
      <c r="AO489" s="3"/>
      <c r="AP489" s="3"/>
      <c r="AQ489" s="18"/>
      <c r="AR489" s="19"/>
      <c r="AS489" s="19"/>
      <c r="AT489" s="20"/>
      <c r="AU489" s="20"/>
      <c r="AV489" s="21"/>
      <c r="AW489" s="22"/>
      <c r="AX489" s="19"/>
      <c r="AY489" s="19"/>
      <c r="AZ489" s="19"/>
      <c r="BA489" s="23"/>
      <c r="BB489" s="19"/>
      <c r="BC489" s="19"/>
      <c r="BD489" s="19"/>
    </row>
    <row r="490" spans="1:56">
      <c r="A490" s="13"/>
      <c r="B490" s="11"/>
      <c r="C490" s="12"/>
      <c r="D490" s="12">
        <f t="shared" si="81"/>
        <v>2.0833299999999999E-2</v>
      </c>
      <c r="E490" s="10"/>
      <c r="F490" s="10" t="str">
        <f>IFERROR(VLOOKUP(E490,Data!A$2:B$5,2,TRUE), "")</f>
        <v/>
      </c>
      <c r="G490" s="3"/>
      <c r="H490" s="13" t="str">
        <f>IFERROR(VLOOKUP(A490,Customer_Data!$A$1:$P$114,8,TRUE),"")</f>
        <v/>
      </c>
      <c r="I490" s="13"/>
      <c r="J490" s="3" t="str">
        <f t="shared" si="87"/>
        <v/>
      </c>
      <c r="K490" s="62" t="e">
        <f>(VLOOKUP($J490,Herbicide_Data!$A$1:$L$61,9,TRUE))</f>
        <v>#N/A</v>
      </c>
      <c r="L490" s="62" t="e">
        <f>VLOOKUP($J490,Herbicide_Data!$A$1:$L$61,12,TRUE)</f>
        <v>#N/A</v>
      </c>
      <c r="M490" s="16" t="e">
        <f t="shared" si="82"/>
        <v>#N/A</v>
      </c>
      <c r="N490" s="62" t="str">
        <f t="shared" si="88"/>
        <v/>
      </c>
      <c r="O490" s="63" t="e">
        <f>VLOOKUP($N490,Herbicide_Data!$A$1:$L$61,9)</f>
        <v>#N/A</v>
      </c>
      <c r="P490" s="62" t="e">
        <f>VLOOKUP($N490,Herbicide_Data!$A$1:$P$61,13)</f>
        <v>#N/A</v>
      </c>
      <c r="Q490" s="16" t="e">
        <f t="shared" si="83"/>
        <v>#N/A</v>
      </c>
      <c r="R490" s="62" t="str">
        <f t="shared" si="89"/>
        <v/>
      </c>
      <c r="S490" s="63" t="e">
        <f>VLOOKUP($R490,Herbicide_Data!$A$1:$L$61,9)</f>
        <v>#N/A</v>
      </c>
      <c r="T490" s="62" t="e">
        <f>VLOOKUP($R490,Herbicide_Data!$A$1:$Q$61,13)</f>
        <v>#N/A</v>
      </c>
      <c r="U490" s="16" t="e">
        <f t="shared" si="84"/>
        <v>#N/A</v>
      </c>
      <c r="V490" s="62" t="b">
        <f t="shared" si="90"/>
        <v>0</v>
      </c>
      <c r="W490" s="63" t="e">
        <f>VLOOKUP($V490,Herbicide_Data!$A$1:$L$17,9)</f>
        <v>#N/A</v>
      </c>
      <c r="X490" s="62" t="e">
        <f>VLOOKUP($V490,Herbicide_Data!$A$1:$L$17,12)</f>
        <v>#N/A</v>
      </c>
      <c r="Y490" s="16" t="e">
        <f t="shared" si="85"/>
        <v>#N/A</v>
      </c>
      <c r="Z490" s="15"/>
      <c r="AA490" s="13"/>
      <c r="AB490" s="17"/>
      <c r="AC490" s="3"/>
      <c r="AD490" s="10"/>
      <c r="AE490" s="3"/>
      <c r="AF490" s="10"/>
      <c r="AG490" s="15"/>
      <c r="AH490" s="62" t="str">
        <f t="shared" si="91"/>
        <v/>
      </c>
      <c r="AI490" s="62" t="e">
        <f>VLOOKUP($AH490,Herbicide_Data!$A$1:$Q$61,13)</f>
        <v>#N/A</v>
      </c>
      <c r="AJ490" s="16" t="e">
        <f t="shared" si="86"/>
        <v>#N/A</v>
      </c>
      <c r="AK490" s="3"/>
      <c r="AL490" s="3"/>
      <c r="AM490" s="3"/>
      <c r="AN490" s="3"/>
      <c r="AO490" s="3"/>
      <c r="AP490" s="3"/>
      <c r="AQ490" s="18"/>
      <c r="AR490" s="19"/>
      <c r="AS490" s="19"/>
      <c r="AT490" s="20"/>
      <c r="AU490" s="20"/>
      <c r="AV490" s="21"/>
      <c r="AW490" s="22"/>
      <c r="AX490" s="19"/>
      <c r="AY490" s="19"/>
      <c r="AZ490" s="19"/>
      <c r="BA490" s="23"/>
      <c r="BB490" s="19"/>
      <c r="BC490" s="19"/>
      <c r="BD490" s="19"/>
    </row>
    <row r="491" spans="1:56">
      <c r="A491" s="13"/>
      <c r="B491" s="11"/>
      <c r="C491" s="12"/>
      <c r="D491" s="12">
        <f t="shared" si="81"/>
        <v>2.0833299999999999E-2</v>
      </c>
      <c r="E491" s="10"/>
      <c r="F491" s="10" t="str">
        <f>IFERROR(VLOOKUP(E491,Data!A$2:B$5,2,TRUE), "")</f>
        <v/>
      </c>
      <c r="G491" s="3"/>
      <c r="H491" s="13" t="str">
        <f>IFERROR(VLOOKUP(A491,Customer_Data!$A$1:$P$114,8,TRUE),"")</f>
        <v/>
      </c>
      <c r="I491" s="13"/>
      <c r="J491" s="3" t="str">
        <f t="shared" si="87"/>
        <v/>
      </c>
      <c r="K491" s="62" t="e">
        <f>(VLOOKUP($J491,Herbicide_Data!$A$1:$L$61,9,TRUE))</f>
        <v>#N/A</v>
      </c>
      <c r="L491" s="62" t="e">
        <f>VLOOKUP($J491,Herbicide_Data!$A$1:$L$61,12,TRUE)</f>
        <v>#N/A</v>
      </c>
      <c r="M491" s="16" t="e">
        <f t="shared" si="82"/>
        <v>#N/A</v>
      </c>
      <c r="N491" s="62" t="str">
        <f t="shared" si="88"/>
        <v/>
      </c>
      <c r="O491" s="63" t="e">
        <f>VLOOKUP($N491,Herbicide_Data!$A$1:$L$61,9)</f>
        <v>#N/A</v>
      </c>
      <c r="P491" s="62" t="e">
        <f>VLOOKUP($N491,Herbicide_Data!$A$1:$P$61,13)</f>
        <v>#N/A</v>
      </c>
      <c r="Q491" s="16" t="e">
        <f t="shared" si="83"/>
        <v>#N/A</v>
      </c>
      <c r="R491" s="62" t="str">
        <f t="shared" si="89"/>
        <v/>
      </c>
      <c r="S491" s="63" t="e">
        <f>VLOOKUP($R491,Herbicide_Data!$A$1:$L$61,9)</f>
        <v>#N/A</v>
      </c>
      <c r="T491" s="62" t="e">
        <f>VLOOKUP($R491,Herbicide_Data!$A$1:$Q$61,13)</f>
        <v>#N/A</v>
      </c>
      <c r="U491" s="16" t="e">
        <f t="shared" si="84"/>
        <v>#N/A</v>
      </c>
      <c r="V491" s="62" t="b">
        <f t="shared" si="90"/>
        <v>0</v>
      </c>
      <c r="W491" s="63" t="e">
        <f>VLOOKUP($V491,Herbicide_Data!$A$1:$L$17,9)</f>
        <v>#N/A</v>
      </c>
      <c r="X491" s="62" t="e">
        <f>VLOOKUP($V491,Herbicide_Data!$A$1:$L$17,12)</f>
        <v>#N/A</v>
      </c>
      <c r="Y491" s="16" t="e">
        <f t="shared" si="85"/>
        <v>#N/A</v>
      </c>
      <c r="Z491" s="15"/>
      <c r="AA491" s="13"/>
      <c r="AB491" s="17"/>
      <c r="AC491" s="3"/>
      <c r="AD491" s="10"/>
      <c r="AE491" s="3"/>
      <c r="AF491" s="10"/>
      <c r="AG491" s="15"/>
      <c r="AH491" s="62" t="str">
        <f t="shared" si="91"/>
        <v/>
      </c>
      <c r="AI491" s="62" t="e">
        <f>VLOOKUP($AH491,Herbicide_Data!$A$1:$Q$61,13)</f>
        <v>#N/A</v>
      </c>
      <c r="AJ491" s="16" t="e">
        <f t="shared" si="86"/>
        <v>#N/A</v>
      </c>
      <c r="AK491" s="3"/>
      <c r="AL491" s="3"/>
      <c r="AM491" s="3"/>
      <c r="AN491" s="3"/>
      <c r="AO491" s="3"/>
      <c r="AP491" s="3"/>
      <c r="AQ491" s="18"/>
      <c r="AR491" s="19"/>
      <c r="AS491" s="19"/>
      <c r="AT491" s="20"/>
      <c r="AU491" s="20"/>
      <c r="AV491" s="21"/>
      <c r="AW491" s="22"/>
      <c r="AX491" s="19"/>
      <c r="AY491" s="19"/>
      <c r="AZ491" s="19"/>
      <c r="BA491" s="23"/>
      <c r="BB491" s="19"/>
      <c r="BC491" s="19"/>
      <c r="BD491" s="19"/>
    </row>
    <row r="492" spans="1:56">
      <c r="A492" s="13"/>
      <c r="B492" s="11"/>
      <c r="C492" s="12"/>
      <c r="D492" s="12">
        <f t="shared" si="81"/>
        <v>2.0833299999999999E-2</v>
      </c>
      <c r="E492" s="10"/>
      <c r="F492" s="10" t="str">
        <f>IFERROR(VLOOKUP(E492,Data!A$2:B$5,2,TRUE), "")</f>
        <v/>
      </c>
      <c r="G492" s="3"/>
      <c r="H492" s="13" t="str">
        <f>IFERROR(VLOOKUP(A492,Customer_Data!$A$1:$P$114,8,TRUE),"")</f>
        <v/>
      </c>
      <c r="I492" s="13"/>
      <c r="J492" s="3" t="str">
        <f t="shared" si="87"/>
        <v/>
      </c>
      <c r="K492" s="62" t="e">
        <f>(VLOOKUP($J492,Herbicide_Data!$A$1:$L$61,9,TRUE))</f>
        <v>#N/A</v>
      </c>
      <c r="L492" s="62" t="e">
        <f>VLOOKUP($J492,Herbicide_Data!$A$1:$L$61,12,TRUE)</f>
        <v>#N/A</v>
      </c>
      <c r="M492" s="16" t="e">
        <f t="shared" si="82"/>
        <v>#N/A</v>
      </c>
      <c r="N492" s="62" t="str">
        <f t="shared" si="88"/>
        <v/>
      </c>
      <c r="O492" s="63" t="e">
        <f>VLOOKUP($N492,Herbicide_Data!$A$1:$L$61,9)</f>
        <v>#N/A</v>
      </c>
      <c r="P492" s="62" t="e">
        <f>VLOOKUP($N492,Herbicide_Data!$A$1:$P$61,13)</f>
        <v>#N/A</v>
      </c>
      <c r="Q492" s="16" t="e">
        <f t="shared" si="83"/>
        <v>#N/A</v>
      </c>
      <c r="R492" s="62" t="str">
        <f t="shared" si="89"/>
        <v/>
      </c>
      <c r="S492" s="63" t="e">
        <f>VLOOKUP($R492,Herbicide_Data!$A$1:$L$61,9)</f>
        <v>#N/A</v>
      </c>
      <c r="T492" s="62" t="e">
        <f>VLOOKUP($R492,Herbicide_Data!$A$1:$Q$61,13)</f>
        <v>#N/A</v>
      </c>
      <c r="U492" s="16" t="e">
        <f t="shared" si="84"/>
        <v>#N/A</v>
      </c>
      <c r="V492" s="62" t="b">
        <f t="shared" si="90"/>
        <v>0</v>
      </c>
      <c r="W492" s="63" t="e">
        <f>VLOOKUP($V492,Herbicide_Data!$A$1:$L$17,9)</f>
        <v>#N/A</v>
      </c>
      <c r="X492" s="62" t="e">
        <f>VLOOKUP($V492,Herbicide_Data!$A$1:$L$17,12)</f>
        <v>#N/A</v>
      </c>
      <c r="Y492" s="16" t="e">
        <f t="shared" si="85"/>
        <v>#N/A</v>
      </c>
      <c r="Z492" s="15"/>
      <c r="AA492" s="13"/>
      <c r="AB492" s="17"/>
      <c r="AC492" s="3"/>
      <c r="AD492" s="10"/>
      <c r="AE492" s="3"/>
      <c r="AF492" s="10"/>
      <c r="AG492" s="15"/>
      <c r="AH492" s="62" t="str">
        <f t="shared" si="91"/>
        <v/>
      </c>
      <c r="AI492" s="62" t="e">
        <f>VLOOKUP($AH492,Herbicide_Data!$A$1:$Q$61,13)</f>
        <v>#N/A</v>
      </c>
      <c r="AJ492" s="16" t="e">
        <f t="shared" si="86"/>
        <v>#N/A</v>
      </c>
      <c r="AK492" s="3"/>
      <c r="AL492" s="3"/>
      <c r="AM492" s="3"/>
      <c r="AN492" s="3"/>
      <c r="AO492" s="3"/>
      <c r="AP492" s="3"/>
      <c r="AQ492" s="18"/>
      <c r="AR492" s="19"/>
      <c r="AS492" s="19"/>
      <c r="AT492" s="20"/>
      <c r="AU492" s="20"/>
      <c r="AV492" s="21"/>
      <c r="AW492" s="22"/>
      <c r="AX492" s="19"/>
      <c r="AY492" s="19"/>
      <c r="AZ492" s="19"/>
      <c r="BA492" s="23"/>
      <c r="BB492" s="19"/>
      <c r="BC492" s="19"/>
      <c r="BD492" s="19"/>
    </row>
    <row r="493" spans="1:56">
      <c r="A493" s="13"/>
      <c r="B493" s="11"/>
      <c r="C493" s="12"/>
      <c r="D493" s="12">
        <f t="shared" si="81"/>
        <v>2.0833299999999999E-2</v>
      </c>
      <c r="E493" s="10"/>
      <c r="F493" s="10" t="str">
        <f>IFERROR(VLOOKUP(E493,Data!A$2:B$5,2,TRUE), "")</f>
        <v/>
      </c>
      <c r="G493" s="3"/>
      <c r="H493" s="13" t="str">
        <f>IFERROR(VLOOKUP(A493,Customer_Data!$A$1:$P$114,8,TRUE),"")</f>
        <v/>
      </c>
      <c r="I493" s="13"/>
      <c r="J493" s="3" t="str">
        <f t="shared" si="87"/>
        <v/>
      </c>
      <c r="K493" s="62" t="e">
        <f>(VLOOKUP($J493,Herbicide_Data!$A$1:$L$61,9,TRUE))</f>
        <v>#N/A</v>
      </c>
      <c r="L493" s="62" t="e">
        <f>VLOOKUP($J493,Herbicide_Data!$A$1:$L$61,12,TRUE)</f>
        <v>#N/A</v>
      </c>
      <c r="M493" s="16" t="e">
        <f t="shared" si="82"/>
        <v>#N/A</v>
      </c>
      <c r="N493" s="62" t="str">
        <f t="shared" si="88"/>
        <v/>
      </c>
      <c r="O493" s="63" t="e">
        <f>VLOOKUP($N493,Herbicide_Data!$A$1:$L$61,9)</f>
        <v>#N/A</v>
      </c>
      <c r="P493" s="62" t="e">
        <f>VLOOKUP($N493,Herbicide_Data!$A$1:$P$61,13)</f>
        <v>#N/A</v>
      </c>
      <c r="Q493" s="16" t="e">
        <f t="shared" si="83"/>
        <v>#N/A</v>
      </c>
      <c r="R493" s="62" t="str">
        <f t="shared" si="89"/>
        <v/>
      </c>
      <c r="S493" s="63" t="e">
        <f>VLOOKUP($R493,Herbicide_Data!$A$1:$L$61,9)</f>
        <v>#N/A</v>
      </c>
      <c r="T493" s="62" t="e">
        <f>VLOOKUP($R493,Herbicide_Data!$A$1:$Q$61,13)</f>
        <v>#N/A</v>
      </c>
      <c r="U493" s="16" t="e">
        <f t="shared" si="84"/>
        <v>#N/A</v>
      </c>
      <c r="V493" s="62" t="b">
        <f t="shared" si="90"/>
        <v>0</v>
      </c>
      <c r="W493" s="63" t="e">
        <f>VLOOKUP($V493,Herbicide_Data!$A$1:$L$17,9)</f>
        <v>#N/A</v>
      </c>
      <c r="X493" s="62" t="e">
        <f>VLOOKUP($V493,Herbicide_Data!$A$1:$L$17,12)</f>
        <v>#N/A</v>
      </c>
      <c r="Y493" s="16" t="e">
        <f t="shared" si="85"/>
        <v>#N/A</v>
      </c>
      <c r="Z493" s="15"/>
      <c r="AA493" s="13"/>
      <c r="AB493" s="17"/>
      <c r="AC493" s="3"/>
      <c r="AD493" s="10"/>
      <c r="AE493" s="3"/>
      <c r="AF493" s="10"/>
      <c r="AG493" s="15"/>
      <c r="AH493" s="62" t="str">
        <f t="shared" si="91"/>
        <v/>
      </c>
      <c r="AI493" s="62" t="e">
        <f>VLOOKUP($AH493,Herbicide_Data!$A$1:$Q$61,13)</f>
        <v>#N/A</v>
      </c>
      <c r="AJ493" s="16" t="e">
        <f t="shared" si="86"/>
        <v>#N/A</v>
      </c>
      <c r="AK493" s="3"/>
      <c r="AL493" s="3"/>
      <c r="AM493" s="3"/>
      <c r="AN493" s="3"/>
      <c r="AO493" s="3"/>
      <c r="AP493" s="3"/>
      <c r="AQ493" s="18"/>
      <c r="AR493" s="19"/>
      <c r="AS493" s="19"/>
      <c r="AT493" s="20"/>
      <c r="AU493" s="20"/>
      <c r="AV493" s="21"/>
      <c r="AW493" s="22"/>
      <c r="AX493" s="19"/>
      <c r="AY493" s="19"/>
      <c r="AZ493" s="19"/>
      <c r="BA493" s="23"/>
      <c r="BB493" s="19"/>
      <c r="BC493" s="19"/>
      <c r="BD493" s="19"/>
    </row>
    <row r="494" spans="1:56">
      <c r="A494" s="13"/>
      <c r="B494" s="11"/>
      <c r="C494" s="12"/>
      <c r="D494" s="12">
        <f t="shared" si="81"/>
        <v>2.0833299999999999E-2</v>
      </c>
      <c r="E494" s="10"/>
      <c r="F494" s="10" t="str">
        <f>IFERROR(VLOOKUP(E494,Data!A$2:B$5,2,TRUE), "")</f>
        <v/>
      </c>
      <c r="G494" s="3"/>
      <c r="H494" s="13" t="str">
        <f>IFERROR(VLOOKUP(A494,Customer_Data!$A$1:$P$114,8,TRUE),"")</f>
        <v/>
      </c>
      <c r="I494" s="13"/>
      <c r="J494" s="3" t="str">
        <f t="shared" si="87"/>
        <v/>
      </c>
      <c r="K494" s="62" t="e">
        <f>(VLOOKUP($J494,Herbicide_Data!$A$1:$L$61,9,TRUE))</f>
        <v>#N/A</v>
      </c>
      <c r="L494" s="62" t="e">
        <f>VLOOKUP($J494,Herbicide_Data!$A$1:$L$61,12,TRUE)</f>
        <v>#N/A</v>
      </c>
      <c r="M494" s="16" t="e">
        <f t="shared" si="82"/>
        <v>#N/A</v>
      </c>
      <c r="N494" s="62" t="str">
        <f t="shared" si="88"/>
        <v/>
      </c>
      <c r="O494" s="63" t="e">
        <f>VLOOKUP($N494,Herbicide_Data!$A$1:$L$61,9)</f>
        <v>#N/A</v>
      </c>
      <c r="P494" s="62" t="e">
        <f>VLOOKUP($N494,Herbicide_Data!$A$1:$P$61,13)</f>
        <v>#N/A</v>
      </c>
      <c r="Q494" s="16" t="e">
        <f t="shared" si="83"/>
        <v>#N/A</v>
      </c>
      <c r="R494" s="62" t="str">
        <f t="shared" si="89"/>
        <v/>
      </c>
      <c r="S494" s="63" t="e">
        <f>VLOOKUP($R494,Herbicide_Data!$A$1:$L$61,9)</f>
        <v>#N/A</v>
      </c>
      <c r="T494" s="62" t="e">
        <f>VLOOKUP($R494,Herbicide_Data!$A$1:$Q$61,13)</f>
        <v>#N/A</v>
      </c>
      <c r="U494" s="16" t="e">
        <f t="shared" si="84"/>
        <v>#N/A</v>
      </c>
      <c r="V494" s="62" t="b">
        <f t="shared" si="90"/>
        <v>0</v>
      </c>
      <c r="W494" s="63" t="e">
        <f>VLOOKUP($V494,Herbicide_Data!$A$1:$L$17,9)</f>
        <v>#N/A</v>
      </c>
      <c r="X494" s="62" t="e">
        <f>VLOOKUP($V494,Herbicide_Data!$A$1:$L$17,12)</f>
        <v>#N/A</v>
      </c>
      <c r="Y494" s="16" t="e">
        <f t="shared" si="85"/>
        <v>#N/A</v>
      </c>
      <c r="Z494" s="15"/>
      <c r="AA494" s="13"/>
      <c r="AB494" s="17"/>
      <c r="AC494" s="3"/>
      <c r="AD494" s="10"/>
      <c r="AE494" s="3"/>
      <c r="AF494" s="10"/>
      <c r="AG494" s="15"/>
      <c r="AH494" s="62" t="str">
        <f t="shared" si="91"/>
        <v/>
      </c>
      <c r="AI494" s="62" t="e">
        <f>VLOOKUP($AH494,Herbicide_Data!$A$1:$Q$61,13)</f>
        <v>#N/A</v>
      </c>
      <c r="AJ494" s="16" t="e">
        <f t="shared" si="86"/>
        <v>#N/A</v>
      </c>
      <c r="AK494" s="3"/>
      <c r="AL494" s="3"/>
      <c r="AM494" s="3"/>
      <c r="AN494" s="3"/>
      <c r="AO494" s="3"/>
      <c r="AP494" s="3"/>
      <c r="AQ494" s="18"/>
      <c r="AR494" s="19"/>
      <c r="AS494" s="19"/>
      <c r="AT494" s="20"/>
      <c r="AU494" s="20"/>
      <c r="AV494" s="21"/>
      <c r="AW494" s="22"/>
      <c r="AX494" s="19"/>
      <c r="AY494" s="19"/>
      <c r="AZ494" s="19"/>
      <c r="BA494" s="23"/>
      <c r="BB494" s="19"/>
      <c r="BC494" s="19"/>
      <c r="BD494" s="19"/>
    </row>
    <row r="495" spans="1:56">
      <c r="A495" s="13"/>
      <c r="B495" s="11"/>
      <c r="C495" s="12"/>
      <c r="D495" s="12">
        <f t="shared" si="81"/>
        <v>2.0833299999999999E-2</v>
      </c>
      <c r="E495" s="10"/>
      <c r="F495" s="10" t="str">
        <f>IFERROR(VLOOKUP(E495,Data!A$2:B$5,2,TRUE), "")</f>
        <v/>
      </c>
      <c r="G495" s="3"/>
      <c r="H495" s="13" t="str">
        <f>IFERROR(VLOOKUP(A495,Customer_Data!$A$1:$P$114,8,TRUE),"")</f>
        <v/>
      </c>
      <c r="I495" s="13"/>
      <c r="J495" s="3" t="str">
        <f t="shared" si="87"/>
        <v/>
      </c>
      <c r="K495" s="62" t="e">
        <f>(VLOOKUP($J495,Herbicide_Data!$A$1:$L$61,9,TRUE))</f>
        <v>#N/A</v>
      </c>
      <c r="L495" s="62" t="e">
        <f>VLOOKUP($J495,Herbicide_Data!$A$1:$L$61,12,TRUE)</f>
        <v>#N/A</v>
      </c>
      <c r="M495" s="16" t="e">
        <f t="shared" si="82"/>
        <v>#N/A</v>
      </c>
      <c r="N495" s="62" t="str">
        <f t="shared" si="88"/>
        <v/>
      </c>
      <c r="O495" s="63" t="e">
        <f>VLOOKUP($N495,Herbicide_Data!$A$1:$L$61,9)</f>
        <v>#N/A</v>
      </c>
      <c r="P495" s="62" t="e">
        <f>VLOOKUP($N495,Herbicide_Data!$A$1:$P$61,13)</f>
        <v>#N/A</v>
      </c>
      <c r="Q495" s="16" t="e">
        <f t="shared" si="83"/>
        <v>#N/A</v>
      </c>
      <c r="R495" s="62" t="str">
        <f t="shared" si="89"/>
        <v/>
      </c>
      <c r="S495" s="63" t="e">
        <f>VLOOKUP($R495,Herbicide_Data!$A$1:$L$61,9)</f>
        <v>#N/A</v>
      </c>
      <c r="T495" s="62" t="e">
        <f>VLOOKUP($R495,Herbicide_Data!$A$1:$Q$61,13)</f>
        <v>#N/A</v>
      </c>
      <c r="U495" s="16" t="e">
        <f t="shared" si="84"/>
        <v>#N/A</v>
      </c>
      <c r="V495" s="62" t="b">
        <f t="shared" si="90"/>
        <v>0</v>
      </c>
      <c r="W495" s="63" t="e">
        <f>VLOOKUP($V495,Herbicide_Data!$A$1:$L$17,9)</f>
        <v>#N/A</v>
      </c>
      <c r="X495" s="62" t="e">
        <f>VLOOKUP($V495,Herbicide_Data!$A$1:$L$17,12)</f>
        <v>#N/A</v>
      </c>
      <c r="Y495" s="16" t="e">
        <f t="shared" si="85"/>
        <v>#N/A</v>
      </c>
      <c r="Z495" s="15"/>
      <c r="AA495" s="13"/>
      <c r="AB495" s="17"/>
      <c r="AC495" s="3"/>
      <c r="AD495" s="10"/>
      <c r="AE495" s="3"/>
      <c r="AF495" s="10"/>
      <c r="AG495" s="15"/>
      <c r="AH495" s="62" t="str">
        <f t="shared" si="91"/>
        <v/>
      </c>
      <c r="AI495" s="62" t="e">
        <f>VLOOKUP($AH495,Herbicide_Data!$A$1:$Q$61,13)</f>
        <v>#N/A</v>
      </c>
      <c r="AJ495" s="16" t="e">
        <f t="shared" si="86"/>
        <v>#N/A</v>
      </c>
      <c r="AK495" s="3"/>
      <c r="AL495" s="3"/>
      <c r="AM495" s="3"/>
      <c r="AN495" s="3"/>
      <c r="AO495" s="3"/>
      <c r="AP495" s="3"/>
      <c r="AQ495" s="18"/>
      <c r="AR495" s="19"/>
      <c r="AS495" s="19"/>
      <c r="AT495" s="20"/>
      <c r="AU495" s="20"/>
      <c r="AV495" s="21"/>
      <c r="AW495" s="22"/>
      <c r="AX495" s="19"/>
      <c r="AY495" s="19"/>
      <c r="AZ495" s="19"/>
      <c r="BA495" s="23"/>
      <c r="BB495" s="19"/>
      <c r="BC495" s="19"/>
      <c r="BD495" s="19"/>
    </row>
    <row r="496" spans="1:56">
      <c r="A496" s="13"/>
      <c r="B496" s="11"/>
      <c r="C496" s="12"/>
      <c r="D496" s="12">
        <f t="shared" si="81"/>
        <v>2.0833299999999999E-2</v>
      </c>
      <c r="E496" s="10"/>
      <c r="F496" s="10" t="str">
        <f>IFERROR(VLOOKUP(E496,Data!A$2:B$5,2,TRUE), "")</f>
        <v/>
      </c>
      <c r="G496" s="3"/>
      <c r="H496" s="13" t="str">
        <f>IFERROR(VLOOKUP(A496,Customer_Data!$A$1:$P$114,8,TRUE),"")</f>
        <v/>
      </c>
      <c r="I496" s="13"/>
      <c r="J496" s="3" t="str">
        <f t="shared" si="87"/>
        <v/>
      </c>
      <c r="K496" s="62" t="e">
        <f>(VLOOKUP($J496,Herbicide_Data!$A$1:$L$61,9,TRUE))</f>
        <v>#N/A</v>
      </c>
      <c r="L496" s="62" t="e">
        <f>VLOOKUP($J496,Herbicide_Data!$A$1:$L$61,12,TRUE)</f>
        <v>#N/A</v>
      </c>
      <c r="M496" s="16" t="e">
        <f t="shared" si="82"/>
        <v>#N/A</v>
      </c>
      <c r="N496" s="62" t="str">
        <f t="shared" si="88"/>
        <v/>
      </c>
      <c r="O496" s="63" t="e">
        <f>VLOOKUP($N496,Herbicide_Data!$A$1:$L$61,9)</f>
        <v>#N/A</v>
      </c>
      <c r="P496" s="62" t="e">
        <f>VLOOKUP($N496,Herbicide_Data!$A$1:$P$61,13)</f>
        <v>#N/A</v>
      </c>
      <c r="Q496" s="16" t="e">
        <f t="shared" si="83"/>
        <v>#N/A</v>
      </c>
      <c r="R496" s="62" t="str">
        <f t="shared" si="89"/>
        <v/>
      </c>
      <c r="S496" s="63" t="e">
        <f>VLOOKUP($R496,Herbicide_Data!$A$1:$L$61,9)</f>
        <v>#N/A</v>
      </c>
      <c r="T496" s="62" t="e">
        <f>VLOOKUP($R496,Herbicide_Data!$A$1:$Q$61,13)</f>
        <v>#N/A</v>
      </c>
      <c r="U496" s="16" t="e">
        <f t="shared" si="84"/>
        <v>#N/A</v>
      </c>
      <c r="V496" s="62" t="b">
        <f t="shared" si="90"/>
        <v>0</v>
      </c>
      <c r="W496" s="63" t="e">
        <f>VLOOKUP($V496,Herbicide_Data!$A$1:$L$17,9)</f>
        <v>#N/A</v>
      </c>
      <c r="X496" s="62" t="e">
        <f>VLOOKUP($V496,Herbicide_Data!$A$1:$L$17,12)</f>
        <v>#N/A</v>
      </c>
      <c r="Y496" s="16" t="e">
        <f t="shared" si="85"/>
        <v>#N/A</v>
      </c>
      <c r="Z496" s="15"/>
      <c r="AA496" s="13"/>
      <c r="AB496" s="17"/>
      <c r="AC496" s="3"/>
      <c r="AD496" s="10"/>
      <c r="AE496" s="3"/>
      <c r="AF496" s="10"/>
      <c r="AG496" s="15"/>
      <c r="AH496" s="62" t="str">
        <f t="shared" si="91"/>
        <v/>
      </c>
      <c r="AI496" s="62" t="e">
        <f>VLOOKUP($AH496,Herbicide_Data!$A$1:$Q$61,13)</f>
        <v>#N/A</v>
      </c>
      <c r="AJ496" s="16" t="e">
        <f t="shared" si="86"/>
        <v>#N/A</v>
      </c>
      <c r="AK496" s="3"/>
      <c r="AL496" s="3"/>
      <c r="AM496" s="3"/>
      <c r="AN496" s="3"/>
      <c r="AO496" s="3"/>
      <c r="AP496" s="3"/>
      <c r="AQ496" s="18"/>
      <c r="AR496" s="19"/>
      <c r="AS496" s="19"/>
      <c r="AT496" s="20"/>
      <c r="AU496" s="20"/>
      <c r="AV496" s="21"/>
      <c r="AW496" s="22"/>
      <c r="AX496" s="19"/>
      <c r="AY496" s="19"/>
      <c r="AZ496" s="19"/>
      <c r="BA496" s="23"/>
      <c r="BB496" s="19"/>
      <c r="BC496" s="19"/>
      <c r="BD496" s="19"/>
    </row>
    <row r="497" spans="1:56">
      <c r="A497" s="13"/>
      <c r="B497" s="11"/>
      <c r="C497" s="12"/>
      <c r="D497" s="12">
        <f t="shared" si="81"/>
        <v>2.0833299999999999E-2</v>
      </c>
      <c r="E497" s="10"/>
      <c r="F497" s="10" t="str">
        <f>IFERROR(VLOOKUP(E497,Data!A$2:B$5,2,TRUE), "")</f>
        <v/>
      </c>
      <c r="G497" s="3"/>
      <c r="H497" s="13" t="str">
        <f>IFERROR(VLOOKUP(A497,Customer_Data!$A$1:$P$114,8,TRUE),"")</f>
        <v/>
      </c>
      <c r="I497" s="13"/>
      <c r="J497" s="3" t="str">
        <f t="shared" si="87"/>
        <v/>
      </c>
      <c r="K497" s="62" t="e">
        <f>(VLOOKUP($J497,Herbicide_Data!$A$1:$L$61,9,TRUE))</f>
        <v>#N/A</v>
      </c>
      <c r="L497" s="62" t="e">
        <f>VLOOKUP($J497,Herbicide_Data!$A$1:$L$61,12,TRUE)</f>
        <v>#N/A</v>
      </c>
      <c r="M497" s="16" t="e">
        <f t="shared" si="82"/>
        <v>#N/A</v>
      </c>
      <c r="N497" s="62" t="str">
        <f t="shared" si="88"/>
        <v/>
      </c>
      <c r="O497" s="63" t="e">
        <f>VLOOKUP($N497,Herbicide_Data!$A$1:$L$61,9)</f>
        <v>#N/A</v>
      </c>
      <c r="P497" s="62" t="e">
        <f>VLOOKUP($N497,Herbicide_Data!$A$1:$P$61,13)</f>
        <v>#N/A</v>
      </c>
      <c r="Q497" s="16" t="e">
        <f t="shared" si="83"/>
        <v>#N/A</v>
      </c>
      <c r="R497" s="62" t="str">
        <f t="shared" si="89"/>
        <v/>
      </c>
      <c r="S497" s="63" t="e">
        <f>VLOOKUP($R497,Herbicide_Data!$A$1:$L$61,9)</f>
        <v>#N/A</v>
      </c>
      <c r="T497" s="62" t="e">
        <f>VLOOKUP($R497,Herbicide_Data!$A$1:$Q$61,13)</f>
        <v>#N/A</v>
      </c>
      <c r="U497" s="16" t="e">
        <f t="shared" si="84"/>
        <v>#N/A</v>
      </c>
      <c r="V497" s="62" t="b">
        <f t="shared" si="90"/>
        <v>0</v>
      </c>
      <c r="W497" s="63" t="e">
        <f>VLOOKUP($V497,Herbicide_Data!$A$1:$L$17,9)</f>
        <v>#N/A</v>
      </c>
      <c r="X497" s="62" t="e">
        <f>VLOOKUP($V497,Herbicide_Data!$A$1:$L$17,12)</f>
        <v>#N/A</v>
      </c>
      <c r="Y497" s="16" t="e">
        <f t="shared" si="85"/>
        <v>#N/A</v>
      </c>
      <c r="Z497" s="15"/>
      <c r="AA497" s="13"/>
      <c r="AB497" s="17"/>
      <c r="AC497" s="3"/>
      <c r="AD497" s="10"/>
      <c r="AE497" s="3"/>
      <c r="AF497" s="10"/>
      <c r="AG497" s="15"/>
      <c r="AH497" s="62" t="str">
        <f t="shared" si="91"/>
        <v/>
      </c>
      <c r="AI497" s="62" t="e">
        <f>VLOOKUP($AH497,Herbicide_Data!$A$1:$Q$61,13)</f>
        <v>#N/A</v>
      </c>
      <c r="AJ497" s="16" t="e">
        <f t="shared" si="86"/>
        <v>#N/A</v>
      </c>
      <c r="AK497" s="3"/>
      <c r="AL497" s="3"/>
      <c r="AM497" s="3"/>
      <c r="AN497" s="3"/>
      <c r="AO497" s="3"/>
      <c r="AP497" s="3"/>
      <c r="AQ497" s="18"/>
      <c r="AR497" s="19"/>
      <c r="AS497" s="19"/>
      <c r="AT497" s="20"/>
      <c r="AU497" s="20"/>
      <c r="AV497" s="21"/>
      <c r="AW497" s="22"/>
      <c r="AX497" s="19"/>
      <c r="AY497" s="19"/>
      <c r="AZ497" s="19"/>
      <c r="BA497" s="23"/>
      <c r="BB497" s="19"/>
      <c r="BC497" s="19"/>
      <c r="BD497" s="19"/>
    </row>
    <row r="498" spans="1:56">
      <c r="A498" s="13"/>
      <c r="B498" s="11"/>
      <c r="C498" s="12"/>
      <c r="D498" s="12">
        <f t="shared" si="81"/>
        <v>2.0833299999999999E-2</v>
      </c>
      <c r="E498" s="10"/>
      <c r="F498" s="10" t="str">
        <f>IFERROR(VLOOKUP(E498,Data!A$2:B$5,2,TRUE), "")</f>
        <v/>
      </c>
      <c r="G498" s="3"/>
      <c r="H498" s="13" t="str">
        <f>IFERROR(VLOOKUP(A498,Customer_Data!$A$1:$P$114,8,TRUE),"")</f>
        <v/>
      </c>
      <c r="I498" s="13"/>
      <c r="J498" s="3" t="str">
        <f t="shared" si="87"/>
        <v/>
      </c>
      <c r="K498" s="62" t="e">
        <f>(VLOOKUP($J498,Herbicide_Data!$A$1:$L$61,9,TRUE))</f>
        <v>#N/A</v>
      </c>
      <c r="L498" s="62" t="e">
        <f>VLOOKUP($J498,Herbicide_Data!$A$1:$L$61,12,TRUE)</f>
        <v>#N/A</v>
      </c>
      <c r="M498" s="16" t="e">
        <f t="shared" si="82"/>
        <v>#N/A</v>
      </c>
      <c r="N498" s="62" t="str">
        <f t="shared" si="88"/>
        <v/>
      </c>
      <c r="O498" s="63" t="e">
        <f>VLOOKUP($N498,Herbicide_Data!$A$1:$L$61,9)</f>
        <v>#N/A</v>
      </c>
      <c r="P498" s="62" t="e">
        <f>VLOOKUP($N498,Herbicide_Data!$A$1:$P$61,13)</f>
        <v>#N/A</v>
      </c>
      <c r="Q498" s="16" t="e">
        <f t="shared" si="83"/>
        <v>#N/A</v>
      </c>
      <c r="R498" s="62" t="str">
        <f t="shared" si="89"/>
        <v/>
      </c>
      <c r="S498" s="63" t="e">
        <f>VLOOKUP($R498,Herbicide_Data!$A$1:$L$61,9)</f>
        <v>#N/A</v>
      </c>
      <c r="T498" s="62" t="e">
        <f>VLOOKUP($R498,Herbicide_Data!$A$1:$Q$61,13)</f>
        <v>#N/A</v>
      </c>
      <c r="U498" s="16" t="e">
        <f t="shared" si="84"/>
        <v>#N/A</v>
      </c>
      <c r="V498" s="62" t="b">
        <f t="shared" si="90"/>
        <v>0</v>
      </c>
      <c r="W498" s="63" t="e">
        <f>VLOOKUP($V498,Herbicide_Data!$A$1:$L$17,9)</f>
        <v>#N/A</v>
      </c>
      <c r="X498" s="62" t="e">
        <f>VLOOKUP($V498,Herbicide_Data!$A$1:$L$17,12)</f>
        <v>#N/A</v>
      </c>
      <c r="Y498" s="16" t="e">
        <f t="shared" si="85"/>
        <v>#N/A</v>
      </c>
      <c r="Z498" s="15"/>
      <c r="AA498" s="13"/>
      <c r="AB498" s="17"/>
      <c r="AC498" s="3"/>
      <c r="AD498" s="10"/>
      <c r="AE498" s="3"/>
      <c r="AF498" s="10"/>
      <c r="AG498" s="15"/>
      <c r="AH498" s="62" t="str">
        <f t="shared" si="91"/>
        <v/>
      </c>
      <c r="AI498" s="62" t="e">
        <f>VLOOKUP($AH498,Herbicide_Data!$A$1:$Q$61,13)</f>
        <v>#N/A</v>
      </c>
      <c r="AJ498" s="16" t="e">
        <f t="shared" si="86"/>
        <v>#N/A</v>
      </c>
      <c r="AK498" s="3"/>
      <c r="AL498" s="3"/>
      <c r="AM498" s="3"/>
      <c r="AN498" s="3"/>
      <c r="AO498" s="3"/>
      <c r="AP498" s="3"/>
      <c r="AQ498" s="18"/>
      <c r="AR498" s="19"/>
      <c r="AS498" s="19"/>
      <c r="AT498" s="20"/>
      <c r="AU498" s="20"/>
      <c r="AV498" s="21"/>
      <c r="AW498" s="22"/>
      <c r="AX498" s="19"/>
      <c r="AY498" s="19"/>
      <c r="AZ498" s="19"/>
      <c r="BA498" s="23"/>
      <c r="BB498" s="19"/>
      <c r="BC498" s="19"/>
      <c r="BD498" s="19"/>
    </row>
    <row r="499" spans="1:56">
      <c r="A499" s="13"/>
      <c r="B499" s="11"/>
      <c r="C499" s="12"/>
      <c r="D499" s="12">
        <f t="shared" si="81"/>
        <v>2.0833299999999999E-2</v>
      </c>
      <c r="E499" s="10"/>
      <c r="F499" s="10" t="str">
        <f>IFERROR(VLOOKUP(E499,Data!A$2:B$5,2,TRUE), "")</f>
        <v/>
      </c>
      <c r="G499" s="3"/>
      <c r="H499" s="13" t="str">
        <f>IFERROR(VLOOKUP(A499,Customer_Data!$A$1:$P$114,8,TRUE),"")</f>
        <v/>
      </c>
      <c r="I499" s="13"/>
      <c r="J499" s="3" t="str">
        <f t="shared" si="87"/>
        <v/>
      </c>
      <c r="K499" s="62" t="e">
        <f>(VLOOKUP($J499,Herbicide_Data!$A$1:$L$61,9,TRUE))</f>
        <v>#N/A</v>
      </c>
      <c r="L499" s="62" t="e">
        <f>VLOOKUP($J499,Herbicide_Data!$A$1:$L$61,12,TRUE)</f>
        <v>#N/A</v>
      </c>
      <c r="M499" s="16" t="e">
        <f t="shared" si="82"/>
        <v>#N/A</v>
      </c>
      <c r="N499" s="62" t="str">
        <f t="shared" si="88"/>
        <v/>
      </c>
      <c r="O499" s="63" t="e">
        <f>VLOOKUP($N499,Herbicide_Data!$A$1:$L$61,9)</f>
        <v>#N/A</v>
      </c>
      <c r="P499" s="62" t="e">
        <f>VLOOKUP($N499,Herbicide_Data!$A$1:$P$61,13)</f>
        <v>#N/A</v>
      </c>
      <c r="Q499" s="16" t="e">
        <f t="shared" si="83"/>
        <v>#N/A</v>
      </c>
      <c r="R499" s="62" t="str">
        <f t="shared" si="89"/>
        <v/>
      </c>
      <c r="S499" s="63" t="e">
        <f>VLOOKUP($R499,Herbicide_Data!$A$1:$L$61,9)</f>
        <v>#N/A</v>
      </c>
      <c r="T499" s="62" t="e">
        <f>VLOOKUP($R499,Herbicide_Data!$A$1:$Q$61,13)</f>
        <v>#N/A</v>
      </c>
      <c r="U499" s="16" t="e">
        <f t="shared" si="84"/>
        <v>#N/A</v>
      </c>
      <c r="V499" s="62" t="b">
        <f t="shared" si="90"/>
        <v>0</v>
      </c>
      <c r="W499" s="63" t="e">
        <f>VLOOKUP($V499,Herbicide_Data!$A$1:$L$17,9)</f>
        <v>#N/A</v>
      </c>
      <c r="X499" s="62" t="e">
        <f>VLOOKUP($V499,Herbicide_Data!$A$1:$L$17,12)</f>
        <v>#N/A</v>
      </c>
      <c r="Y499" s="16" t="e">
        <f t="shared" si="85"/>
        <v>#N/A</v>
      </c>
      <c r="Z499" s="15"/>
      <c r="AA499" s="13"/>
      <c r="AB499" s="17"/>
      <c r="AC499" s="3"/>
      <c r="AD499" s="10"/>
      <c r="AE499" s="3"/>
      <c r="AF499" s="10"/>
      <c r="AG499" s="15"/>
      <c r="AH499" s="62" t="str">
        <f t="shared" si="91"/>
        <v/>
      </c>
      <c r="AI499" s="62" t="e">
        <f>VLOOKUP($AH499,Herbicide_Data!$A$1:$Q$61,13)</f>
        <v>#N/A</v>
      </c>
      <c r="AJ499" s="16" t="e">
        <f t="shared" si="86"/>
        <v>#N/A</v>
      </c>
      <c r="AK499" s="3"/>
      <c r="AL499" s="3"/>
      <c r="AM499" s="3"/>
      <c r="AN499" s="3"/>
      <c r="AO499" s="3"/>
      <c r="AP499" s="3"/>
      <c r="AQ499" s="18"/>
      <c r="AR499" s="19"/>
      <c r="AS499" s="19"/>
      <c r="AT499" s="20"/>
      <c r="AU499" s="20"/>
      <c r="AV499" s="21"/>
      <c r="AW499" s="22"/>
      <c r="AX499" s="19"/>
      <c r="AY499" s="19"/>
      <c r="AZ499" s="19"/>
      <c r="BA499" s="23"/>
      <c r="BB499" s="19"/>
      <c r="BC499" s="19"/>
      <c r="BD499" s="19"/>
    </row>
    <row r="500" spans="1:56">
      <c r="A500" s="13"/>
      <c r="B500" s="11"/>
      <c r="C500" s="12"/>
      <c r="D500" s="12">
        <f t="shared" si="81"/>
        <v>2.0833299999999999E-2</v>
      </c>
      <c r="E500" s="10"/>
      <c r="F500" s="10" t="str">
        <f>IFERROR(VLOOKUP(E500,Data!A$2:B$5,2,TRUE), "")</f>
        <v/>
      </c>
      <c r="G500" s="3"/>
      <c r="H500" s="13" t="str">
        <f>IFERROR(VLOOKUP(A500,Customer_Data!$A$1:$P$114,8,TRUE),"")</f>
        <v/>
      </c>
      <c r="I500" s="13"/>
      <c r="J500" s="3" t="str">
        <f t="shared" si="87"/>
        <v/>
      </c>
      <c r="K500" s="62" t="e">
        <f>(VLOOKUP($J500,Herbicide_Data!$A$1:$L$61,9,TRUE))</f>
        <v>#N/A</v>
      </c>
      <c r="L500" s="62" t="e">
        <f>VLOOKUP($J500,Herbicide_Data!$A$1:$L$61,12,TRUE)</f>
        <v>#N/A</v>
      </c>
      <c r="M500" s="16" t="e">
        <f t="shared" si="82"/>
        <v>#N/A</v>
      </c>
      <c r="N500" s="62" t="str">
        <f t="shared" si="88"/>
        <v/>
      </c>
      <c r="O500" s="63" t="e">
        <f>VLOOKUP($N500,Herbicide_Data!$A$1:$L$61,9)</f>
        <v>#N/A</v>
      </c>
      <c r="P500" s="62" t="e">
        <f>VLOOKUP($N500,Herbicide_Data!$A$1:$P$61,13)</f>
        <v>#N/A</v>
      </c>
      <c r="Q500" s="16" t="e">
        <f t="shared" si="83"/>
        <v>#N/A</v>
      </c>
      <c r="R500" s="62" t="str">
        <f t="shared" si="89"/>
        <v/>
      </c>
      <c r="S500" s="63" t="e">
        <f>VLOOKUP($R500,Herbicide_Data!$A$1:$L$61,9)</f>
        <v>#N/A</v>
      </c>
      <c r="T500" s="62" t="e">
        <f>VLOOKUP($R500,Herbicide_Data!$A$1:$Q$61,13)</f>
        <v>#N/A</v>
      </c>
      <c r="U500" s="16" t="e">
        <f t="shared" si="84"/>
        <v>#N/A</v>
      </c>
      <c r="V500" s="62" t="b">
        <f t="shared" si="90"/>
        <v>0</v>
      </c>
      <c r="W500" s="63" t="e">
        <f>VLOOKUP($V500,Herbicide_Data!$A$1:$L$17,9)</f>
        <v>#N/A</v>
      </c>
      <c r="X500" s="62" t="e">
        <f>VLOOKUP($V500,Herbicide_Data!$A$1:$L$17,12)</f>
        <v>#N/A</v>
      </c>
      <c r="Y500" s="16" t="e">
        <f t="shared" si="85"/>
        <v>#N/A</v>
      </c>
      <c r="Z500" s="15"/>
      <c r="AA500" s="13"/>
      <c r="AB500" s="17"/>
      <c r="AC500" s="3"/>
      <c r="AD500" s="10"/>
      <c r="AE500" s="3"/>
      <c r="AF500" s="10"/>
      <c r="AG500" s="15"/>
      <c r="AH500" s="62" t="str">
        <f t="shared" si="91"/>
        <v/>
      </c>
      <c r="AI500" s="62" t="e">
        <f>VLOOKUP($AH500,Herbicide_Data!$A$1:$Q$61,13)</f>
        <v>#N/A</v>
      </c>
      <c r="AJ500" s="16" t="e">
        <f t="shared" si="86"/>
        <v>#N/A</v>
      </c>
      <c r="AK500" s="3"/>
      <c r="AL500" s="3"/>
      <c r="AM500" s="3"/>
      <c r="AN500" s="3"/>
      <c r="AO500" s="3"/>
      <c r="AP500" s="3"/>
      <c r="AQ500" s="18"/>
      <c r="AR500" s="19"/>
      <c r="AS500" s="19"/>
      <c r="AT500" s="20"/>
      <c r="AU500" s="20"/>
      <c r="AV500" s="21"/>
      <c r="AW500" s="22"/>
      <c r="AX500" s="19"/>
      <c r="AY500" s="19"/>
      <c r="AZ500" s="19"/>
      <c r="BA500" s="23"/>
      <c r="BB500" s="19"/>
      <c r="BC500" s="19"/>
      <c r="BD500" s="19"/>
    </row>
    <row r="501" spans="1:56">
      <c r="A501" s="13"/>
      <c r="B501" s="11"/>
      <c r="C501" s="24"/>
      <c r="D501" s="24"/>
      <c r="E501" s="10"/>
      <c r="F501" s="10"/>
      <c r="G501" s="3"/>
      <c r="H501" s="13"/>
    </row>
  </sheetData>
  <sortState xmlns:xlrd2="http://schemas.microsoft.com/office/spreadsheetml/2017/richdata2" ref="A2:BD501">
    <sortCondition ref="B2:B501"/>
    <sortCondition ref="C2:C501"/>
  </sortState>
  <dataValidations count="3">
    <dataValidation type="time" allowBlank="1" showInputMessage="1" showErrorMessage="1" sqref="QZW983041:QZW983540 RJS983041:RJS983540 FC65537:FC66036 OY65537:OY66036 YU65537:YU66036 AIQ65537:AIQ66036 ASM65537:ASM66036 BCI65537:BCI66036 BME65537:BME66036 BWA65537:BWA66036 CFW65537:CFW66036 CPS65537:CPS66036 CZO65537:CZO66036 DJK65537:DJK66036 DTG65537:DTG66036 EDC65537:EDC66036 EMY65537:EMY66036 EWU65537:EWU66036 FGQ65537:FGQ66036 FQM65537:FQM66036 GAI65537:GAI66036 GKE65537:GKE66036 GUA65537:GUA66036 HDW65537:HDW66036 HNS65537:HNS66036 HXO65537:HXO66036 IHK65537:IHK66036 IRG65537:IRG66036 JBC65537:JBC66036 JKY65537:JKY66036 JUU65537:JUU66036 KEQ65537:KEQ66036 KOM65537:KOM66036 KYI65537:KYI66036 LIE65537:LIE66036 LSA65537:LSA66036 MBW65537:MBW66036 MLS65537:MLS66036 MVO65537:MVO66036 NFK65537:NFK66036 NPG65537:NPG66036 NZC65537:NZC66036 OIY65537:OIY66036 OSU65537:OSU66036 PCQ65537:PCQ66036 PMM65537:PMM66036 PWI65537:PWI66036 QGE65537:QGE66036 QQA65537:QQA66036 QZW65537:QZW66036 RJS65537:RJS66036 RTO65537:RTO66036 SDK65537:SDK66036 SNG65537:SNG66036 SXC65537:SXC66036 TGY65537:TGY66036 TQU65537:TQU66036 UAQ65537:UAQ66036 UKM65537:UKM66036 UUI65537:UUI66036 VEE65537:VEE66036 VOA65537:VOA66036 VXW65537:VXW66036 WHS65537:WHS66036 WRO65537:WRO66036 RTO983041:RTO983540 FC131073:FC131572 OY131073:OY131572 YU131073:YU131572 AIQ131073:AIQ131572 ASM131073:ASM131572 BCI131073:BCI131572 BME131073:BME131572 BWA131073:BWA131572 CFW131073:CFW131572 CPS131073:CPS131572 CZO131073:CZO131572 DJK131073:DJK131572 DTG131073:DTG131572 EDC131073:EDC131572 EMY131073:EMY131572 EWU131073:EWU131572 FGQ131073:FGQ131572 FQM131073:FQM131572 GAI131073:GAI131572 GKE131073:GKE131572 GUA131073:GUA131572 HDW131073:HDW131572 HNS131073:HNS131572 HXO131073:HXO131572 IHK131073:IHK131572 IRG131073:IRG131572 JBC131073:JBC131572 JKY131073:JKY131572 JUU131073:JUU131572 KEQ131073:KEQ131572 KOM131073:KOM131572 KYI131073:KYI131572 LIE131073:LIE131572 LSA131073:LSA131572 MBW131073:MBW131572 MLS131073:MLS131572 MVO131073:MVO131572 NFK131073:NFK131572 NPG131073:NPG131572 NZC131073:NZC131572 OIY131073:OIY131572 OSU131073:OSU131572 PCQ131073:PCQ131572 PMM131073:PMM131572 PWI131073:PWI131572 QGE131073:QGE131572 QQA131073:QQA131572 QZW131073:QZW131572 RJS131073:RJS131572 RTO131073:RTO131572 SDK131073:SDK131572 SNG131073:SNG131572 SXC131073:SXC131572 TGY131073:TGY131572 TQU131073:TQU131572 UAQ131073:UAQ131572 UKM131073:UKM131572 UUI131073:UUI131572 VEE131073:VEE131572 VOA131073:VOA131572 VXW131073:VXW131572 WHS131073:WHS131572 WRO131073:WRO131572 SDK983041:SDK983540 FC196609:FC197108 OY196609:OY197108 YU196609:YU197108 AIQ196609:AIQ197108 ASM196609:ASM197108 BCI196609:BCI197108 BME196609:BME197108 BWA196609:BWA197108 CFW196609:CFW197108 CPS196609:CPS197108 CZO196609:CZO197108 DJK196609:DJK197108 DTG196609:DTG197108 EDC196609:EDC197108 EMY196609:EMY197108 EWU196609:EWU197108 FGQ196609:FGQ197108 FQM196609:FQM197108 GAI196609:GAI197108 GKE196609:GKE197108 GUA196609:GUA197108 HDW196609:HDW197108 HNS196609:HNS197108 HXO196609:HXO197108 IHK196609:IHK197108 IRG196609:IRG197108 JBC196609:JBC197108 JKY196609:JKY197108 JUU196609:JUU197108 KEQ196609:KEQ197108 KOM196609:KOM197108 KYI196609:KYI197108 LIE196609:LIE197108 LSA196609:LSA197108 MBW196609:MBW197108 MLS196609:MLS197108 MVO196609:MVO197108 NFK196609:NFK197108 NPG196609:NPG197108 NZC196609:NZC197108 OIY196609:OIY197108 OSU196609:OSU197108 PCQ196609:PCQ197108 PMM196609:PMM197108 PWI196609:PWI197108 QGE196609:QGE197108 QQA196609:QQA197108 QZW196609:QZW197108 RJS196609:RJS197108 RTO196609:RTO197108 SDK196609:SDK197108 SNG196609:SNG197108 SXC196609:SXC197108 TGY196609:TGY197108 TQU196609:TQU197108 UAQ196609:UAQ197108 UKM196609:UKM197108 UUI196609:UUI197108 VEE196609:VEE197108 VOA196609:VOA197108 VXW196609:VXW197108 WHS196609:WHS197108 WRO196609:WRO197108 SNG983041:SNG983540 FC262145:FC262644 OY262145:OY262644 YU262145:YU262644 AIQ262145:AIQ262644 ASM262145:ASM262644 BCI262145:BCI262644 BME262145:BME262644 BWA262145:BWA262644 CFW262145:CFW262644 CPS262145:CPS262644 CZO262145:CZO262644 DJK262145:DJK262644 DTG262145:DTG262644 EDC262145:EDC262644 EMY262145:EMY262644 EWU262145:EWU262644 FGQ262145:FGQ262644 FQM262145:FQM262644 GAI262145:GAI262644 GKE262145:GKE262644 GUA262145:GUA262644 HDW262145:HDW262644 HNS262145:HNS262644 HXO262145:HXO262644 IHK262145:IHK262644 IRG262145:IRG262644 JBC262145:JBC262644 JKY262145:JKY262644 JUU262145:JUU262644 KEQ262145:KEQ262644 KOM262145:KOM262644 KYI262145:KYI262644 LIE262145:LIE262644 LSA262145:LSA262644 MBW262145:MBW262644 MLS262145:MLS262644 MVO262145:MVO262644 NFK262145:NFK262644 NPG262145:NPG262644 NZC262145:NZC262644 OIY262145:OIY262644 OSU262145:OSU262644 PCQ262145:PCQ262644 PMM262145:PMM262644 PWI262145:PWI262644 QGE262145:QGE262644 QQA262145:QQA262644 QZW262145:QZW262644 RJS262145:RJS262644 RTO262145:RTO262644 SDK262145:SDK262644 SNG262145:SNG262644 SXC262145:SXC262644 TGY262145:TGY262644 TQU262145:TQU262644 UAQ262145:UAQ262644 UKM262145:UKM262644 UUI262145:UUI262644 VEE262145:VEE262644 VOA262145:VOA262644 VXW262145:VXW262644 WHS262145:WHS262644 WRO262145:WRO262644 SXC983041:SXC983540 FC327681:FC328180 OY327681:OY328180 YU327681:YU328180 AIQ327681:AIQ328180 ASM327681:ASM328180 BCI327681:BCI328180 BME327681:BME328180 BWA327681:BWA328180 CFW327681:CFW328180 CPS327681:CPS328180 CZO327681:CZO328180 DJK327681:DJK328180 DTG327681:DTG328180 EDC327681:EDC328180 EMY327681:EMY328180 EWU327681:EWU328180 FGQ327681:FGQ328180 FQM327681:FQM328180 GAI327681:GAI328180 GKE327681:GKE328180 GUA327681:GUA328180 HDW327681:HDW328180 HNS327681:HNS328180 HXO327681:HXO328180 IHK327681:IHK328180 IRG327681:IRG328180 JBC327681:JBC328180 JKY327681:JKY328180 JUU327681:JUU328180 KEQ327681:KEQ328180 KOM327681:KOM328180 KYI327681:KYI328180 LIE327681:LIE328180 LSA327681:LSA328180 MBW327681:MBW328180 MLS327681:MLS328180 MVO327681:MVO328180 NFK327681:NFK328180 NPG327681:NPG328180 NZC327681:NZC328180 OIY327681:OIY328180 OSU327681:OSU328180 PCQ327681:PCQ328180 PMM327681:PMM328180 PWI327681:PWI328180 QGE327681:QGE328180 QQA327681:QQA328180 QZW327681:QZW328180 RJS327681:RJS328180 RTO327681:RTO328180 SDK327681:SDK328180 SNG327681:SNG328180 SXC327681:SXC328180 TGY327681:TGY328180 TQU327681:TQU328180 UAQ327681:UAQ328180 UKM327681:UKM328180 UUI327681:UUI328180 VEE327681:VEE328180 VOA327681:VOA328180 VXW327681:VXW328180 WHS327681:WHS328180 WRO327681:WRO328180 TGY983041:TGY983540 FC393217:FC393716 OY393217:OY393716 YU393217:YU393716 AIQ393217:AIQ393716 ASM393217:ASM393716 BCI393217:BCI393716 BME393217:BME393716 BWA393217:BWA393716 CFW393217:CFW393716 CPS393217:CPS393716 CZO393217:CZO393716 DJK393217:DJK393716 DTG393217:DTG393716 EDC393217:EDC393716 EMY393217:EMY393716 EWU393217:EWU393716 FGQ393217:FGQ393716 FQM393217:FQM393716 GAI393217:GAI393716 GKE393217:GKE393716 GUA393217:GUA393716 HDW393217:HDW393716 HNS393217:HNS393716 HXO393217:HXO393716 IHK393217:IHK393716 IRG393217:IRG393716 JBC393217:JBC393716 JKY393217:JKY393716 JUU393217:JUU393716 KEQ393217:KEQ393716 KOM393217:KOM393716 KYI393217:KYI393716 LIE393217:LIE393716 LSA393217:LSA393716 MBW393217:MBW393716 MLS393217:MLS393716 MVO393217:MVO393716 NFK393217:NFK393716 NPG393217:NPG393716 NZC393217:NZC393716 OIY393217:OIY393716 OSU393217:OSU393716 PCQ393217:PCQ393716 PMM393217:PMM393716 PWI393217:PWI393716 QGE393217:QGE393716 QQA393217:QQA393716 QZW393217:QZW393716 RJS393217:RJS393716 RTO393217:RTO393716 SDK393217:SDK393716 SNG393217:SNG393716 SXC393217:SXC393716 TGY393217:TGY393716 TQU393217:TQU393716 UAQ393217:UAQ393716 UKM393217:UKM393716 UUI393217:UUI393716 VEE393217:VEE393716 VOA393217:VOA393716 VXW393217:VXW393716 WHS393217:WHS393716 WRO393217:WRO393716 TQU983041:TQU983540 FC458753:FC459252 OY458753:OY459252 YU458753:YU459252 AIQ458753:AIQ459252 ASM458753:ASM459252 BCI458753:BCI459252 BME458753:BME459252 BWA458753:BWA459252 CFW458753:CFW459252 CPS458753:CPS459252 CZO458753:CZO459252 DJK458753:DJK459252 DTG458753:DTG459252 EDC458753:EDC459252 EMY458753:EMY459252 EWU458753:EWU459252 FGQ458753:FGQ459252 FQM458753:FQM459252 GAI458753:GAI459252 GKE458753:GKE459252 GUA458753:GUA459252 HDW458753:HDW459252 HNS458753:HNS459252 HXO458753:HXO459252 IHK458753:IHK459252 IRG458753:IRG459252 JBC458753:JBC459252 JKY458753:JKY459252 JUU458753:JUU459252 KEQ458753:KEQ459252 KOM458753:KOM459252 KYI458753:KYI459252 LIE458753:LIE459252 LSA458753:LSA459252 MBW458753:MBW459252 MLS458753:MLS459252 MVO458753:MVO459252 NFK458753:NFK459252 NPG458753:NPG459252 NZC458753:NZC459252 OIY458753:OIY459252 OSU458753:OSU459252 PCQ458753:PCQ459252 PMM458753:PMM459252 PWI458753:PWI459252 QGE458753:QGE459252 QQA458753:QQA459252 QZW458753:QZW459252 RJS458753:RJS459252 RTO458753:RTO459252 SDK458753:SDK459252 SNG458753:SNG459252 SXC458753:SXC459252 TGY458753:TGY459252 TQU458753:TQU459252 UAQ458753:UAQ459252 UKM458753:UKM459252 UUI458753:UUI459252 VEE458753:VEE459252 VOA458753:VOA459252 VXW458753:VXW459252 WHS458753:WHS459252 WRO458753:WRO459252 UAQ983041:UAQ983540 FC524289:FC524788 OY524289:OY524788 YU524289:YU524788 AIQ524289:AIQ524788 ASM524289:ASM524788 BCI524289:BCI524788 BME524289:BME524788 BWA524289:BWA524788 CFW524289:CFW524788 CPS524289:CPS524788 CZO524289:CZO524788 DJK524289:DJK524788 DTG524289:DTG524788 EDC524289:EDC524788 EMY524289:EMY524788 EWU524289:EWU524788 FGQ524289:FGQ524788 FQM524289:FQM524788 GAI524289:GAI524788 GKE524289:GKE524788 GUA524289:GUA524788 HDW524289:HDW524788 HNS524289:HNS524788 HXO524289:HXO524788 IHK524289:IHK524788 IRG524289:IRG524788 JBC524289:JBC524788 JKY524289:JKY524788 JUU524289:JUU524788 KEQ524289:KEQ524788 KOM524289:KOM524788 KYI524289:KYI524788 LIE524289:LIE524788 LSA524289:LSA524788 MBW524289:MBW524788 MLS524289:MLS524788 MVO524289:MVO524788 NFK524289:NFK524788 NPG524289:NPG524788 NZC524289:NZC524788 OIY524289:OIY524788 OSU524289:OSU524788 PCQ524289:PCQ524788 PMM524289:PMM524788 PWI524289:PWI524788 QGE524289:QGE524788 QQA524289:QQA524788 QZW524289:QZW524788 RJS524289:RJS524788 RTO524289:RTO524788 SDK524289:SDK524788 SNG524289:SNG524788 SXC524289:SXC524788 TGY524289:TGY524788 TQU524289:TQU524788 UAQ524289:UAQ524788 UKM524289:UKM524788 UUI524289:UUI524788 VEE524289:VEE524788 VOA524289:VOA524788 VXW524289:VXW524788 WHS524289:WHS524788 WRO524289:WRO524788 UKM983041:UKM983540 FC589825:FC590324 OY589825:OY590324 YU589825:YU590324 AIQ589825:AIQ590324 ASM589825:ASM590324 BCI589825:BCI590324 BME589825:BME590324 BWA589825:BWA590324 CFW589825:CFW590324 CPS589825:CPS590324 CZO589825:CZO590324 DJK589825:DJK590324 DTG589825:DTG590324 EDC589825:EDC590324 EMY589825:EMY590324 EWU589825:EWU590324 FGQ589825:FGQ590324 FQM589825:FQM590324 GAI589825:GAI590324 GKE589825:GKE590324 GUA589825:GUA590324 HDW589825:HDW590324 HNS589825:HNS590324 HXO589825:HXO590324 IHK589825:IHK590324 IRG589825:IRG590324 JBC589825:JBC590324 JKY589825:JKY590324 JUU589825:JUU590324 KEQ589825:KEQ590324 KOM589825:KOM590324 KYI589825:KYI590324 LIE589825:LIE590324 LSA589825:LSA590324 MBW589825:MBW590324 MLS589825:MLS590324 MVO589825:MVO590324 NFK589825:NFK590324 NPG589825:NPG590324 NZC589825:NZC590324 OIY589825:OIY590324 OSU589825:OSU590324 PCQ589825:PCQ590324 PMM589825:PMM590324 PWI589825:PWI590324 QGE589825:QGE590324 QQA589825:QQA590324 QZW589825:QZW590324 RJS589825:RJS590324 RTO589825:RTO590324 SDK589825:SDK590324 SNG589825:SNG590324 SXC589825:SXC590324 TGY589825:TGY590324 TQU589825:TQU590324 UAQ589825:UAQ590324 UKM589825:UKM590324 UUI589825:UUI590324 VEE589825:VEE590324 VOA589825:VOA590324 VXW589825:VXW590324 WHS589825:WHS590324 WRO589825:WRO590324 UUI983041:UUI983540 FC655361:FC655860 OY655361:OY655860 YU655361:YU655860 AIQ655361:AIQ655860 ASM655361:ASM655860 BCI655361:BCI655860 BME655361:BME655860 BWA655361:BWA655860 CFW655361:CFW655860 CPS655361:CPS655860 CZO655361:CZO655860 DJK655361:DJK655860 DTG655361:DTG655860 EDC655361:EDC655860 EMY655361:EMY655860 EWU655361:EWU655860 FGQ655361:FGQ655860 FQM655361:FQM655860 GAI655361:GAI655860 GKE655361:GKE655860 GUA655361:GUA655860 HDW655361:HDW655860 HNS655361:HNS655860 HXO655361:HXO655860 IHK655361:IHK655860 IRG655361:IRG655860 JBC655361:JBC655860 JKY655361:JKY655860 JUU655361:JUU655860 KEQ655361:KEQ655860 KOM655361:KOM655860 KYI655361:KYI655860 LIE655361:LIE655860 LSA655361:LSA655860 MBW655361:MBW655860 MLS655361:MLS655860 MVO655361:MVO655860 NFK655361:NFK655860 NPG655361:NPG655860 NZC655361:NZC655860 OIY655361:OIY655860 OSU655361:OSU655860 PCQ655361:PCQ655860 PMM655361:PMM655860 PWI655361:PWI655860 QGE655361:QGE655860 QQA655361:QQA655860 QZW655361:QZW655860 RJS655361:RJS655860 RTO655361:RTO655860 SDK655361:SDK655860 SNG655361:SNG655860 SXC655361:SXC655860 TGY655361:TGY655860 TQU655361:TQU655860 UAQ655361:UAQ655860 UKM655361:UKM655860 UUI655361:UUI655860 VEE655361:VEE655860 VOA655361:VOA655860 VXW655361:VXW655860 WHS655361:WHS655860 WRO655361:WRO655860 VEE983041:VEE983540 FC720897:FC721396 OY720897:OY721396 YU720897:YU721396 AIQ720897:AIQ721396 ASM720897:ASM721396 BCI720897:BCI721396 BME720897:BME721396 BWA720897:BWA721396 CFW720897:CFW721396 CPS720897:CPS721396 CZO720897:CZO721396 DJK720897:DJK721396 DTG720897:DTG721396 EDC720897:EDC721396 EMY720897:EMY721396 EWU720897:EWU721396 FGQ720897:FGQ721396 FQM720897:FQM721396 GAI720897:GAI721396 GKE720897:GKE721396 GUA720897:GUA721396 HDW720897:HDW721396 HNS720897:HNS721396 HXO720897:HXO721396 IHK720897:IHK721396 IRG720897:IRG721396 JBC720897:JBC721396 JKY720897:JKY721396 JUU720897:JUU721396 KEQ720897:KEQ721396 KOM720897:KOM721396 KYI720897:KYI721396 LIE720897:LIE721396 LSA720897:LSA721396 MBW720897:MBW721396 MLS720897:MLS721396 MVO720897:MVO721396 NFK720897:NFK721396 NPG720897:NPG721396 NZC720897:NZC721396 OIY720897:OIY721396 OSU720897:OSU721396 PCQ720897:PCQ721396 PMM720897:PMM721396 PWI720897:PWI721396 QGE720897:QGE721396 QQA720897:QQA721396 QZW720897:QZW721396 RJS720897:RJS721396 RTO720897:RTO721396 SDK720897:SDK721396 SNG720897:SNG721396 SXC720897:SXC721396 TGY720897:TGY721396 TQU720897:TQU721396 UAQ720897:UAQ721396 UKM720897:UKM721396 UUI720897:UUI721396 VEE720897:VEE721396 VOA720897:VOA721396 VXW720897:VXW721396 WHS720897:WHS721396 WRO720897:WRO721396 VOA983041:VOA983540 FC786433:FC786932 OY786433:OY786932 YU786433:YU786932 AIQ786433:AIQ786932 ASM786433:ASM786932 BCI786433:BCI786932 BME786433:BME786932 BWA786433:BWA786932 CFW786433:CFW786932 CPS786433:CPS786932 CZO786433:CZO786932 DJK786433:DJK786932 DTG786433:DTG786932 EDC786433:EDC786932 EMY786433:EMY786932 EWU786433:EWU786932 FGQ786433:FGQ786932 FQM786433:FQM786932 GAI786433:GAI786932 GKE786433:GKE786932 GUA786433:GUA786932 HDW786433:HDW786932 HNS786433:HNS786932 HXO786433:HXO786932 IHK786433:IHK786932 IRG786433:IRG786932 JBC786433:JBC786932 JKY786433:JKY786932 JUU786433:JUU786932 KEQ786433:KEQ786932 KOM786433:KOM786932 KYI786433:KYI786932 LIE786433:LIE786932 LSA786433:LSA786932 MBW786433:MBW786932 MLS786433:MLS786932 MVO786433:MVO786932 NFK786433:NFK786932 NPG786433:NPG786932 NZC786433:NZC786932 OIY786433:OIY786932 OSU786433:OSU786932 PCQ786433:PCQ786932 PMM786433:PMM786932 PWI786433:PWI786932 QGE786433:QGE786932 QQA786433:QQA786932 QZW786433:QZW786932 RJS786433:RJS786932 RTO786433:RTO786932 SDK786433:SDK786932 SNG786433:SNG786932 SXC786433:SXC786932 TGY786433:TGY786932 TQU786433:TQU786932 UAQ786433:UAQ786932 UKM786433:UKM786932 UUI786433:UUI786932 VEE786433:VEE786932 VOA786433:VOA786932 VXW786433:VXW786932 WHS786433:WHS786932 WRO786433:WRO786932 VXW983041:VXW983540 FC851969:FC852468 OY851969:OY852468 YU851969:YU852468 AIQ851969:AIQ852468 ASM851969:ASM852468 BCI851969:BCI852468 BME851969:BME852468 BWA851969:BWA852468 CFW851969:CFW852468 CPS851969:CPS852468 CZO851969:CZO852468 DJK851969:DJK852468 DTG851969:DTG852468 EDC851969:EDC852468 EMY851969:EMY852468 EWU851969:EWU852468 FGQ851969:FGQ852468 FQM851969:FQM852468 GAI851969:GAI852468 GKE851969:GKE852468 GUA851969:GUA852468 HDW851969:HDW852468 HNS851969:HNS852468 HXO851969:HXO852468 IHK851969:IHK852468 IRG851969:IRG852468 JBC851969:JBC852468 JKY851969:JKY852468 JUU851969:JUU852468 KEQ851969:KEQ852468 KOM851969:KOM852468 KYI851969:KYI852468 LIE851969:LIE852468 LSA851969:LSA852468 MBW851969:MBW852468 MLS851969:MLS852468 MVO851969:MVO852468 NFK851969:NFK852468 NPG851969:NPG852468 NZC851969:NZC852468 OIY851969:OIY852468 OSU851969:OSU852468 PCQ851969:PCQ852468 PMM851969:PMM852468 PWI851969:PWI852468 QGE851969:QGE852468 QQA851969:QQA852468 QZW851969:QZW852468 RJS851969:RJS852468 RTO851969:RTO852468 SDK851969:SDK852468 SNG851969:SNG852468 SXC851969:SXC852468 TGY851969:TGY852468 TQU851969:TQU852468 UAQ851969:UAQ852468 UKM851969:UKM852468 UUI851969:UUI852468 VEE851969:VEE852468 VOA851969:VOA852468 VXW851969:VXW852468 WHS851969:WHS852468 WRO851969:WRO852468 WHS983041:WHS983540 FC917505:FC918004 OY917505:OY918004 YU917505:YU918004 AIQ917505:AIQ918004 ASM917505:ASM918004 BCI917505:BCI918004 BME917505:BME918004 BWA917505:BWA918004 CFW917505:CFW918004 CPS917505:CPS918004 CZO917505:CZO918004 DJK917505:DJK918004 DTG917505:DTG918004 EDC917505:EDC918004 EMY917505:EMY918004 EWU917505:EWU918004 FGQ917505:FGQ918004 FQM917505:FQM918004 GAI917505:GAI918004 GKE917505:GKE918004 GUA917505:GUA918004 HDW917505:HDW918004 HNS917505:HNS918004 HXO917505:HXO918004 IHK917505:IHK918004 IRG917505:IRG918004 JBC917505:JBC918004 JKY917505:JKY918004 JUU917505:JUU918004 KEQ917505:KEQ918004 KOM917505:KOM918004 KYI917505:KYI918004 LIE917505:LIE918004 LSA917505:LSA918004 MBW917505:MBW918004 MLS917505:MLS918004 MVO917505:MVO918004 NFK917505:NFK918004 NPG917505:NPG918004 NZC917505:NZC918004 OIY917505:OIY918004 OSU917505:OSU918004 PCQ917505:PCQ918004 PMM917505:PMM918004 PWI917505:PWI918004 QGE917505:QGE918004 QQA917505:QQA918004 QZW917505:QZW918004 RJS917505:RJS918004 RTO917505:RTO918004 SDK917505:SDK918004 SNG917505:SNG918004 SXC917505:SXC918004 TGY917505:TGY918004 TQU917505:TQU918004 UAQ917505:UAQ918004 UKM917505:UKM918004 UUI917505:UUI918004 VEE917505:VEE918004 VOA917505:VOA918004 VXW917505:VXW918004 WHS917505:WHS918004 WRO917505:WRO918004 WRO983041:WRO983540 FC983041:FC983540 OY983041:OY983540 YU983041:YU983540 AIQ983041:AIQ983540 ASM983041:ASM983540 BCI983041:BCI983540 BME983041:BME983540 BWA983041:BWA983540 CFW983041:CFW983540 CPS983041:CPS983540 CZO983041:CZO983540 DJK983041:DJK983540 DTG983041:DTG983540 EDC983041:EDC983540 EMY983041:EMY983540 EWU983041:EWU983540 FGQ983041:FGQ983540 FQM983041:FQM983540 GAI983041:GAI983540 GKE983041:GKE983540 GUA983041:GUA983540 HDW983041:HDW983540 HNS983041:HNS983540 HXO983041:HXO983540 IHK983041:IHK983540 IRG983041:IRG983540 JBC983041:JBC983540 JKY983041:JKY983540 JUU983041:JUU983540 KEQ983041:KEQ983540 KOM983041:KOM983540 KYI983041:KYI983540 LIE983041:LIE983540 LSA983041:LSA983540 MBW983041:MBW983540 MLS983041:MLS983540 MVO983041:MVO983540 NFK983041:NFK983540 NPG983041:NPG983540 NZC983041:NZC983540 OIY983041:OIY983540 OSU983041:OSU983540 PCQ983041:PCQ983540 PMM983041:PMM983540 PWI983041:PWI983540 QGE983041:QGE983540 QQA983041:QQA983540 FC2:FC500 WRO2:WRO500 WHS2:WHS500 VXW2:VXW500 VOA2:VOA500 VEE2:VEE500 UUI2:UUI500 UKM2:UKM500 UAQ2:UAQ500 TQU2:TQU500 TGY2:TGY500 SXC2:SXC500 SNG2:SNG500 SDK2:SDK500 RTO2:RTO500 RJS2:RJS500 QZW2:QZW500 QQA2:QQA500 QGE2:QGE500 PWI2:PWI500 PMM2:PMM500 PCQ2:PCQ500 OSU2:OSU500 OIY2:OIY500 NZC2:NZC500 NPG2:NPG500 NFK2:NFK500 MVO2:MVO500 MLS2:MLS500 MBW2:MBW500 LSA2:LSA500 LIE2:LIE500 KYI2:KYI500 KOM2:KOM500 KEQ2:KEQ500 JUU2:JUU500 JKY2:JKY500 JBC2:JBC500 IRG2:IRG500 IHK2:IHK500 HXO2:HXO500 HNS2:HNS500 HDW2:HDW500 GUA2:GUA500 GKE2:GKE500 GAI2:GAI500 FQM2:FQM500 FGQ2:FGQ500 EWU2:EWU500 EMY2:EMY500 EDC2:EDC500 DTG2:DTG500 DJK2:DJK500 CZO2:CZO500 CPS2:CPS500 CFW2:CFW500 BWA2:BWA500 BME2:BME500 BCI2:BCI500 ASM2:ASM500 AIQ2:AIQ500 YU2:YU500 OY2:OY500 C1:D1048576" xr:uid="{8B6CAFB1-7D2B-48C2-9B29-44D1DA607ACC}">
      <formula1>0.000694444444444444</formula1>
      <formula2>0.999305555555556</formula2>
    </dataValidation>
    <dataValidation type="date" allowBlank="1" showInputMessage="1" showErrorMessage="1" sqref="WRN983041:WRN983540 QZV983041:QZV983540 FB65537:FB66036 OX65537:OX66036 YT65537:YT66036 AIP65537:AIP66036 ASL65537:ASL66036 BCH65537:BCH66036 BMD65537:BMD66036 BVZ65537:BVZ66036 CFV65537:CFV66036 CPR65537:CPR66036 CZN65537:CZN66036 DJJ65537:DJJ66036 DTF65537:DTF66036 EDB65537:EDB66036 EMX65537:EMX66036 EWT65537:EWT66036 FGP65537:FGP66036 FQL65537:FQL66036 GAH65537:GAH66036 GKD65537:GKD66036 GTZ65537:GTZ66036 HDV65537:HDV66036 HNR65537:HNR66036 HXN65537:HXN66036 IHJ65537:IHJ66036 IRF65537:IRF66036 JBB65537:JBB66036 JKX65537:JKX66036 JUT65537:JUT66036 KEP65537:KEP66036 KOL65537:KOL66036 KYH65537:KYH66036 LID65537:LID66036 LRZ65537:LRZ66036 MBV65537:MBV66036 MLR65537:MLR66036 MVN65537:MVN66036 NFJ65537:NFJ66036 NPF65537:NPF66036 NZB65537:NZB66036 OIX65537:OIX66036 OST65537:OST66036 PCP65537:PCP66036 PML65537:PML66036 PWH65537:PWH66036 QGD65537:QGD66036 QPZ65537:QPZ66036 QZV65537:QZV66036 RJR65537:RJR66036 RTN65537:RTN66036 SDJ65537:SDJ66036 SNF65537:SNF66036 SXB65537:SXB66036 TGX65537:TGX66036 TQT65537:TQT66036 UAP65537:UAP66036 UKL65537:UKL66036 UUH65537:UUH66036 VED65537:VED66036 VNZ65537:VNZ66036 VXV65537:VXV66036 WHR65537:WHR66036 WRN65537:WRN66036 RJR983041:RJR983540 FB131073:FB131572 OX131073:OX131572 YT131073:YT131572 AIP131073:AIP131572 ASL131073:ASL131572 BCH131073:BCH131572 BMD131073:BMD131572 BVZ131073:BVZ131572 CFV131073:CFV131572 CPR131073:CPR131572 CZN131073:CZN131572 DJJ131073:DJJ131572 DTF131073:DTF131572 EDB131073:EDB131572 EMX131073:EMX131572 EWT131073:EWT131572 FGP131073:FGP131572 FQL131073:FQL131572 GAH131073:GAH131572 GKD131073:GKD131572 GTZ131073:GTZ131572 HDV131073:HDV131572 HNR131073:HNR131572 HXN131073:HXN131572 IHJ131073:IHJ131572 IRF131073:IRF131572 JBB131073:JBB131572 JKX131073:JKX131572 JUT131073:JUT131572 KEP131073:KEP131572 KOL131073:KOL131572 KYH131073:KYH131572 LID131073:LID131572 LRZ131073:LRZ131572 MBV131073:MBV131572 MLR131073:MLR131572 MVN131073:MVN131572 NFJ131073:NFJ131572 NPF131073:NPF131572 NZB131073:NZB131572 OIX131073:OIX131572 OST131073:OST131572 PCP131073:PCP131572 PML131073:PML131572 PWH131073:PWH131572 QGD131073:QGD131572 QPZ131073:QPZ131572 QZV131073:QZV131572 RJR131073:RJR131572 RTN131073:RTN131572 SDJ131073:SDJ131572 SNF131073:SNF131572 SXB131073:SXB131572 TGX131073:TGX131572 TQT131073:TQT131572 UAP131073:UAP131572 UKL131073:UKL131572 UUH131073:UUH131572 VED131073:VED131572 VNZ131073:VNZ131572 VXV131073:VXV131572 WHR131073:WHR131572 WRN131073:WRN131572 RTN983041:RTN983540 FB196609:FB197108 OX196609:OX197108 YT196609:YT197108 AIP196609:AIP197108 ASL196609:ASL197108 BCH196609:BCH197108 BMD196609:BMD197108 BVZ196609:BVZ197108 CFV196609:CFV197108 CPR196609:CPR197108 CZN196609:CZN197108 DJJ196609:DJJ197108 DTF196609:DTF197108 EDB196609:EDB197108 EMX196609:EMX197108 EWT196609:EWT197108 FGP196609:FGP197108 FQL196609:FQL197108 GAH196609:GAH197108 GKD196609:GKD197108 GTZ196609:GTZ197108 HDV196609:HDV197108 HNR196609:HNR197108 HXN196609:HXN197108 IHJ196609:IHJ197108 IRF196609:IRF197108 JBB196609:JBB197108 JKX196609:JKX197108 JUT196609:JUT197108 KEP196609:KEP197108 KOL196609:KOL197108 KYH196609:KYH197108 LID196609:LID197108 LRZ196609:LRZ197108 MBV196609:MBV197108 MLR196609:MLR197108 MVN196609:MVN197108 NFJ196609:NFJ197108 NPF196609:NPF197108 NZB196609:NZB197108 OIX196609:OIX197108 OST196609:OST197108 PCP196609:PCP197108 PML196609:PML197108 PWH196609:PWH197108 QGD196609:QGD197108 QPZ196609:QPZ197108 QZV196609:QZV197108 RJR196609:RJR197108 RTN196609:RTN197108 SDJ196609:SDJ197108 SNF196609:SNF197108 SXB196609:SXB197108 TGX196609:TGX197108 TQT196609:TQT197108 UAP196609:UAP197108 UKL196609:UKL197108 UUH196609:UUH197108 VED196609:VED197108 VNZ196609:VNZ197108 VXV196609:VXV197108 WHR196609:WHR197108 WRN196609:WRN197108 SDJ983041:SDJ983540 FB262145:FB262644 OX262145:OX262644 YT262145:YT262644 AIP262145:AIP262644 ASL262145:ASL262644 BCH262145:BCH262644 BMD262145:BMD262644 BVZ262145:BVZ262644 CFV262145:CFV262644 CPR262145:CPR262644 CZN262145:CZN262644 DJJ262145:DJJ262644 DTF262145:DTF262644 EDB262145:EDB262644 EMX262145:EMX262644 EWT262145:EWT262644 FGP262145:FGP262644 FQL262145:FQL262644 GAH262145:GAH262644 GKD262145:GKD262644 GTZ262145:GTZ262644 HDV262145:HDV262644 HNR262145:HNR262644 HXN262145:HXN262644 IHJ262145:IHJ262644 IRF262145:IRF262644 JBB262145:JBB262644 JKX262145:JKX262644 JUT262145:JUT262644 KEP262145:KEP262644 KOL262145:KOL262644 KYH262145:KYH262644 LID262145:LID262644 LRZ262145:LRZ262644 MBV262145:MBV262644 MLR262145:MLR262644 MVN262145:MVN262644 NFJ262145:NFJ262644 NPF262145:NPF262644 NZB262145:NZB262644 OIX262145:OIX262644 OST262145:OST262644 PCP262145:PCP262644 PML262145:PML262644 PWH262145:PWH262644 QGD262145:QGD262644 QPZ262145:QPZ262644 QZV262145:QZV262644 RJR262145:RJR262644 RTN262145:RTN262644 SDJ262145:SDJ262644 SNF262145:SNF262644 SXB262145:SXB262644 TGX262145:TGX262644 TQT262145:TQT262644 UAP262145:UAP262644 UKL262145:UKL262644 UUH262145:UUH262644 VED262145:VED262644 VNZ262145:VNZ262644 VXV262145:VXV262644 WHR262145:WHR262644 WRN262145:WRN262644 SNF983041:SNF983540 FB327681:FB328180 OX327681:OX328180 YT327681:YT328180 AIP327681:AIP328180 ASL327681:ASL328180 BCH327681:BCH328180 BMD327681:BMD328180 BVZ327681:BVZ328180 CFV327681:CFV328180 CPR327681:CPR328180 CZN327681:CZN328180 DJJ327681:DJJ328180 DTF327681:DTF328180 EDB327681:EDB328180 EMX327681:EMX328180 EWT327681:EWT328180 FGP327681:FGP328180 FQL327681:FQL328180 GAH327681:GAH328180 GKD327681:GKD328180 GTZ327681:GTZ328180 HDV327681:HDV328180 HNR327681:HNR328180 HXN327681:HXN328180 IHJ327681:IHJ328180 IRF327681:IRF328180 JBB327681:JBB328180 JKX327681:JKX328180 JUT327681:JUT328180 KEP327681:KEP328180 KOL327681:KOL328180 KYH327681:KYH328180 LID327681:LID328180 LRZ327681:LRZ328180 MBV327681:MBV328180 MLR327681:MLR328180 MVN327681:MVN328180 NFJ327681:NFJ328180 NPF327681:NPF328180 NZB327681:NZB328180 OIX327681:OIX328180 OST327681:OST328180 PCP327681:PCP328180 PML327681:PML328180 PWH327681:PWH328180 QGD327681:QGD328180 QPZ327681:QPZ328180 QZV327681:QZV328180 RJR327681:RJR328180 RTN327681:RTN328180 SDJ327681:SDJ328180 SNF327681:SNF328180 SXB327681:SXB328180 TGX327681:TGX328180 TQT327681:TQT328180 UAP327681:UAP328180 UKL327681:UKL328180 UUH327681:UUH328180 VED327681:VED328180 VNZ327681:VNZ328180 VXV327681:VXV328180 WHR327681:WHR328180 WRN327681:WRN328180 SXB983041:SXB983540 FB393217:FB393716 OX393217:OX393716 YT393217:YT393716 AIP393217:AIP393716 ASL393217:ASL393716 BCH393217:BCH393716 BMD393217:BMD393716 BVZ393217:BVZ393716 CFV393217:CFV393716 CPR393217:CPR393716 CZN393217:CZN393716 DJJ393217:DJJ393716 DTF393217:DTF393716 EDB393217:EDB393716 EMX393217:EMX393716 EWT393217:EWT393716 FGP393217:FGP393716 FQL393217:FQL393716 GAH393217:GAH393716 GKD393217:GKD393716 GTZ393217:GTZ393716 HDV393217:HDV393716 HNR393217:HNR393716 HXN393217:HXN393716 IHJ393217:IHJ393716 IRF393217:IRF393716 JBB393217:JBB393716 JKX393217:JKX393716 JUT393217:JUT393716 KEP393217:KEP393716 KOL393217:KOL393716 KYH393217:KYH393716 LID393217:LID393716 LRZ393217:LRZ393716 MBV393217:MBV393716 MLR393217:MLR393716 MVN393217:MVN393716 NFJ393217:NFJ393716 NPF393217:NPF393716 NZB393217:NZB393716 OIX393217:OIX393716 OST393217:OST393716 PCP393217:PCP393716 PML393217:PML393716 PWH393217:PWH393716 QGD393217:QGD393716 QPZ393217:QPZ393716 QZV393217:QZV393716 RJR393217:RJR393716 RTN393217:RTN393716 SDJ393217:SDJ393716 SNF393217:SNF393716 SXB393217:SXB393716 TGX393217:TGX393716 TQT393217:TQT393716 UAP393217:UAP393716 UKL393217:UKL393716 UUH393217:UUH393716 VED393217:VED393716 VNZ393217:VNZ393716 VXV393217:VXV393716 WHR393217:WHR393716 WRN393217:WRN393716 TGX983041:TGX983540 FB458753:FB459252 OX458753:OX459252 YT458753:YT459252 AIP458753:AIP459252 ASL458753:ASL459252 BCH458753:BCH459252 BMD458753:BMD459252 BVZ458753:BVZ459252 CFV458753:CFV459252 CPR458753:CPR459252 CZN458753:CZN459252 DJJ458753:DJJ459252 DTF458753:DTF459252 EDB458753:EDB459252 EMX458753:EMX459252 EWT458753:EWT459252 FGP458753:FGP459252 FQL458753:FQL459252 GAH458753:GAH459252 GKD458753:GKD459252 GTZ458753:GTZ459252 HDV458753:HDV459252 HNR458753:HNR459252 HXN458753:HXN459252 IHJ458753:IHJ459252 IRF458753:IRF459252 JBB458753:JBB459252 JKX458753:JKX459252 JUT458753:JUT459252 KEP458753:KEP459252 KOL458753:KOL459252 KYH458753:KYH459252 LID458753:LID459252 LRZ458753:LRZ459252 MBV458753:MBV459252 MLR458753:MLR459252 MVN458753:MVN459252 NFJ458753:NFJ459252 NPF458753:NPF459252 NZB458753:NZB459252 OIX458753:OIX459252 OST458753:OST459252 PCP458753:PCP459252 PML458753:PML459252 PWH458753:PWH459252 QGD458753:QGD459252 QPZ458753:QPZ459252 QZV458753:QZV459252 RJR458753:RJR459252 RTN458753:RTN459252 SDJ458753:SDJ459252 SNF458753:SNF459252 SXB458753:SXB459252 TGX458753:TGX459252 TQT458753:TQT459252 UAP458753:UAP459252 UKL458753:UKL459252 UUH458753:UUH459252 VED458753:VED459252 VNZ458753:VNZ459252 VXV458753:VXV459252 WHR458753:WHR459252 WRN458753:WRN459252 TQT983041:TQT983540 FB524289:FB524788 OX524289:OX524788 YT524289:YT524788 AIP524289:AIP524788 ASL524289:ASL524788 BCH524289:BCH524788 BMD524289:BMD524788 BVZ524289:BVZ524788 CFV524289:CFV524788 CPR524289:CPR524788 CZN524289:CZN524788 DJJ524289:DJJ524788 DTF524289:DTF524788 EDB524289:EDB524788 EMX524289:EMX524788 EWT524289:EWT524788 FGP524289:FGP524788 FQL524289:FQL524788 GAH524289:GAH524788 GKD524289:GKD524788 GTZ524289:GTZ524788 HDV524289:HDV524788 HNR524289:HNR524788 HXN524289:HXN524788 IHJ524289:IHJ524788 IRF524289:IRF524788 JBB524289:JBB524788 JKX524289:JKX524788 JUT524289:JUT524788 KEP524289:KEP524788 KOL524289:KOL524788 KYH524289:KYH524788 LID524289:LID524788 LRZ524289:LRZ524788 MBV524289:MBV524788 MLR524289:MLR524788 MVN524289:MVN524788 NFJ524289:NFJ524788 NPF524289:NPF524788 NZB524289:NZB524788 OIX524289:OIX524788 OST524289:OST524788 PCP524289:PCP524788 PML524289:PML524788 PWH524289:PWH524788 QGD524289:QGD524788 QPZ524289:QPZ524788 QZV524289:QZV524788 RJR524289:RJR524788 RTN524289:RTN524788 SDJ524289:SDJ524788 SNF524289:SNF524788 SXB524289:SXB524788 TGX524289:TGX524788 TQT524289:TQT524788 UAP524289:UAP524788 UKL524289:UKL524788 UUH524289:UUH524788 VED524289:VED524788 VNZ524289:VNZ524788 VXV524289:VXV524788 WHR524289:WHR524788 WRN524289:WRN524788 UAP983041:UAP983540 FB589825:FB590324 OX589825:OX590324 YT589825:YT590324 AIP589825:AIP590324 ASL589825:ASL590324 BCH589825:BCH590324 BMD589825:BMD590324 BVZ589825:BVZ590324 CFV589825:CFV590324 CPR589825:CPR590324 CZN589825:CZN590324 DJJ589825:DJJ590324 DTF589825:DTF590324 EDB589825:EDB590324 EMX589825:EMX590324 EWT589825:EWT590324 FGP589825:FGP590324 FQL589825:FQL590324 GAH589825:GAH590324 GKD589825:GKD590324 GTZ589825:GTZ590324 HDV589825:HDV590324 HNR589825:HNR590324 HXN589825:HXN590324 IHJ589825:IHJ590324 IRF589825:IRF590324 JBB589825:JBB590324 JKX589825:JKX590324 JUT589825:JUT590324 KEP589825:KEP590324 KOL589825:KOL590324 KYH589825:KYH590324 LID589825:LID590324 LRZ589825:LRZ590324 MBV589825:MBV590324 MLR589825:MLR590324 MVN589825:MVN590324 NFJ589825:NFJ590324 NPF589825:NPF590324 NZB589825:NZB590324 OIX589825:OIX590324 OST589825:OST590324 PCP589825:PCP590324 PML589825:PML590324 PWH589825:PWH590324 QGD589825:QGD590324 QPZ589825:QPZ590324 QZV589825:QZV590324 RJR589825:RJR590324 RTN589825:RTN590324 SDJ589825:SDJ590324 SNF589825:SNF590324 SXB589825:SXB590324 TGX589825:TGX590324 TQT589825:TQT590324 UAP589825:UAP590324 UKL589825:UKL590324 UUH589825:UUH590324 VED589825:VED590324 VNZ589825:VNZ590324 VXV589825:VXV590324 WHR589825:WHR590324 WRN589825:WRN590324 UKL983041:UKL983540 FB655361:FB655860 OX655361:OX655860 YT655361:YT655860 AIP655361:AIP655860 ASL655361:ASL655860 BCH655361:BCH655860 BMD655361:BMD655860 BVZ655361:BVZ655860 CFV655361:CFV655860 CPR655361:CPR655860 CZN655361:CZN655860 DJJ655361:DJJ655860 DTF655361:DTF655860 EDB655361:EDB655860 EMX655361:EMX655860 EWT655361:EWT655860 FGP655361:FGP655860 FQL655361:FQL655860 GAH655361:GAH655860 GKD655361:GKD655860 GTZ655361:GTZ655860 HDV655361:HDV655860 HNR655361:HNR655860 HXN655361:HXN655860 IHJ655361:IHJ655860 IRF655361:IRF655860 JBB655361:JBB655860 JKX655361:JKX655860 JUT655361:JUT655860 KEP655361:KEP655860 KOL655361:KOL655860 KYH655361:KYH655860 LID655361:LID655860 LRZ655361:LRZ655860 MBV655361:MBV655860 MLR655361:MLR655860 MVN655361:MVN655860 NFJ655361:NFJ655860 NPF655361:NPF655860 NZB655361:NZB655860 OIX655361:OIX655860 OST655361:OST655860 PCP655361:PCP655860 PML655361:PML655860 PWH655361:PWH655860 QGD655361:QGD655860 QPZ655361:QPZ655860 QZV655361:QZV655860 RJR655361:RJR655860 RTN655361:RTN655860 SDJ655361:SDJ655860 SNF655361:SNF655860 SXB655361:SXB655860 TGX655361:TGX655860 TQT655361:TQT655860 UAP655361:UAP655860 UKL655361:UKL655860 UUH655361:UUH655860 VED655361:VED655860 VNZ655361:VNZ655860 VXV655361:VXV655860 WHR655361:WHR655860 WRN655361:WRN655860 UUH983041:UUH983540 FB720897:FB721396 OX720897:OX721396 YT720897:YT721396 AIP720897:AIP721396 ASL720897:ASL721396 BCH720897:BCH721396 BMD720897:BMD721396 BVZ720897:BVZ721396 CFV720897:CFV721396 CPR720897:CPR721396 CZN720897:CZN721396 DJJ720897:DJJ721396 DTF720897:DTF721396 EDB720897:EDB721396 EMX720897:EMX721396 EWT720897:EWT721396 FGP720897:FGP721396 FQL720897:FQL721396 GAH720897:GAH721396 GKD720897:GKD721396 GTZ720897:GTZ721396 HDV720897:HDV721396 HNR720897:HNR721396 HXN720897:HXN721396 IHJ720897:IHJ721396 IRF720897:IRF721396 JBB720897:JBB721396 JKX720897:JKX721396 JUT720897:JUT721396 KEP720897:KEP721396 KOL720897:KOL721396 KYH720897:KYH721396 LID720897:LID721396 LRZ720897:LRZ721396 MBV720897:MBV721396 MLR720897:MLR721396 MVN720897:MVN721396 NFJ720897:NFJ721396 NPF720897:NPF721396 NZB720897:NZB721396 OIX720897:OIX721396 OST720897:OST721396 PCP720897:PCP721396 PML720897:PML721396 PWH720897:PWH721396 QGD720897:QGD721396 QPZ720897:QPZ721396 QZV720897:QZV721396 RJR720897:RJR721396 RTN720897:RTN721396 SDJ720897:SDJ721396 SNF720897:SNF721396 SXB720897:SXB721396 TGX720897:TGX721396 TQT720897:TQT721396 UAP720897:UAP721396 UKL720897:UKL721396 UUH720897:UUH721396 VED720897:VED721396 VNZ720897:VNZ721396 VXV720897:VXV721396 WHR720897:WHR721396 WRN720897:WRN721396 VED983041:VED983540 FB786433:FB786932 OX786433:OX786932 YT786433:YT786932 AIP786433:AIP786932 ASL786433:ASL786932 BCH786433:BCH786932 BMD786433:BMD786932 BVZ786433:BVZ786932 CFV786433:CFV786932 CPR786433:CPR786932 CZN786433:CZN786932 DJJ786433:DJJ786932 DTF786433:DTF786932 EDB786433:EDB786932 EMX786433:EMX786932 EWT786433:EWT786932 FGP786433:FGP786932 FQL786433:FQL786932 GAH786433:GAH786932 GKD786433:GKD786932 GTZ786433:GTZ786932 HDV786433:HDV786932 HNR786433:HNR786932 HXN786433:HXN786932 IHJ786433:IHJ786932 IRF786433:IRF786932 JBB786433:JBB786932 JKX786433:JKX786932 JUT786433:JUT786932 KEP786433:KEP786932 KOL786433:KOL786932 KYH786433:KYH786932 LID786433:LID786932 LRZ786433:LRZ786932 MBV786433:MBV786932 MLR786433:MLR786932 MVN786433:MVN786932 NFJ786433:NFJ786932 NPF786433:NPF786932 NZB786433:NZB786932 OIX786433:OIX786932 OST786433:OST786932 PCP786433:PCP786932 PML786433:PML786932 PWH786433:PWH786932 QGD786433:QGD786932 QPZ786433:QPZ786932 QZV786433:QZV786932 RJR786433:RJR786932 RTN786433:RTN786932 SDJ786433:SDJ786932 SNF786433:SNF786932 SXB786433:SXB786932 TGX786433:TGX786932 TQT786433:TQT786932 UAP786433:UAP786932 UKL786433:UKL786932 UUH786433:UUH786932 VED786433:VED786932 VNZ786433:VNZ786932 VXV786433:VXV786932 WHR786433:WHR786932 WRN786433:WRN786932 VNZ983041:VNZ983540 FB851969:FB852468 OX851969:OX852468 YT851969:YT852468 AIP851969:AIP852468 ASL851969:ASL852468 BCH851969:BCH852468 BMD851969:BMD852468 BVZ851969:BVZ852468 CFV851969:CFV852468 CPR851969:CPR852468 CZN851969:CZN852468 DJJ851969:DJJ852468 DTF851969:DTF852468 EDB851969:EDB852468 EMX851969:EMX852468 EWT851969:EWT852468 FGP851969:FGP852468 FQL851969:FQL852468 GAH851969:GAH852468 GKD851969:GKD852468 GTZ851969:GTZ852468 HDV851969:HDV852468 HNR851969:HNR852468 HXN851969:HXN852468 IHJ851969:IHJ852468 IRF851969:IRF852468 JBB851969:JBB852468 JKX851969:JKX852468 JUT851969:JUT852468 KEP851969:KEP852468 KOL851969:KOL852468 KYH851969:KYH852468 LID851969:LID852468 LRZ851969:LRZ852468 MBV851969:MBV852468 MLR851969:MLR852468 MVN851969:MVN852468 NFJ851969:NFJ852468 NPF851969:NPF852468 NZB851969:NZB852468 OIX851969:OIX852468 OST851969:OST852468 PCP851969:PCP852468 PML851969:PML852468 PWH851969:PWH852468 QGD851969:QGD852468 QPZ851969:QPZ852468 QZV851969:QZV852468 RJR851969:RJR852468 RTN851969:RTN852468 SDJ851969:SDJ852468 SNF851969:SNF852468 SXB851969:SXB852468 TGX851969:TGX852468 TQT851969:TQT852468 UAP851969:UAP852468 UKL851969:UKL852468 UUH851969:UUH852468 VED851969:VED852468 VNZ851969:VNZ852468 VXV851969:VXV852468 WHR851969:WHR852468 WRN851969:WRN852468 VXV983041:VXV983540 FB917505:FB918004 OX917505:OX918004 YT917505:YT918004 AIP917505:AIP918004 ASL917505:ASL918004 BCH917505:BCH918004 BMD917505:BMD918004 BVZ917505:BVZ918004 CFV917505:CFV918004 CPR917505:CPR918004 CZN917505:CZN918004 DJJ917505:DJJ918004 DTF917505:DTF918004 EDB917505:EDB918004 EMX917505:EMX918004 EWT917505:EWT918004 FGP917505:FGP918004 FQL917505:FQL918004 GAH917505:GAH918004 GKD917505:GKD918004 GTZ917505:GTZ918004 HDV917505:HDV918004 HNR917505:HNR918004 HXN917505:HXN918004 IHJ917505:IHJ918004 IRF917505:IRF918004 JBB917505:JBB918004 JKX917505:JKX918004 JUT917505:JUT918004 KEP917505:KEP918004 KOL917505:KOL918004 KYH917505:KYH918004 LID917505:LID918004 LRZ917505:LRZ918004 MBV917505:MBV918004 MLR917505:MLR918004 MVN917505:MVN918004 NFJ917505:NFJ918004 NPF917505:NPF918004 NZB917505:NZB918004 OIX917505:OIX918004 OST917505:OST918004 PCP917505:PCP918004 PML917505:PML918004 PWH917505:PWH918004 QGD917505:QGD918004 QPZ917505:QPZ918004 QZV917505:QZV918004 RJR917505:RJR918004 RTN917505:RTN918004 SDJ917505:SDJ918004 SNF917505:SNF918004 SXB917505:SXB918004 TGX917505:TGX918004 TQT917505:TQT918004 UAP917505:UAP918004 UKL917505:UKL918004 UUH917505:UUH918004 VED917505:VED918004 VNZ917505:VNZ918004 VXV917505:VXV918004 WHR917505:WHR918004 WRN917505:WRN918004 WHR983041:WHR983540 FB983041:FB983540 OX983041:OX983540 YT983041:YT983540 AIP983041:AIP983540 ASL983041:ASL983540 BCH983041:BCH983540 BMD983041:BMD983540 BVZ983041:BVZ983540 CFV983041:CFV983540 CPR983041:CPR983540 CZN983041:CZN983540 DJJ983041:DJJ983540 DTF983041:DTF983540 EDB983041:EDB983540 EMX983041:EMX983540 EWT983041:EWT983540 FGP983041:FGP983540 FQL983041:FQL983540 GAH983041:GAH983540 GKD983041:GKD983540 GTZ983041:GTZ983540 HDV983041:HDV983540 HNR983041:HNR983540 HXN983041:HXN983540 IHJ983041:IHJ983540 IRF983041:IRF983540 JBB983041:JBB983540 JKX983041:JKX983540 JUT983041:JUT983540 KEP983041:KEP983540 KOL983041:KOL983540 KYH983041:KYH983540 LID983041:LID983540 LRZ983041:LRZ983540 MBV983041:MBV983540 MLR983041:MLR983540 MVN983041:MVN983540 NFJ983041:NFJ983540 NPF983041:NPF983540 NZB983041:NZB983540 OIX983041:OIX983540 OST983041:OST983540 PCP983041:PCP983540 PML983041:PML983540 PWH983041:PWH983540 QGD983041:QGD983540 QPZ983041:QPZ983540 WRN2:WRN500 WHR2:WHR500 VXV2:VXV500 VNZ2:VNZ500 VED2:VED500 UUH2:UUH500 UKL2:UKL500 UAP2:UAP500 TQT2:TQT500 TGX2:TGX500 SXB2:SXB500 SNF2:SNF500 SDJ2:SDJ500 RTN2:RTN500 RJR2:RJR500 QZV2:QZV500 QPZ2:QPZ500 QGD2:QGD500 PWH2:PWH500 PML2:PML500 PCP2:PCP500 OST2:OST500 OIX2:OIX500 NZB2:NZB500 NPF2:NPF500 NFJ2:NFJ500 MVN2:MVN500 MLR2:MLR500 MBV2:MBV500 LRZ2:LRZ500 LID2:LID500 KYH2:KYH500 KOL2:KOL500 KEP2:KEP500 JUT2:JUT500 JKX2:JKX500 JBB2:JBB500 IRF2:IRF500 IHJ2:IHJ500 HXN2:HXN500 HNR2:HNR500 HDV2:HDV500 GTZ2:GTZ500 GKD2:GKD500 GAH2:GAH500 FQL2:FQL500 FGP2:FGP500 EWT2:EWT500 EMX2:EMX500 EDB2:EDB500 DTF2:DTF500 DJJ2:DJJ500 CZN2:CZN500 CPR2:CPR500 CFV2:CFV500 BVZ2:BVZ500 BMD2:BMD500 BCH2:BCH500 ASL2:ASL500 AIP2:AIP500 YT2:YT500 OX2:OX500 FB2:FB500" xr:uid="{C6BF0A59-FB77-4DC2-94FE-20E3024EF8FC}">
      <formula1>36161</formula1>
      <formula2>40543</formula2>
    </dataValidation>
    <dataValidation type="date" allowBlank="1" showInputMessage="1" showErrorMessage="1" sqref="B1:B1048576" xr:uid="{29CAF301-FE3A-4339-BD72-19513A4556D9}">
      <formula1>45292</formula1>
      <formula2>73051</formula2>
    </dataValidation>
  </dataValidations>
  <pageMargins left="0.25" right="0.25" top="0.5" bottom="0.5" header="0" footer="0"/>
  <pageSetup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1E20C9-DED2-4240-B0D7-D87C0F401443}">
          <x14:formula1>
            <xm:f>Customer_Data!$A$2:$A$114</xm:f>
          </x14:formula1>
          <xm:sqref>A2:A500</xm:sqref>
        </x14:dataValidation>
        <x14:dataValidation type="list" showInputMessage="1" showErrorMessage="1" xr:uid="{4DD2BCE3-AEE5-4DF6-BE9A-47823CB38EEA}">
          <x14:formula1>
            <xm:f>Data!$A$3:$A$4</xm:f>
          </x14:formula1>
          <xm:sqref>E2:E501</xm:sqref>
        </x14:dataValidation>
        <x14:dataValidation type="list" allowBlank="1" showInputMessage="1" showErrorMessage="1" xr:uid="{AFD53A56-6322-4274-9D7F-AFE19AE958AD}">
          <x14:formula1>
            <xm:f>Data!$D$2:$D$8</xm:f>
          </x14:formula1>
          <xm:sqref>G2:G500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D2A8-08B4-4537-8730-7A809385F461}">
  <sheetPr>
    <pageSetUpPr fitToPage="1"/>
  </sheetPr>
  <dimension ref="A1:AE193"/>
  <sheetViews>
    <sheetView topLeftCell="A139" workbookViewId="0">
      <selection sqref="A1:W153"/>
    </sheetView>
  </sheetViews>
  <sheetFormatPr defaultRowHeight="13.2"/>
  <cols>
    <col min="1" max="1" width="13.77734375" bestFit="1" customWidth="1"/>
    <col min="2" max="2" width="21.5546875" bestFit="1" customWidth="1"/>
    <col min="3" max="3" width="13.21875" bestFit="1" customWidth="1"/>
    <col min="4" max="4" width="14.21875" bestFit="1" customWidth="1"/>
    <col min="5" max="5" width="12.21875" bestFit="1" customWidth="1"/>
    <col min="6" max="6" width="13.88671875" bestFit="1" customWidth="1"/>
    <col min="7" max="7" width="15" bestFit="1" customWidth="1"/>
    <col min="8" max="8" width="8.88671875" bestFit="1" customWidth="1"/>
    <col min="9" max="9" width="20.21875" bestFit="1" customWidth="1"/>
    <col min="10" max="10" width="11.109375" bestFit="1" customWidth="1"/>
    <col min="11" max="11" width="3.77734375" customWidth="1"/>
    <col min="12" max="12" width="20.6640625" bestFit="1" customWidth="1"/>
    <col min="13" max="13" width="15.109375" bestFit="1" customWidth="1"/>
    <col min="14" max="14" width="12.109375" bestFit="1" customWidth="1"/>
    <col min="15" max="15" width="22.21875" bestFit="1" customWidth="1"/>
    <col min="16" max="16" width="12.21875" bestFit="1" customWidth="1"/>
    <col min="17" max="17" width="15.109375" bestFit="1" customWidth="1"/>
    <col min="18" max="18" width="12.109375" bestFit="1" customWidth="1"/>
    <col min="19" max="19" width="22.21875" bestFit="1" customWidth="1"/>
    <col min="20" max="20" width="12.21875" bestFit="1" customWidth="1"/>
    <col min="21" max="21" width="15.109375" bestFit="1" customWidth="1"/>
    <col min="22" max="22" width="12.109375" bestFit="1" customWidth="1"/>
    <col min="23" max="23" width="22.21875" bestFit="1" customWidth="1"/>
    <col min="24" max="24" width="12.21875" bestFit="1" customWidth="1"/>
    <col min="25" max="25" width="15.109375" bestFit="1" customWidth="1"/>
    <col min="26" max="26" width="12.109375" bestFit="1" customWidth="1"/>
    <col min="27" max="27" width="22.21875" bestFit="1" customWidth="1"/>
    <col min="28" max="28" width="12.21875" bestFit="1" customWidth="1"/>
    <col min="29" max="29" width="15.109375" bestFit="1" customWidth="1"/>
    <col min="30" max="30" width="12.109375" bestFit="1" customWidth="1"/>
    <col min="31" max="31" width="22.21875" bestFit="1" customWidth="1"/>
  </cols>
  <sheetData>
    <row r="1" spans="1:31" s="206" customFormat="1" ht="39.6">
      <c r="A1" s="206" t="s">
        <v>73</v>
      </c>
      <c r="B1" s="206" t="s">
        <v>679</v>
      </c>
      <c r="C1" s="206" t="s">
        <v>680</v>
      </c>
      <c r="D1" s="206" t="s">
        <v>681</v>
      </c>
      <c r="E1" s="206" t="s">
        <v>682</v>
      </c>
      <c r="F1" s="206" t="s">
        <v>81</v>
      </c>
      <c r="G1" s="206" t="s">
        <v>3</v>
      </c>
      <c r="H1" s="206" t="s">
        <v>84</v>
      </c>
      <c r="I1" s="206" t="s">
        <v>87</v>
      </c>
      <c r="J1" s="206" t="s">
        <v>120</v>
      </c>
      <c r="L1" s="206" t="s">
        <v>678</v>
      </c>
      <c r="M1" s="206" t="s">
        <v>21</v>
      </c>
      <c r="N1" s="206" t="s">
        <v>183</v>
      </c>
      <c r="O1" s="206" t="s">
        <v>182</v>
      </c>
      <c r="P1" s="206" t="s">
        <v>122</v>
      </c>
      <c r="Q1" s="206" t="s">
        <v>21</v>
      </c>
      <c r="R1" s="206" t="s">
        <v>183</v>
      </c>
      <c r="S1" s="206" t="s">
        <v>182</v>
      </c>
      <c r="T1" s="206" t="s">
        <v>123</v>
      </c>
      <c r="U1" s="206" t="s">
        <v>21</v>
      </c>
      <c r="V1" s="206" t="s">
        <v>183</v>
      </c>
      <c r="W1" s="206" t="s">
        <v>182</v>
      </c>
      <c r="X1" s="206" t="s">
        <v>124</v>
      </c>
      <c r="Y1" s="206" t="s">
        <v>21</v>
      </c>
      <c r="Z1" s="206" t="s">
        <v>183</v>
      </c>
      <c r="AA1" s="206" t="s">
        <v>182</v>
      </c>
      <c r="AB1" s="206" t="s">
        <v>125</v>
      </c>
      <c r="AC1" s="206" t="s">
        <v>21</v>
      </c>
      <c r="AD1" s="206" t="s">
        <v>183</v>
      </c>
      <c r="AE1" s="206" t="s">
        <v>182</v>
      </c>
    </row>
    <row r="2" spans="1:31" hidden="1">
      <c r="A2" t="str">
        <f>Applications!A3</f>
        <v>Dot Stuart</v>
      </c>
      <c r="B2" t="str">
        <f>VLOOKUP($A2,Customer_Data!$A$1:$R$161,3,TRUE)</f>
        <v>414 Providence Drive</v>
      </c>
      <c r="C2" t="str">
        <f>VLOOKUP($A2,Customer_Data!$A$1:$R$161,4,TRUE)</f>
        <v>Brandon</v>
      </c>
      <c r="D2" t="str">
        <f>VLOOKUP($A2,Customer_Data!$A$1:$R$161,5,TRUE)</f>
        <v>MS</v>
      </c>
      <c r="E2">
        <f>VLOOKUP($A2,Customer_Data!$A$1:$R$161,6,TRUE)</f>
        <v>39042</v>
      </c>
      <c r="F2" s="207">
        <f>Applications!B3</f>
        <v>45591</v>
      </c>
      <c r="G2" s="207" t="str">
        <f>Applications!E3</f>
        <v>Matthew Stowers</v>
      </c>
      <c r="H2">
        <f>Applications!F3</f>
        <v>48160</v>
      </c>
      <c r="I2" s="207" t="str">
        <f>Applications!G3</f>
        <v>Fall (pre/post emerge)</v>
      </c>
      <c r="J2">
        <f>Applications!H3</f>
        <v>1800</v>
      </c>
      <c r="L2" t="str">
        <f>Applications!J3</f>
        <v>Princep Liquid (100-526)</v>
      </c>
      <c r="M2" t="str">
        <f>Applications!K3</f>
        <v>Simazine</v>
      </c>
      <c r="N2">
        <f>Applications!L3</f>
        <v>32</v>
      </c>
      <c r="O2">
        <f>Applications!M3</f>
        <v>1.3223140495867769</v>
      </c>
      <c r="P2" t="str">
        <f>Applications!N3</f>
        <v>Triplet SF (3-Way) 228-312</v>
      </c>
      <c r="Q2" t="str">
        <f>Applications!O3</f>
        <v>2,4-D, dimethylamine salt; Dicamba, dimethylamine salt;Mecoprop-p (MCPP-p), dimethylamine salt</v>
      </c>
      <c r="R2">
        <f>Applications!P3</f>
        <v>24</v>
      </c>
      <c r="S2">
        <f>Applications!Q3</f>
        <v>0.99173553719008267</v>
      </c>
      <c r="T2" t="str">
        <f>Applications!R3</f>
        <v>Resolute 4Fl (100-1139)</v>
      </c>
      <c r="U2" t="str">
        <f>Applications!S3</f>
        <v>Prodiamine</v>
      </c>
      <c r="V2">
        <f>Applications!T3</f>
        <v>16</v>
      </c>
      <c r="W2">
        <f>Applications!U3</f>
        <v>0.66115702479338845</v>
      </c>
      <c r="X2" t="b">
        <f>Applications!V3</f>
        <v>0</v>
      </c>
      <c r="Y2" t="e">
        <f>Applications!W3</f>
        <v>#N/A</v>
      </c>
      <c r="Z2" t="e">
        <f>Applications!X3</f>
        <v>#N/A</v>
      </c>
      <c r="AA2" t="e">
        <f>Applications!Y3</f>
        <v>#N/A</v>
      </c>
      <c r="AB2">
        <f>Applications!Z3</f>
        <v>0</v>
      </c>
      <c r="AC2">
        <f>Applications!AA3</f>
        <v>0</v>
      </c>
      <c r="AD2">
        <f>Applications!AB3</f>
        <v>0</v>
      </c>
      <c r="AE2">
        <f>Applications!AC3</f>
        <v>0</v>
      </c>
    </row>
    <row r="3" spans="1:31" hidden="1">
      <c r="A3" t="str">
        <f>Applications!A4</f>
        <v>Matt Runner</v>
      </c>
      <c r="B3" t="str">
        <f>VLOOKUP($A3,Customer_Data!$A$1:$R$161,3,TRUE)</f>
        <v>528 Acadian Ct.</v>
      </c>
      <c r="C3" t="str">
        <f>VLOOKUP($A3,Customer_Data!$A$1:$R$161,4,TRUE)</f>
        <v>Brandon</v>
      </c>
      <c r="D3" t="str">
        <f>VLOOKUP($A3,Customer_Data!$A$1:$R$161,5,TRUE)</f>
        <v>MS</v>
      </c>
      <c r="E3">
        <f>VLOOKUP($A3,Customer_Data!$A$1:$R$161,6,TRUE)</f>
        <v>39042</v>
      </c>
      <c r="F3" s="207">
        <f>Applications!B4</f>
        <v>45591</v>
      </c>
      <c r="G3" s="207" t="str">
        <f>Applications!E4</f>
        <v>Matthew Stowers</v>
      </c>
      <c r="H3">
        <f>Applications!F4</f>
        <v>48160</v>
      </c>
      <c r="I3" s="207" t="str">
        <f>Applications!G4</f>
        <v>Fall (pre/post emerge)</v>
      </c>
      <c r="J3">
        <f>Applications!H4</f>
        <v>2000</v>
      </c>
      <c r="L3" t="str">
        <f>Applications!J4</f>
        <v>Princep Liquid (100-526)</v>
      </c>
      <c r="M3" t="str">
        <f>Applications!K4</f>
        <v>Simazine</v>
      </c>
      <c r="N3">
        <f>Applications!L4</f>
        <v>32</v>
      </c>
      <c r="O3">
        <f>Applications!M4</f>
        <v>1.4692378328741964</v>
      </c>
      <c r="P3" t="str">
        <f>Applications!N4</f>
        <v>Triplet SF (3-Way) 228-312</v>
      </c>
      <c r="Q3" t="str">
        <f>Applications!O4</f>
        <v>2,4-D, dimethylamine salt; Dicamba, dimethylamine salt;Mecoprop-p (MCPP-p), dimethylamine salt</v>
      </c>
      <c r="R3">
        <f>Applications!P4</f>
        <v>24</v>
      </c>
      <c r="S3">
        <f>Applications!Q4</f>
        <v>1.1019283746556474</v>
      </c>
      <c r="T3" t="str">
        <f>Applications!R4</f>
        <v>Resolute 4Fl (100-1139)</v>
      </c>
      <c r="U3" t="str">
        <f>Applications!S4</f>
        <v>Prodiamine</v>
      </c>
      <c r="V3">
        <f>Applications!T4</f>
        <v>16</v>
      </c>
      <c r="W3">
        <f>Applications!U4</f>
        <v>0.7346189164370982</v>
      </c>
      <c r="X3" t="b">
        <f>Applications!V4</f>
        <v>0</v>
      </c>
      <c r="Y3" t="e">
        <f>Applications!W4</f>
        <v>#N/A</v>
      </c>
      <c r="Z3" t="e">
        <f>Applications!X4</f>
        <v>#N/A</v>
      </c>
      <c r="AA3" t="e">
        <f>Applications!Y4</f>
        <v>#N/A</v>
      </c>
      <c r="AB3">
        <f>Applications!Z4</f>
        <v>0</v>
      </c>
      <c r="AC3">
        <f>Applications!AA4</f>
        <v>0</v>
      </c>
      <c r="AD3">
        <f>Applications!AB4</f>
        <v>0</v>
      </c>
      <c r="AE3">
        <f>Applications!AC4</f>
        <v>0</v>
      </c>
    </row>
    <row r="4" spans="1:31" hidden="1">
      <c r="A4" t="str">
        <f>Applications!A5</f>
        <v>Luther Stowers</v>
      </c>
      <c r="B4" t="str">
        <f>VLOOKUP($A4,Customer_Data!$A$1:$R$161,3,TRUE)</f>
        <v>325 North Brandon Blvd.</v>
      </c>
      <c r="C4" t="str">
        <f>VLOOKUP($A4,Customer_Data!$A$1:$R$161,4,TRUE)</f>
        <v>Brandon</v>
      </c>
      <c r="D4" t="str">
        <f>VLOOKUP($A4,Customer_Data!$A$1:$R$161,5,TRUE)</f>
        <v>MS</v>
      </c>
      <c r="E4">
        <f>VLOOKUP($A4,Customer_Data!$A$1:$R$161,6,TRUE)</f>
        <v>39042</v>
      </c>
      <c r="F4" s="207">
        <f>Applications!B5</f>
        <v>45591</v>
      </c>
      <c r="G4" s="207" t="str">
        <f>Applications!E5</f>
        <v>Luther Stowers</v>
      </c>
      <c r="H4">
        <f>Applications!F5</f>
        <v>48182</v>
      </c>
      <c r="I4" s="207" t="str">
        <f>Applications!G5</f>
        <v>Fall (pre/post emerge)</v>
      </c>
      <c r="J4">
        <f>Applications!H5</f>
        <v>5361</v>
      </c>
      <c r="L4" t="str">
        <f>Applications!J5</f>
        <v>Princep Liquid (100-526)</v>
      </c>
      <c r="M4" t="str">
        <f>Applications!K5</f>
        <v>Simazine</v>
      </c>
      <c r="N4">
        <f>Applications!L5</f>
        <v>32</v>
      </c>
      <c r="O4">
        <f>Applications!M5</f>
        <v>3.9382920110192838</v>
      </c>
      <c r="P4" t="str">
        <f>Applications!N5</f>
        <v>Triplet SF (3-Way) 228-312</v>
      </c>
      <c r="Q4" t="str">
        <f>Applications!O5</f>
        <v>2,4-D, dimethylamine salt; Dicamba, dimethylamine salt;Mecoprop-p (MCPP-p), dimethylamine salt</v>
      </c>
      <c r="R4">
        <f>Applications!P5</f>
        <v>24</v>
      </c>
      <c r="S4">
        <f>Applications!Q5</f>
        <v>2.9537190082644629</v>
      </c>
      <c r="T4" t="str">
        <f>Applications!R5</f>
        <v>Resolute 4Fl (100-1139)</v>
      </c>
      <c r="U4" t="str">
        <f>Applications!S5</f>
        <v>Prodiamine</v>
      </c>
      <c r="V4">
        <f>Applications!T5</f>
        <v>16</v>
      </c>
      <c r="W4">
        <f>Applications!U5</f>
        <v>1.9691460055096419</v>
      </c>
      <c r="X4" t="b">
        <f>Applications!V5</f>
        <v>0</v>
      </c>
      <c r="Y4" t="e">
        <f>Applications!W5</f>
        <v>#N/A</v>
      </c>
      <c r="Z4" t="e">
        <f>Applications!X5</f>
        <v>#N/A</v>
      </c>
      <c r="AA4" t="e">
        <f>Applications!Y5</f>
        <v>#N/A</v>
      </c>
      <c r="AB4">
        <f>Applications!Z5</f>
        <v>0</v>
      </c>
      <c r="AC4">
        <f>Applications!AA5</f>
        <v>0</v>
      </c>
      <c r="AD4">
        <f>Applications!AB5</f>
        <v>0</v>
      </c>
      <c r="AE4">
        <f>Applications!AC5</f>
        <v>0</v>
      </c>
    </row>
    <row r="5" spans="1:31" hidden="1">
      <c r="A5" t="str">
        <f>Applications!A6</f>
        <v>Bobby Fatheree</v>
      </c>
      <c r="B5" t="str">
        <f>VLOOKUP($A5,Customer_Data!$A$1:$R$161,3,TRUE)</f>
        <v>283 Rockbridge Drive</v>
      </c>
      <c r="C5" t="str">
        <f>VLOOKUP($A5,Customer_Data!$A$1:$R$161,4,TRUE)</f>
        <v>Madison</v>
      </c>
      <c r="D5" t="str">
        <f>VLOOKUP($A5,Customer_Data!$A$1:$R$161,5,TRUE)</f>
        <v>MS</v>
      </c>
      <c r="E5">
        <f>VLOOKUP($A5,Customer_Data!$A$1:$R$161,6,TRUE)</f>
        <v>39110</v>
      </c>
      <c r="F5" s="207">
        <f>Applications!B6</f>
        <v>45592</v>
      </c>
      <c r="G5" s="207" t="str">
        <f>Applications!E6</f>
        <v>Matthew Stowers</v>
      </c>
      <c r="H5">
        <f>Applications!F6</f>
        <v>48160</v>
      </c>
      <c r="I5" s="207" t="str">
        <f>Applications!G6</f>
        <v>Fall (pre/post emerge)</v>
      </c>
      <c r="J5">
        <f>Applications!H6</f>
        <v>8850</v>
      </c>
      <c r="L5" t="str">
        <f>Applications!J6</f>
        <v>Princep Liquid (100-526)</v>
      </c>
      <c r="M5" t="str">
        <f>Applications!K6</f>
        <v>Simazine</v>
      </c>
      <c r="N5">
        <f>Applications!L6</f>
        <v>32</v>
      </c>
      <c r="O5">
        <f>Applications!M6</f>
        <v>6.5013774104683195</v>
      </c>
      <c r="P5" t="str">
        <f>Applications!N6</f>
        <v>Triplet SF (3-Way) 228-312</v>
      </c>
      <c r="Q5" t="str">
        <f>Applications!O6</f>
        <v>2,4-D, dimethylamine salt; Dicamba, dimethylamine salt;Mecoprop-p (MCPP-p), dimethylamine salt</v>
      </c>
      <c r="R5">
        <f>Applications!P6</f>
        <v>24</v>
      </c>
      <c r="S5">
        <f>Applications!Q6</f>
        <v>4.8760330578512399</v>
      </c>
      <c r="T5" t="str">
        <f>Applications!R6</f>
        <v>Resolute 4Fl (100-1139)</v>
      </c>
      <c r="U5" t="str">
        <f>Applications!S6</f>
        <v>Prodiamine</v>
      </c>
      <c r="V5">
        <f>Applications!T6</f>
        <v>16</v>
      </c>
      <c r="W5">
        <f>Applications!U6</f>
        <v>3.2506887052341598</v>
      </c>
      <c r="X5" t="b">
        <f>Applications!V6</f>
        <v>0</v>
      </c>
      <c r="Y5" t="e">
        <f>Applications!W6</f>
        <v>#N/A</v>
      </c>
      <c r="Z5" t="e">
        <f>Applications!X6</f>
        <v>#N/A</v>
      </c>
      <c r="AA5" t="e">
        <f>Applications!Y6</f>
        <v>#N/A</v>
      </c>
      <c r="AB5">
        <f>Applications!Z6</f>
        <v>0</v>
      </c>
      <c r="AC5">
        <f>Applications!AA6</f>
        <v>0</v>
      </c>
      <c r="AD5">
        <f>Applications!AB6</f>
        <v>0</v>
      </c>
      <c r="AE5">
        <f>Applications!AC6</f>
        <v>0</v>
      </c>
    </row>
    <row r="6" spans="1:31" hidden="1">
      <c r="A6" t="str">
        <f>Applications!A7</f>
        <v>Asa Barnes</v>
      </c>
      <c r="B6" t="str">
        <f>VLOOKUP($A6,Customer_Data!$A$1:$R$161,3,TRUE)</f>
        <v>314 Buttonwood Lane</v>
      </c>
      <c r="C6" t="str">
        <f>VLOOKUP($A6,Customer_Data!$A$1:$R$161,4,TRUE)</f>
        <v>Canton</v>
      </c>
      <c r="D6" t="str">
        <f>VLOOKUP($A6,Customer_Data!$A$1:$R$161,5,TRUE)</f>
        <v>MS</v>
      </c>
      <c r="E6">
        <f>VLOOKUP($A6,Customer_Data!$A$1:$R$161,6,TRUE)</f>
        <v>39046</v>
      </c>
      <c r="F6" s="207">
        <f>Applications!B7</f>
        <v>45592</v>
      </c>
      <c r="G6" s="207" t="str">
        <f>Applications!E7</f>
        <v>Matthew Stowers</v>
      </c>
      <c r="H6">
        <f>Applications!F7</f>
        <v>48160</v>
      </c>
      <c r="I6" s="207" t="str">
        <f>Applications!G7</f>
        <v>Fall (pre/post emerge)</v>
      </c>
      <c r="J6">
        <f>Applications!H7</f>
        <v>6575</v>
      </c>
      <c r="L6" t="str">
        <f>Applications!J7</f>
        <v>Princep Liquid (100-526)</v>
      </c>
      <c r="M6" t="str">
        <f>Applications!K7</f>
        <v>Simazine</v>
      </c>
      <c r="N6">
        <f>Applications!L7</f>
        <v>32</v>
      </c>
      <c r="O6">
        <f>Applications!M7</f>
        <v>4.8301193755739211</v>
      </c>
      <c r="P6" t="str">
        <f>Applications!N7</f>
        <v>Triplet SF (3-Way) 228-312</v>
      </c>
      <c r="Q6" t="str">
        <f>Applications!O7</f>
        <v>2,4-D, dimethylamine salt; Dicamba, dimethylamine salt;Mecoprop-p (MCPP-p), dimethylamine salt</v>
      </c>
      <c r="R6">
        <f>Applications!P7</f>
        <v>24</v>
      </c>
      <c r="S6">
        <f>Applications!Q7</f>
        <v>3.6225895316804406</v>
      </c>
      <c r="T6" t="str">
        <f>Applications!R7</f>
        <v>Resolute 4Fl (100-1139)</v>
      </c>
      <c r="U6" t="str">
        <f>Applications!S7</f>
        <v>Prodiamine</v>
      </c>
      <c r="V6">
        <f>Applications!T7</f>
        <v>16</v>
      </c>
      <c r="W6">
        <f>Applications!U7</f>
        <v>2.4150596877869606</v>
      </c>
      <c r="X6" t="b">
        <f>Applications!V7</f>
        <v>0</v>
      </c>
      <c r="Y6" t="e">
        <f>Applications!W7</f>
        <v>#N/A</v>
      </c>
      <c r="Z6" t="e">
        <f>Applications!X7</f>
        <v>#N/A</v>
      </c>
      <c r="AA6" t="e">
        <f>Applications!Y7</f>
        <v>#N/A</v>
      </c>
      <c r="AB6">
        <f>Applications!Z7</f>
        <v>0</v>
      </c>
      <c r="AC6">
        <f>Applications!AA7</f>
        <v>0</v>
      </c>
      <c r="AD6">
        <f>Applications!AB7</f>
        <v>0</v>
      </c>
      <c r="AE6">
        <f>Applications!AC7</f>
        <v>0</v>
      </c>
    </row>
    <row r="7" spans="1:31" hidden="1">
      <c r="A7" t="str">
        <f>Applications!A8</f>
        <v>David Fatheree</v>
      </c>
      <c r="B7" t="str">
        <f>VLOOKUP($A7,Customer_Data!$A$1:$R$161,3,TRUE)</f>
        <v>706 Ivywood Court</v>
      </c>
      <c r="C7" t="str">
        <f>VLOOKUP($A7,Customer_Data!$A$1:$R$161,4,TRUE)</f>
        <v>Madison</v>
      </c>
      <c r="D7" t="str">
        <f>VLOOKUP($A7,Customer_Data!$A$1:$R$161,5,TRUE)</f>
        <v>MS</v>
      </c>
      <c r="E7">
        <f>VLOOKUP($A7,Customer_Data!$A$1:$R$161,6,TRUE)</f>
        <v>39110</v>
      </c>
      <c r="F7" s="207">
        <f>Applications!B8</f>
        <v>45592</v>
      </c>
      <c r="G7" s="207" t="str">
        <f>Applications!E8</f>
        <v>Matthew Stowers</v>
      </c>
      <c r="H7">
        <f>Applications!F8</f>
        <v>48160</v>
      </c>
      <c r="I7" s="207" t="str">
        <f>Applications!G8</f>
        <v>Fall (pre/post emerge)</v>
      </c>
      <c r="J7">
        <f>Applications!H8</f>
        <v>8910</v>
      </c>
      <c r="L7" t="str">
        <f>Applications!J8</f>
        <v>Princep Liquid (100-526)</v>
      </c>
      <c r="M7" t="str">
        <f>Applications!K8</f>
        <v>Simazine</v>
      </c>
      <c r="N7">
        <f>Applications!L8</f>
        <v>32</v>
      </c>
      <c r="O7">
        <f>Applications!M8</f>
        <v>6.5454545454545459</v>
      </c>
      <c r="P7" t="str">
        <f>Applications!N8</f>
        <v>Triplet SF (3-Way) 228-312</v>
      </c>
      <c r="Q7" t="str">
        <f>Applications!O8</f>
        <v>2,4-D, dimethylamine salt; Dicamba, dimethylamine salt;Mecoprop-p (MCPP-p), dimethylamine salt</v>
      </c>
      <c r="R7">
        <f>Applications!P8</f>
        <v>24</v>
      </c>
      <c r="S7">
        <f>Applications!Q8</f>
        <v>4.9090909090909092</v>
      </c>
      <c r="T7" t="str">
        <f>Applications!R8</f>
        <v>Resolute 4Fl (100-1139)</v>
      </c>
      <c r="U7" t="str">
        <f>Applications!S8</f>
        <v>Prodiamine</v>
      </c>
      <c r="V7">
        <f>Applications!T8</f>
        <v>16</v>
      </c>
      <c r="W7">
        <f>Applications!U8</f>
        <v>3.2727272727272729</v>
      </c>
      <c r="X7" t="b">
        <f>Applications!V8</f>
        <v>0</v>
      </c>
      <c r="Y7" t="e">
        <f>Applications!W8</f>
        <v>#N/A</v>
      </c>
      <c r="Z7" t="e">
        <f>Applications!X8</f>
        <v>#N/A</v>
      </c>
      <c r="AA7" t="e">
        <f>Applications!Y8</f>
        <v>#N/A</v>
      </c>
      <c r="AB7">
        <f>Applications!Z8</f>
        <v>0</v>
      </c>
      <c r="AC7">
        <f>Applications!AA8</f>
        <v>0</v>
      </c>
      <c r="AD7">
        <f>Applications!AB8</f>
        <v>0</v>
      </c>
      <c r="AE7">
        <f>Applications!AC8</f>
        <v>0</v>
      </c>
    </row>
    <row r="8" spans="1:31" hidden="1">
      <c r="A8" t="str">
        <f>Applications!A9</f>
        <v>Matt Stowers</v>
      </c>
      <c r="B8" t="str">
        <f>VLOOKUP($A8,Customer_Data!$A$1:$R$161,3,TRUE)</f>
        <v>519 Oak Park Circle</v>
      </c>
      <c r="C8" t="str">
        <f>VLOOKUP($A8,Customer_Data!$A$1:$R$161,4,TRUE)</f>
        <v>Pearl</v>
      </c>
      <c r="D8" t="str">
        <f>VLOOKUP($A8,Customer_Data!$A$1:$R$161,5,TRUE)</f>
        <v>MS</v>
      </c>
      <c r="E8">
        <f>VLOOKUP($A8,Customer_Data!$A$1:$R$161,6,TRUE)</f>
        <v>39208</v>
      </c>
      <c r="F8" s="207">
        <f>Applications!B9</f>
        <v>45592</v>
      </c>
      <c r="G8" s="207" t="str">
        <f>Applications!E9</f>
        <v>Matthew Stowers</v>
      </c>
      <c r="H8">
        <f>Applications!F9</f>
        <v>48160</v>
      </c>
      <c r="I8" s="207" t="str">
        <f>Applications!G9</f>
        <v>Fall (pre/post emerge)</v>
      </c>
      <c r="J8">
        <f>Applications!H9</f>
        <v>6568</v>
      </c>
      <c r="L8" t="str">
        <f>Applications!J9</f>
        <v>Princep Liquid (100-526)</v>
      </c>
      <c r="M8" t="str">
        <f>Applications!K9</f>
        <v>Simazine</v>
      </c>
      <c r="N8">
        <f>Applications!L9</f>
        <v>32</v>
      </c>
      <c r="O8">
        <f>Applications!M9</f>
        <v>4.824977043158861</v>
      </c>
      <c r="P8" t="str">
        <f>Applications!N9</f>
        <v>Triplet SF (3-Way) 228-312</v>
      </c>
      <c r="Q8" t="str">
        <f>Applications!O9</f>
        <v>2,4-D, dimethylamine salt; Dicamba, dimethylamine salt;Mecoprop-p (MCPP-p), dimethylamine salt</v>
      </c>
      <c r="R8">
        <f>Applications!P9</f>
        <v>24</v>
      </c>
      <c r="S8">
        <f>Applications!Q9</f>
        <v>3.618732782369146</v>
      </c>
      <c r="T8" t="str">
        <f>Applications!R9</f>
        <v>Resolute 4Fl (100-1139)</v>
      </c>
      <c r="U8" t="str">
        <f>Applications!S9</f>
        <v>Prodiamine</v>
      </c>
      <c r="V8">
        <f>Applications!T9</f>
        <v>16</v>
      </c>
      <c r="W8">
        <f>Applications!U9</f>
        <v>2.4124885215794305</v>
      </c>
      <c r="X8" t="b">
        <f>Applications!V9</f>
        <v>0</v>
      </c>
      <c r="Y8" t="e">
        <f>Applications!W9</f>
        <v>#N/A</v>
      </c>
      <c r="Z8" t="e">
        <f>Applications!X9</f>
        <v>#N/A</v>
      </c>
      <c r="AA8" t="e">
        <f>Applications!Y9</f>
        <v>#N/A</v>
      </c>
      <c r="AB8">
        <f>Applications!Z9</f>
        <v>0</v>
      </c>
      <c r="AC8">
        <f>Applications!AA9</f>
        <v>0</v>
      </c>
      <c r="AD8">
        <f>Applications!AB9</f>
        <v>0</v>
      </c>
      <c r="AE8">
        <f>Applications!AC9</f>
        <v>0</v>
      </c>
    </row>
    <row r="9" spans="1:31" hidden="1">
      <c r="A9" t="str">
        <f>Applications!A10</f>
        <v>Luther Holmes</v>
      </c>
      <c r="B9" t="str">
        <f>VLOOKUP($A9,Customer_Data!$A$1:$R$161,3,TRUE)</f>
        <v>5481 Kaywood Drive</v>
      </c>
      <c r="C9" t="str">
        <f>VLOOKUP($A9,Customer_Data!$A$1:$R$161,4,TRUE)</f>
        <v>Jackson</v>
      </c>
      <c r="D9" t="str">
        <f>VLOOKUP($A9,Customer_Data!$A$1:$R$161,5,TRUE)</f>
        <v>MS</v>
      </c>
      <c r="E9">
        <f>VLOOKUP($A9,Customer_Data!$A$1:$R$161,6,TRUE)</f>
        <v>39211</v>
      </c>
      <c r="F9" s="207">
        <f>Applications!B10</f>
        <v>45604</v>
      </c>
      <c r="G9" s="207" t="str">
        <f>Applications!E10</f>
        <v>Luther Stowers</v>
      </c>
      <c r="H9">
        <f>Applications!F10</f>
        <v>48182</v>
      </c>
      <c r="I9" s="207" t="str">
        <f>Applications!G10</f>
        <v>Fall (pre/post emerge)</v>
      </c>
      <c r="J9">
        <f>Applications!H10</f>
        <v>3687</v>
      </c>
      <c r="L9" t="str">
        <f>Applications!J10</f>
        <v>Princep Liquid (100-526)</v>
      </c>
      <c r="M9" t="str">
        <f>Applications!K10</f>
        <v>Simazine</v>
      </c>
      <c r="N9">
        <f>Applications!L10</f>
        <v>32</v>
      </c>
      <c r="O9">
        <f>Applications!M10</f>
        <v>2.7085399449035812</v>
      </c>
      <c r="P9" t="str">
        <f>Applications!N10</f>
        <v>Triplet SF (3-Way) 228-312</v>
      </c>
      <c r="Q9" t="str">
        <f>Applications!O10</f>
        <v>2,4-D, dimethylamine salt; Dicamba, dimethylamine salt;Mecoprop-p (MCPP-p), dimethylamine salt</v>
      </c>
      <c r="R9">
        <f>Applications!P10</f>
        <v>24</v>
      </c>
      <c r="S9">
        <f>Applications!Q10</f>
        <v>2.0314049586776859</v>
      </c>
      <c r="T9" t="str">
        <f>Applications!R10</f>
        <v>Resolute 4Fl (100-1139)</v>
      </c>
      <c r="U9" t="str">
        <f>Applications!S10</f>
        <v>Prodiamine</v>
      </c>
      <c r="V9">
        <f>Applications!T10</f>
        <v>16</v>
      </c>
      <c r="W9">
        <f>Applications!U10</f>
        <v>1.3542699724517906</v>
      </c>
      <c r="X9" t="b">
        <f>Applications!V10</f>
        <v>0</v>
      </c>
      <c r="Y9" t="e">
        <f>Applications!W10</f>
        <v>#N/A</v>
      </c>
      <c r="Z9" t="e">
        <f>Applications!X10</f>
        <v>#N/A</v>
      </c>
      <c r="AA9" t="e">
        <f>Applications!Y10</f>
        <v>#N/A</v>
      </c>
      <c r="AB9">
        <f>Applications!Z10</f>
        <v>0</v>
      </c>
      <c r="AC9">
        <f>Applications!AA10</f>
        <v>0</v>
      </c>
      <c r="AD9">
        <f>Applications!AB10</f>
        <v>0</v>
      </c>
      <c r="AE9">
        <f>Applications!AC10</f>
        <v>0</v>
      </c>
    </row>
    <row r="10" spans="1:31" hidden="1">
      <c r="A10" t="str">
        <f>Applications!A11</f>
        <v>David Fatheree</v>
      </c>
      <c r="B10" t="str">
        <f>VLOOKUP($A10,Customer_Data!$A$1:$R$161,3,TRUE)</f>
        <v>706 Ivywood Court</v>
      </c>
      <c r="C10" t="str">
        <f>VLOOKUP($A10,Customer_Data!$A$1:$R$161,4,TRUE)</f>
        <v>Madison</v>
      </c>
      <c r="D10" t="str">
        <f>VLOOKUP($A10,Customer_Data!$A$1:$R$161,5,TRUE)</f>
        <v>MS</v>
      </c>
      <c r="E10">
        <f>VLOOKUP($A10,Customer_Data!$A$1:$R$161,6,TRUE)</f>
        <v>39110</v>
      </c>
      <c r="F10" s="207">
        <f>Applications!B11</f>
        <v>45710</v>
      </c>
      <c r="G10" s="207" t="str">
        <f>Applications!E11</f>
        <v>Matthew Stowers</v>
      </c>
      <c r="H10">
        <f>Applications!F11</f>
        <v>48160</v>
      </c>
      <c r="I10" s="207" t="str">
        <f>Applications!G11</f>
        <v>Spring Preemerge (Jan)</v>
      </c>
      <c r="J10">
        <f>Applications!H11</f>
        <v>8910</v>
      </c>
      <c r="L10" t="str">
        <f>Applications!J11</f>
        <v/>
      </c>
      <c r="M10" t="e">
        <f>Applications!K11</f>
        <v>#N/A</v>
      </c>
      <c r="N10" t="e">
        <f>Applications!L11</f>
        <v>#N/A</v>
      </c>
      <c r="O10" t="e">
        <f>Applications!M11</f>
        <v>#N/A</v>
      </c>
      <c r="P10" t="str">
        <f>Applications!N11</f>
        <v>Triplet SF (3-Way) 228-312</v>
      </c>
      <c r="Q10" t="str">
        <f>Applications!O11</f>
        <v>2,4-D, dimethylamine salt; Dicamba, dimethylamine salt;Mecoprop-p (MCPP-p), dimethylamine salt</v>
      </c>
      <c r="R10">
        <f>Applications!P11</f>
        <v>24</v>
      </c>
      <c r="S10">
        <f>Applications!Q11</f>
        <v>4.9090909090909092</v>
      </c>
      <c r="T10" t="str">
        <f>Applications!R11</f>
        <v>Resolute 4Fl (100-1139)</v>
      </c>
      <c r="U10" t="str">
        <f>Applications!S11</f>
        <v>Prodiamine</v>
      </c>
      <c r="V10">
        <f>Applications!T11</f>
        <v>16</v>
      </c>
      <c r="W10">
        <f>Applications!U11</f>
        <v>3.2727272727272729</v>
      </c>
      <c r="X10" t="b">
        <f>Applications!V11</f>
        <v>0</v>
      </c>
      <c r="Y10" t="e">
        <f>Applications!W11</f>
        <v>#N/A</v>
      </c>
      <c r="Z10" t="e">
        <f>Applications!X11</f>
        <v>#N/A</v>
      </c>
      <c r="AA10" t="e">
        <f>Applications!Y11</f>
        <v>#N/A</v>
      </c>
      <c r="AB10">
        <f>Applications!Z11</f>
        <v>0</v>
      </c>
      <c r="AC10">
        <f>Applications!AA11</f>
        <v>0</v>
      </c>
      <c r="AD10">
        <f>Applications!AB11</f>
        <v>0</v>
      </c>
      <c r="AE10">
        <f>Applications!AC11</f>
        <v>0</v>
      </c>
    </row>
    <row r="11" spans="1:31" hidden="1">
      <c r="A11" t="str">
        <f>Applications!A12</f>
        <v>Riley Cooper</v>
      </c>
      <c r="B11" t="str">
        <f>VLOOKUP($A11,Customer_Data!$A$1:$R$161,3,TRUE)</f>
        <v>227 Westfield Road</v>
      </c>
      <c r="C11" t="str">
        <f>VLOOKUP($A11,Customer_Data!$A$1:$R$161,4,TRUE)</f>
        <v>Ridgeland</v>
      </c>
      <c r="D11" t="str">
        <f>VLOOKUP($A11,Customer_Data!$A$1:$R$161,5,TRUE)</f>
        <v>MS</v>
      </c>
      <c r="E11">
        <f>VLOOKUP($A11,Customer_Data!$A$1:$R$161,6,TRUE)</f>
        <v>39157</v>
      </c>
      <c r="F11" s="207">
        <f>Applications!B12</f>
        <v>45710</v>
      </c>
      <c r="G11" s="207" t="str">
        <f>Applications!E12</f>
        <v>Matthew Stowers</v>
      </c>
      <c r="H11">
        <f>Applications!F12</f>
        <v>48160</v>
      </c>
      <c r="I11" s="207" t="str">
        <f>Applications!G12</f>
        <v>Spring Preemerge (Jan)</v>
      </c>
      <c r="J11">
        <f>Applications!H12</f>
        <v>4150</v>
      </c>
      <c r="L11" t="str">
        <f>Applications!J12</f>
        <v/>
      </c>
      <c r="M11" t="e">
        <f>Applications!K12</f>
        <v>#N/A</v>
      </c>
      <c r="N11" t="e">
        <f>Applications!L12</f>
        <v>#N/A</v>
      </c>
      <c r="O11" t="e">
        <f>Applications!M12</f>
        <v>#N/A</v>
      </c>
      <c r="P11" t="str">
        <f>Applications!N12</f>
        <v>Triplet SF (3-Way) 228-312</v>
      </c>
      <c r="Q11" t="str">
        <f>Applications!O12</f>
        <v>2,4-D, dimethylamine salt; Dicamba, dimethylamine salt;Mecoprop-p (MCPP-p), dimethylamine salt</v>
      </c>
      <c r="R11">
        <f>Applications!P12</f>
        <v>24</v>
      </c>
      <c r="S11">
        <f>Applications!Q12</f>
        <v>2.2865013774104685</v>
      </c>
      <c r="T11" t="str">
        <f>Applications!R12</f>
        <v>Resolute 4Fl (100-1139)</v>
      </c>
      <c r="U11" t="str">
        <f>Applications!S12</f>
        <v>Prodiamine</v>
      </c>
      <c r="V11">
        <f>Applications!T12</f>
        <v>16</v>
      </c>
      <c r="W11">
        <f>Applications!U12</f>
        <v>1.5243342516069789</v>
      </c>
      <c r="X11" t="b">
        <f>Applications!V12</f>
        <v>0</v>
      </c>
      <c r="Y11" t="e">
        <f>Applications!W12</f>
        <v>#N/A</v>
      </c>
      <c r="Z11" t="e">
        <f>Applications!X12</f>
        <v>#N/A</v>
      </c>
      <c r="AA11" t="e">
        <f>Applications!Y12</f>
        <v>#N/A</v>
      </c>
      <c r="AB11">
        <f>Applications!Z12</f>
        <v>0</v>
      </c>
      <c r="AC11">
        <f>Applications!AA12</f>
        <v>0</v>
      </c>
      <c r="AD11">
        <f>Applications!AB12</f>
        <v>0</v>
      </c>
      <c r="AE11">
        <f>Applications!AC12</f>
        <v>0</v>
      </c>
    </row>
    <row r="12" spans="1:31" hidden="1">
      <c r="A12" t="str">
        <f>Applications!A13</f>
        <v>Thomas Wilson</v>
      </c>
      <c r="B12" t="str">
        <f>VLOOKUP($A12,Customer_Data!$A$1:$R$161,3,TRUE)</f>
        <v>213 Westfield Road</v>
      </c>
      <c r="C12" t="str">
        <f>VLOOKUP($A12,Customer_Data!$A$1:$R$161,4,TRUE)</f>
        <v>Ridgeland</v>
      </c>
      <c r="D12" t="str">
        <f>VLOOKUP($A12,Customer_Data!$A$1:$R$161,5,TRUE)</f>
        <v>MS</v>
      </c>
      <c r="E12">
        <f>VLOOKUP($A12,Customer_Data!$A$1:$R$161,6,TRUE)</f>
        <v>39157</v>
      </c>
      <c r="F12" s="207">
        <f>Applications!B13</f>
        <v>45710</v>
      </c>
      <c r="G12" s="207" t="str">
        <f>Applications!E13</f>
        <v>Matthew Stowers</v>
      </c>
      <c r="H12">
        <f>Applications!F13</f>
        <v>48160</v>
      </c>
      <c r="I12" s="207" t="str">
        <f>Applications!G13</f>
        <v>Spring Preemerge (Jan)</v>
      </c>
      <c r="J12">
        <f>Applications!H13</f>
        <v>3875</v>
      </c>
      <c r="L12" t="str">
        <f>Applications!J13</f>
        <v/>
      </c>
      <c r="M12" t="e">
        <f>Applications!K13</f>
        <v>#N/A</v>
      </c>
      <c r="N12" t="e">
        <f>Applications!L13</f>
        <v>#N/A</v>
      </c>
      <c r="O12" t="e">
        <f>Applications!M13</f>
        <v>#N/A</v>
      </c>
      <c r="P12" t="str">
        <f>Applications!N13</f>
        <v>Triplet SF (3-Way) 228-312</v>
      </c>
      <c r="Q12" t="str">
        <f>Applications!O13</f>
        <v>2,4-D, dimethylamine salt; Dicamba, dimethylamine salt;Mecoprop-p (MCPP-p), dimethylamine salt</v>
      </c>
      <c r="R12">
        <f>Applications!P13</f>
        <v>24</v>
      </c>
      <c r="S12">
        <f>Applications!Q13</f>
        <v>2.1349862258953167</v>
      </c>
      <c r="T12" t="str">
        <f>Applications!R13</f>
        <v>Resolute 4Fl (100-1139)</v>
      </c>
      <c r="U12" t="str">
        <f>Applications!S13</f>
        <v>Prodiamine</v>
      </c>
      <c r="V12">
        <f>Applications!T13</f>
        <v>16</v>
      </c>
      <c r="W12">
        <f>Applications!U13</f>
        <v>1.4233241505968779</v>
      </c>
      <c r="X12" t="b">
        <f>Applications!V13</f>
        <v>0</v>
      </c>
      <c r="Y12" t="e">
        <f>Applications!W13</f>
        <v>#N/A</v>
      </c>
      <c r="Z12" t="e">
        <f>Applications!X13</f>
        <v>#N/A</v>
      </c>
      <c r="AA12" t="e">
        <f>Applications!Y13</f>
        <v>#N/A</v>
      </c>
      <c r="AB12">
        <f>Applications!Z13</f>
        <v>0</v>
      </c>
      <c r="AC12">
        <f>Applications!AA13</f>
        <v>0</v>
      </c>
      <c r="AD12">
        <f>Applications!AB13</f>
        <v>0</v>
      </c>
      <c r="AE12">
        <f>Applications!AC13</f>
        <v>0</v>
      </c>
    </row>
    <row r="13" spans="1:31" hidden="1">
      <c r="A13" t="str">
        <f>Applications!A14</f>
        <v>Max Miller</v>
      </c>
      <c r="B13" t="str">
        <f>VLOOKUP($A13,Customer_Data!$A$1:$R$161,3,TRUE)</f>
        <v>1021 Cumberland Dr.</v>
      </c>
      <c r="C13" t="str">
        <f>VLOOKUP($A13,Customer_Data!$A$1:$R$161,4,TRUE)</f>
        <v>Brandon</v>
      </c>
      <c r="D13" t="str">
        <f>VLOOKUP($A13,Customer_Data!$A$1:$R$161,5,TRUE)</f>
        <v>MS</v>
      </c>
      <c r="E13">
        <f>VLOOKUP($A13,Customer_Data!$A$1:$R$161,6,TRUE)</f>
        <v>39047</v>
      </c>
      <c r="F13" s="207">
        <f>Applications!B14</f>
        <v>45710</v>
      </c>
      <c r="G13" s="207" t="str">
        <f>Applications!E14</f>
        <v>Matthew Stowers</v>
      </c>
      <c r="H13">
        <f>Applications!F14</f>
        <v>48160</v>
      </c>
      <c r="I13" s="207" t="str">
        <f>Applications!G14</f>
        <v>Spring Preemerge (Jan)</v>
      </c>
      <c r="J13">
        <f>Applications!H14</f>
        <v>3100</v>
      </c>
      <c r="L13" t="str">
        <f>Applications!J14</f>
        <v/>
      </c>
      <c r="M13" t="e">
        <f>Applications!K14</f>
        <v>#N/A</v>
      </c>
      <c r="N13" t="e">
        <f>Applications!L14</f>
        <v>#N/A</v>
      </c>
      <c r="O13" t="e">
        <f>Applications!M14</f>
        <v>#N/A</v>
      </c>
      <c r="P13" t="str">
        <f>Applications!N14</f>
        <v>Triplet SF (3-Way) 228-312</v>
      </c>
      <c r="Q13" t="str">
        <f>Applications!O14</f>
        <v>2,4-D, dimethylamine salt; Dicamba, dimethylamine salt;Mecoprop-p (MCPP-p), dimethylamine salt</v>
      </c>
      <c r="R13">
        <f>Applications!P14</f>
        <v>24</v>
      </c>
      <c r="S13">
        <f>Applications!Q14</f>
        <v>1.7079889807162536</v>
      </c>
      <c r="T13" t="str">
        <f>Applications!R14</f>
        <v>Resolute 4Fl (100-1139)</v>
      </c>
      <c r="U13" t="str">
        <f>Applications!S14</f>
        <v>Prodiamine</v>
      </c>
      <c r="V13">
        <f>Applications!T14</f>
        <v>16</v>
      </c>
      <c r="W13">
        <f>Applications!U14</f>
        <v>1.1386593204775024</v>
      </c>
      <c r="X13" t="b">
        <f>Applications!V14</f>
        <v>0</v>
      </c>
      <c r="Y13" t="e">
        <f>Applications!W14</f>
        <v>#N/A</v>
      </c>
      <c r="Z13" t="e">
        <f>Applications!X14</f>
        <v>#N/A</v>
      </c>
      <c r="AA13" t="e">
        <f>Applications!Y14</f>
        <v>#N/A</v>
      </c>
      <c r="AB13">
        <f>Applications!Z14</f>
        <v>0</v>
      </c>
      <c r="AC13">
        <f>Applications!AA14</f>
        <v>0</v>
      </c>
      <c r="AD13">
        <f>Applications!AB14</f>
        <v>0</v>
      </c>
      <c r="AE13">
        <f>Applications!AC14</f>
        <v>0</v>
      </c>
    </row>
    <row r="14" spans="1:31" hidden="1">
      <c r="A14" t="str">
        <f>Applications!A15</f>
        <v>Luther Holmes</v>
      </c>
      <c r="B14" t="str">
        <f>VLOOKUP($A14,Customer_Data!$A$1:$R$161,3,TRUE)</f>
        <v>5481 Kaywood Drive</v>
      </c>
      <c r="C14" t="str">
        <f>VLOOKUP($A14,Customer_Data!$A$1:$R$161,4,TRUE)</f>
        <v>Jackson</v>
      </c>
      <c r="D14" t="str">
        <f>VLOOKUP($A14,Customer_Data!$A$1:$R$161,5,TRUE)</f>
        <v>MS</v>
      </c>
      <c r="E14">
        <f>VLOOKUP($A14,Customer_Data!$A$1:$R$161,6,TRUE)</f>
        <v>39211</v>
      </c>
      <c r="F14" s="207">
        <f>Applications!B15</f>
        <v>45710</v>
      </c>
      <c r="G14" s="207" t="str">
        <f>Applications!E15</f>
        <v>Luther Stowers</v>
      </c>
      <c r="H14">
        <f>Applications!F15</f>
        <v>48182</v>
      </c>
      <c r="I14" s="207" t="str">
        <f>Applications!G15</f>
        <v>Spring Preemerge (Jan)</v>
      </c>
      <c r="J14">
        <f>Applications!H15</f>
        <v>3687</v>
      </c>
      <c r="L14" t="str">
        <f>Applications!J15</f>
        <v/>
      </c>
      <c r="M14" t="e">
        <f>Applications!K15</f>
        <v>#N/A</v>
      </c>
      <c r="N14" t="e">
        <f>Applications!L15</f>
        <v>#N/A</v>
      </c>
      <c r="O14" t="e">
        <f>Applications!M15</f>
        <v>#N/A</v>
      </c>
      <c r="P14" t="str">
        <f>Applications!N15</f>
        <v>Triplet SF (3-Way) 228-312</v>
      </c>
      <c r="Q14" t="str">
        <f>Applications!O15</f>
        <v>2,4-D, dimethylamine salt; Dicamba, dimethylamine salt;Mecoprop-p (MCPP-p), dimethylamine salt</v>
      </c>
      <c r="R14">
        <f>Applications!P15</f>
        <v>24</v>
      </c>
      <c r="S14">
        <f>Applications!Q15</f>
        <v>2.0314049586776859</v>
      </c>
      <c r="T14" t="str">
        <f>Applications!R15</f>
        <v>Resolute 4Fl (100-1139)</v>
      </c>
      <c r="U14" t="str">
        <f>Applications!S15</f>
        <v>Prodiamine</v>
      </c>
      <c r="V14">
        <f>Applications!T15</f>
        <v>16</v>
      </c>
      <c r="W14">
        <f>Applications!U15</f>
        <v>1.3542699724517906</v>
      </c>
      <c r="X14" t="b">
        <f>Applications!V15</f>
        <v>0</v>
      </c>
      <c r="Y14" t="e">
        <f>Applications!W15</f>
        <v>#N/A</v>
      </c>
      <c r="Z14" t="e">
        <f>Applications!X15</f>
        <v>#N/A</v>
      </c>
      <c r="AA14" t="e">
        <f>Applications!Y15</f>
        <v>#N/A</v>
      </c>
      <c r="AB14">
        <f>Applications!Z15</f>
        <v>0</v>
      </c>
      <c r="AC14">
        <f>Applications!AA15</f>
        <v>0</v>
      </c>
      <c r="AD14">
        <f>Applications!AB15</f>
        <v>0</v>
      </c>
      <c r="AE14">
        <f>Applications!AC15</f>
        <v>0</v>
      </c>
    </row>
    <row r="15" spans="1:31" hidden="1">
      <c r="A15" t="str">
        <f>Applications!A16</f>
        <v>Bo Whatley</v>
      </c>
      <c r="B15" t="str">
        <f>VLOOKUP($A15,Customer_Data!$A$1:$R$161,3,TRUE)</f>
        <v>126 Cypress Ridge Drive</v>
      </c>
      <c r="C15" t="str">
        <f>VLOOKUP($A15,Customer_Data!$A$1:$R$161,4,TRUE)</f>
        <v>Brandon</v>
      </c>
      <c r="D15" t="str">
        <f>VLOOKUP($A15,Customer_Data!$A$1:$R$161,5,TRUE)</f>
        <v>MS</v>
      </c>
      <c r="E15">
        <f>VLOOKUP($A15,Customer_Data!$A$1:$R$161,6,TRUE)</f>
        <v>39042</v>
      </c>
      <c r="F15" s="207">
        <f>Applications!B16</f>
        <v>45710</v>
      </c>
      <c r="G15" s="207" t="str">
        <f>Applications!E16</f>
        <v>Matthew Stowers</v>
      </c>
      <c r="H15">
        <f>Applications!F16</f>
        <v>48160</v>
      </c>
      <c r="I15" s="207" t="str">
        <f>Applications!G16</f>
        <v>Spring Preemerge (Jan)</v>
      </c>
      <c r="J15">
        <f>Applications!H16</f>
        <v>2750</v>
      </c>
      <c r="L15" t="str">
        <f>Applications!J16</f>
        <v/>
      </c>
      <c r="M15" t="e">
        <f>Applications!K16</f>
        <v>#N/A</v>
      </c>
      <c r="N15" t="e">
        <f>Applications!L16</f>
        <v>#N/A</v>
      </c>
      <c r="O15" t="e">
        <f>Applications!M16</f>
        <v>#N/A</v>
      </c>
      <c r="P15" t="str">
        <f>Applications!N16</f>
        <v>Triplet SF (3-Way) 228-312</v>
      </c>
      <c r="Q15" t="str">
        <f>Applications!O16</f>
        <v>2,4-D, dimethylamine salt; Dicamba, dimethylamine salt;Mecoprop-p (MCPP-p), dimethylamine salt</v>
      </c>
      <c r="R15">
        <f>Applications!P16</f>
        <v>24</v>
      </c>
      <c r="S15">
        <f>Applications!Q16</f>
        <v>1.5151515151515151</v>
      </c>
      <c r="T15" t="str">
        <f>Applications!R16</f>
        <v>Resolute 4Fl (100-1139)</v>
      </c>
      <c r="U15" t="str">
        <f>Applications!S16</f>
        <v>Prodiamine</v>
      </c>
      <c r="V15">
        <f>Applications!T16</f>
        <v>16</v>
      </c>
      <c r="W15">
        <f>Applications!U16</f>
        <v>1.0101010101010102</v>
      </c>
      <c r="X15" t="b">
        <f>Applications!V16</f>
        <v>0</v>
      </c>
      <c r="Y15" t="e">
        <f>Applications!W16</f>
        <v>#N/A</v>
      </c>
      <c r="Z15" t="e">
        <f>Applications!X16</f>
        <v>#N/A</v>
      </c>
      <c r="AA15" t="e">
        <f>Applications!Y16</f>
        <v>#N/A</v>
      </c>
      <c r="AB15">
        <f>Applications!Z16</f>
        <v>0</v>
      </c>
      <c r="AC15">
        <f>Applications!AA16</f>
        <v>0</v>
      </c>
      <c r="AD15">
        <f>Applications!AB16</f>
        <v>0</v>
      </c>
      <c r="AE15">
        <f>Applications!AC16</f>
        <v>0</v>
      </c>
    </row>
    <row r="16" spans="1:31" hidden="1">
      <c r="A16" t="str">
        <f>Applications!A17</f>
        <v>Matt Stowers</v>
      </c>
      <c r="B16" t="str">
        <f>VLOOKUP($A16,Customer_Data!$A$1:$R$161,3,TRUE)</f>
        <v>519 Oak Park Circle</v>
      </c>
      <c r="C16" t="str">
        <f>VLOOKUP($A16,Customer_Data!$A$1:$R$161,4,TRUE)</f>
        <v>Pearl</v>
      </c>
      <c r="D16" t="str">
        <f>VLOOKUP($A16,Customer_Data!$A$1:$R$161,5,TRUE)</f>
        <v>MS</v>
      </c>
      <c r="E16">
        <f>VLOOKUP($A16,Customer_Data!$A$1:$R$161,6,TRUE)</f>
        <v>39208</v>
      </c>
      <c r="F16" s="207">
        <f>Applications!B17</f>
        <v>45710</v>
      </c>
      <c r="G16" s="207" t="str">
        <f>Applications!E17</f>
        <v>Matthew Stowers</v>
      </c>
      <c r="H16">
        <f>Applications!F17</f>
        <v>48160</v>
      </c>
      <c r="I16" s="207" t="str">
        <f>Applications!G17</f>
        <v>Spring Preemerge (Jan)</v>
      </c>
      <c r="J16">
        <f>Applications!H17</f>
        <v>6568</v>
      </c>
      <c r="L16" t="str">
        <f>Applications!J17</f>
        <v/>
      </c>
      <c r="M16" t="e">
        <f>Applications!K17</f>
        <v>#N/A</v>
      </c>
      <c r="N16" t="e">
        <f>Applications!L17</f>
        <v>#N/A</v>
      </c>
      <c r="O16" t="e">
        <f>Applications!M17</f>
        <v>#N/A</v>
      </c>
      <c r="P16" t="str">
        <f>Applications!N17</f>
        <v>Triplet SF (3-Way) 228-312</v>
      </c>
      <c r="Q16" t="str">
        <f>Applications!O17</f>
        <v>2,4-D, dimethylamine salt; Dicamba, dimethylamine salt;Mecoprop-p (MCPP-p), dimethylamine salt</v>
      </c>
      <c r="R16">
        <f>Applications!P17</f>
        <v>24</v>
      </c>
      <c r="S16">
        <f>Applications!Q17</f>
        <v>3.618732782369146</v>
      </c>
      <c r="T16" t="str">
        <f>Applications!R17</f>
        <v>Resolute 4Fl (100-1139)</v>
      </c>
      <c r="U16" t="str">
        <f>Applications!S17</f>
        <v>Prodiamine</v>
      </c>
      <c r="V16">
        <f>Applications!T17</f>
        <v>16</v>
      </c>
      <c r="W16">
        <f>Applications!U17</f>
        <v>2.4124885215794305</v>
      </c>
      <c r="X16" t="b">
        <f>Applications!V17</f>
        <v>0</v>
      </c>
      <c r="Y16" t="e">
        <f>Applications!W17</f>
        <v>#N/A</v>
      </c>
      <c r="Z16" t="e">
        <f>Applications!X17</f>
        <v>#N/A</v>
      </c>
      <c r="AA16" t="e">
        <f>Applications!Y17</f>
        <v>#N/A</v>
      </c>
      <c r="AB16">
        <f>Applications!Z17</f>
        <v>0</v>
      </c>
      <c r="AC16">
        <f>Applications!AA17</f>
        <v>0</v>
      </c>
      <c r="AD16">
        <f>Applications!AB17</f>
        <v>0</v>
      </c>
      <c r="AE16">
        <f>Applications!AC17</f>
        <v>0</v>
      </c>
    </row>
    <row r="17" spans="1:31" hidden="1">
      <c r="A17" t="str">
        <f>Applications!A18</f>
        <v>Matt Runner</v>
      </c>
      <c r="B17" t="str">
        <f>VLOOKUP($A17,Customer_Data!$A$1:$R$161,3,TRUE)</f>
        <v>528 Acadian Ct.</v>
      </c>
      <c r="C17" t="str">
        <f>VLOOKUP($A17,Customer_Data!$A$1:$R$161,4,TRUE)</f>
        <v>Brandon</v>
      </c>
      <c r="D17" t="str">
        <f>VLOOKUP($A17,Customer_Data!$A$1:$R$161,5,TRUE)</f>
        <v>MS</v>
      </c>
      <c r="E17">
        <f>VLOOKUP($A17,Customer_Data!$A$1:$R$161,6,TRUE)</f>
        <v>39042</v>
      </c>
      <c r="F17" s="207">
        <f>Applications!B18</f>
        <v>45710</v>
      </c>
      <c r="G17" s="207" t="str">
        <f>Applications!E18</f>
        <v>Matthew Stowers</v>
      </c>
      <c r="H17">
        <f>Applications!F18</f>
        <v>48160</v>
      </c>
      <c r="I17" s="207" t="str">
        <f>Applications!G18</f>
        <v>Spring Preemerge (Jan)</v>
      </c>
      <c r="J17">
        <f>Applications!H18</f>
        <v>2000</v>
      </c>
      <c r="L17" t="str">
        <f>Applications!J18</f>
        <v/>
      </c>
      <c r="M17" t="e">
        <f>Applications!K18</f>
        <v>#N/A</v>
      </c>
      <c r="N17" t="e">
        <f>Applications!L18</f>
        <v>#N/A</v>
      </c>
      <c r="O17" t="e">
        <f>Applications!M18</f>
        <v>#N/A</v>
      </c>
      <c r="P17" t="str">
        <f>Applications!N18</f>
        <v>Triplet SF (3-Way) 228-312</v>
      </c>
      <c r="Q17" t="str">
        <f>Applications!O18</f>
        <v>2,4-D, dimethylamine salt; Dicamba, dimethylamine salt;Mecoprop-p (MCPP-p), dimethylamine salt</v>
      </c>
      <c r="R17">
        <f>Applications!P18</f>
        <v>24</v>
      </c>
      <c r="S17">
        <f>Applications!Q18</f>
        <v>1.1019283746556474</v>
      </c>
      <c r="T17" t="str">
        <f>Applications!R18</f>
        <v>Resolute 4Fl (100-1139)</v>
      </c>
      <c r="U17" t="str">
        <f>Applications!S18</f>
        <v>Prodiamine</v>
      </c>
      <c r="V17">
        <f>Applications!T18</f>
        <v>16</v>
      </c>
      <c r="W17">
        <f>Applications!U18</f>
        <v>0.7346189164370982</v>
      </c>
      <c r="X17" t="b">
        <f>Applications!V18</f>
        <v>0</v>
      </c>
      <c r="Y17" t="e">
        <f>Applications!W18</f>
        <v>#N/A</v>
      </c>
      <c r="Z17" t="e">
        <f>Applications!X18</f>
        <v>#N/A</v>
      </c>
      <c r="AA17" t="e">
        <f>Applications!Y18</f>
        <v>#N/A</v>
      </c>
      <c r="AB17">
        <f>Applications!Z18</f>
        <v>0</v>
      </c>
      <c r="AC17">
        <f>Applications!AA18</f>
        <v>0</v>
      </c>
      <c r="AD17">
        <f>Applications!AB18</f>
        <v>0</v>
      </c>
      <c r="AE17">
        <f>Applications!AC18</f>
        <v>0</v>
      </c>
    </row>
    <row r="18" spans="1:31" hidden="1">
      <c r="A18" t="str">
        <f>Applications!A19</f>
        <v>Asa Barnes</v>
      </c>
      <c r="B18" t="str">
        <f>VLOOKUP($A18,Customer_Data!$A$1:$R$161,3,TRUE)</f>
        <v>314 Buttonwood Lane</v>
      </c>
      <c r="C18" t="str">
        <f>VLOOKUP($A18,Customer_Data!$A$1:$R$161,4,TRUE)</f>
        <v>Canton</v>
      </c>
      <c r="D18" t="str">
        <f>VLOOKUP($A18,Customer_Data!$A$1:$R$161,5,TRUE)</f>
        <v>MS</v>
      </c>
      <c r="E18">
        <f>VLOOKUP($A18,Customer_Data!$A$1:$R$161,6,TRUE)</f>
        <v>39046</v>
      </c>
      <c r="F18" s="207">
        <f>Applications!B19</f>
        <v>45710</v>
      </c>
      <c r="G18" s="207" t="str">
        <f>Applications!E19</f>
        <v>Matthew Stowers</v>
      </c>
      <c r="H18">
        <f>Applications!F19</f>
        <v>48160</v>
      </c>
      <c r="I18" s="207" t="str">
        <f>Applications!G19</f>
        <v>Spring Preemerge (Jan)</v>
      </c>
      <c r="J18">
        <f>Applications!H19</f>
        <v>6575</v>
      </c>
      <c r="L18" t="str">
        <f>Applications!J19</f>
        <v/>
      </c>
      <c r="M18" t="e">
        <f>Applications!K19</f>
        <v>#N/A</v>
      </c>
      <c r="N18" t="e">
        <f>Applications!L19</f>
        <v>#N/A</v>
      </c>
      <c r="O18" t="e">
        <f>Applications!M19</f>
        <v>#N/A</v>
      </c>
      <c r="P18" t="str">
        <f>Applications!N19</f>
        <v>Triplet SF (3-Way) 228-312</v>
      </c>
      <c r="Q18" t="str">
        <f>Applications!O19</f>
        <v>2,4-D, dimethylamine salt; Dicamba, dimethylamine salt;Mecoprop-p (MCPP-p), dimethylamine salt</v>
      </c>
      <c r="R18">
        <f>Applications!P19</f>
        <v>24</v>
      </c>
      <c r="S18">
        <f>Applications!Q19</f>
        <v>3.6225895316804406</v>
      </c>
      <c r="T18" t="str">
        <f>Applications!R19</f>
        <v>Resolute 4Fl (100-1139)</v>
      </c>
      <c r="U18" t="str">
        <f>Applications!S19</f>
        <v>Prodiamine</v>
      </c>
      <c r="V18">
        <f>Applications!T19</f>
        <v>16</v>
      </c>
      <c r="W18">
        <f>Applications!U19</f>
        <v>2.4150596877869606</v>
      </c>
      <c r="X18" t="b">
        <f>Applications!V19</f>
        <v>0</v>
      </c>
      <c r="Y18" t="e">
        <f>Applications!W19</f>
        <v>#N/A</v>
      </c>
      <c r="Z18" t="e">
        <f>Applications!X19</f>
        <v>#N/A</v>
      </c>
      <c r="AA18" t="e">
        <f>Applications!Y19</f>
        <v>#N/A</v>
      </c>
      <c r="AB18">
        <f>Applications!Z19</f>
        <v>0</v>
      </c>
      <c r="AC18">
        <f>Applications!AA19</f>
        <v>0</v>
      </c>
      <c r="AD18">
        <f>Applications!AB19</f>
        <v>0</v>
      </c>
      <c r="AE18">
        <f>Applications!AC19</f>
        <v>0</v>
      </c>
    </row>
    <row r="19" spans="1:31" hidden="1">
      <c r="A19" t="str">
        <f>Applications!A20</f>
        <v>Brandon Bergold</v>
      </c>
      <c r="B19" t="str">
        <f>VLOOKUP($A19,Customer_Data!$A$1:$R$161,3,TRUE)</f>
        <v>3 Glensview Court</v>
      </c>
      <c r="C19" t="str">
        <f>VLOOKUP($A19,Customer_Data!$A$1:$R$161,4,TRUE)</f>
        <v>Brandon</v>
      </c>
      <c r="D19" t="str">
        <f>VLOOKUP($A19,Customer_Data!$A$1:$R$161,5,TRUE)</f>
        <v>MS</v>
      </c>
      <c r="E19">
        <f>VLOOKUP($A19,Customer_Data!$A$1:$R$161,6,TRUE)</f>
        <v>39042</v>
      </c>
      <c r="F19" s="207">
        <f>Applications!B20</f>
        <v>45710</v>
      </c>
      <c r="G19" s="207" t="str">
        <f>Applications!E20</f>
        <v>Matthew Stowers</v>
      </c>
      <c r="H19">
        <f>Applications!F20</f>
        <v>48160</v>
      </c>
      <c r="I19" s="207" t="str">
        <f>Applications!G20</f>
        <v>Spring Preemerge (Jan)</v>
      </c>
      <c r="J19">
        <f>Applications!H20</f>
        <v>5670</v>
      </c>
      <c r="L19" t="str">
        <f>Applications!J20</f>
        <v/>
      </c>
      <c r="M19" t="e">
        <f>Applications!K20</f>
        <v>#N/A</v>
      </c>
      <c r="N19" t="e">
        <f>Applications!L20</f>
        <v>#N/A</v>
      </c>
      <c r="O19" t="e">
        <f>Applications!M20</f>
        <v>#N/A</v>
      </c>
      <c r="P19" t="str">
        <f>Applications!N20</f>
        <v>Triplet SF (3-Way) 228-312</v>
      </c>
      <c r="Q19" t="str">
        <f>Applications!O20</f>
        <v>2,4-D, dimethylamine salt; Dicamba, dimethylamine salt;Mecoprop-p (MCPP-p), dimethylamine salt</v>
      </c>
      <c r="R19">
        <f>Applications!P20</f>
        <v>24</v>
      </c>
      <c r="S19">
        <f>Applications!Q20</f>
        <v>3.1239669421487606</v>
      </c>
      <c r="T19" t="str">
        <f>Applications!R20</f>
        <v>Resolute 4Fl (100-1139)</v>
      </c>
      <c r="U19" t="str">
        <f>Applications!S20</f>
        <v>Prodiamine</v>
      </c>
      <c r="V19">
        <f>Applications!T20</f>
        <v>16</v>
      </c>
      <c r="W19">
        <f>Applications!U20</f>
        <v>2.0826446280991737</v>
      </c>
      <c r="X19" t="b">
        <f>Applications!V20</f>
        <v>0</v>
      </c>
      <c r="Y19" t="e">
        <f>Applications!W20</f>
        <v>#N/A</v>
      </c>
      <c r="Z19" t="e">
        <f>Applications!X20</f>
        <v>#N/A</v>
      </c>
      <c r="AA19" t="e">
        <f>Applications!Y20</f>
        <v>#N/A</v>
      </c>
      <c r="AB19">
        <f>Applications!Z20</f>
        <v>0</v>
      </c>
      <c r="AC19">
        <f>Applications!AA20</f>
        <v>0</v>
      </c>
      <c r="AD19">
        <f>Applications!AB20</f>
        <v>0</v>
      </c>
      <c r="AE19">
        <f>Applications!AC20</f>
        <v>0</v>
      </c>
    </row>
    <row r="20" spans="1:31" hidden="1">
      <c r="A20" t="str">
        <f>Applications!A21</f>
        <v>Dot Stuart</v>
      </c>
      <c r="B20" t="str">
        <f>VLOOKUP($A20,Customer_Data!$A$1:$R$161,3,TRUE)</f>
        <v>414 Providence Drive</v>
      </c>
      <c r="C20" t="str">
        <f>VLOOKUP($A20,Customer_Data!$A$1:$R$161,4,TRUE)</f>
        <v>Brandon</v>
      </c>
      <c r="D20" t="str">
        <f>VLOOKUP($A20,Customer_Data!$A$1:$R$161,5,TRUE)</f>
        <v>MS</v>
      </c>
      <c r="E20">
        <f>VLOOKUP($A20,Customer_Data!$A$1:$R$161,6,TRUE)</f>
        <v>39042</v>
      </c>
      <c r="F20" s="207">
        <f>Applications!B21</f>
        <v>45710</v>
      </c>
      <c r="G20" s="207" t="str">
        <f>Applications!E21</f>
        <v>Matthew Stowers</v>
      </c>
      <c r="H20">
        <f>Applications!F21</f>
        <v>48160</v>
      </c>
      <c r="I20" s="207" t="str">
        <f>Applications!G21</f>
        <v>Spring Preemerge (Jan)</v>
      </c>
      <c r="J20">
        <f>Applications!H21</f>
        <v>1800</v>
      </c>
      <c r="L20" t="str">
        <f>Applications!J21</f>
        <v/>
      </c>
      <c r="M20" t="e">
        <f>Applications!K21</f>
        <v>#N/A</v>
      </c>
      <c r="N20" t="e">
        <f>Applications!L21</f>
        <v>#N/A</v>
      </c>
      <c r="O20" t="e">
        <f>Applications!M21</f>
        <v>#N/A</v>
      </c>
      <c r="P20" t="str">
        <f>Applications!N21</f>
        <v>Triplet SF (3-Way) 228-312</v>
      </c>
      <c r="Q20" t="str">
        <f>Applications!O21</f>
        <v>2,4-D, dimethylamine salt; Dicamba, dimethylamine salt;Mecoprop-p (MCPP-p), dimethylamine salt</v>
      </c>
      <c r="R20">
        <f>Applications!P21</f>
        <v>24</v>
      </c>
      <c r="S20">
        <f>Applications!Q21</f>
        <v>0.99173553719008267</v>
      </c>
      <c r="T20" t="str">
        <f>Applications!R21</f>
        <v>Resolute 4Fl (100-1139)</v>
      </c>
      <c r="U20" t="str">
        <f>Applications!S21</f>
        <v>Prodiamine</v>
      </c>
      <c r="V20">
        <f>Applications!T21</f>
        <v>16</v>
      </c>
      <c r="W20">
        <f>Applications!U21</f>
        <v>0.66115702479338845</v>
      </c>
      <c r="X20" t="b">
        <f>Applications!V21</f>
        <v>0</v>
      </c>
      <c r="Y20" t="e">
        <f>Applications!W21</f>
        <v>#N/A</v>
      </c>
      <c r="Z20" t="e">
        <f>Applications!X21</f>
        <v>#N/A</v>
      </c>
      <c r="AA20" t="e">
        <f>Applications!Y21</f>
        <v>#N/A</v>
      </c>
      <c r="AB20">
        <f>Applications!Z21</f>
        <v>0</v>
      </c>
      <c r="AC20">
        <f>Applications!AA21</f>
        <v>0</v>
      </c>
      <c r="AD20">
        <f>Applications!AB21</f>
        <v>0</v>
      </c>
      <c r="AE20">
        <f>Applications!AC21</f>
        <v>0</v>
      </c>
    </row>
    <row r="21" spans="1:31" hidden="1">
      <c r="A21" t="str">
        <f>Applications!A22</f>
        <v>Elliot Smith</v>
      </c>
      <c r="B21" t="str">
        <f>VLOOKUP($A21,Customer_Data!$A$1:$R$161,3,TRUE)</f>
        <v>103 Glenartney St.</v>
      </c>
      <c r="C21" t="str">
        <f>VLOOKUP($A21,Customer_Data!$A$1:$R$161,4,TRUE)</f>
        <v>Brandon</v>
      </c>
      <c r="D21" t="str">
        <f>VLOOKUP($A21,Customer_Data!$A$1:$R$161,5,TRUE)</f>
        <v>MS</v>
      </c>
      <c r="E21">
        <f>VLOOKUP($A21,Customer_Data!$A$1:$R$161,6,TRUE)</f>
        <v>39042</v>
      </c>
      <c r="F21" s="207">
        <f>Applications!B22</f>
        <v>45710</v>
      </c>
      <c r="G21" s="207" t="str">
        <f>Applications!E22</f>
        <v>Matthew Stowers</v>
      </c>
      <c r="H21">
        <f>Applications!F22</f>
        <v>48160</v>
      </c>
      <c r="I21" s="207" t="str">
        <f>Applications!G22</f>
        <v>Spring Preemerge (Jan)</v>
      </c>
      <c r="J21">
        <f>Applications!H22</f>
        <v>13500</v>
      </c>
      <c r="L21" t="str">
        <f>Applications!J22</f>
        <v/>
      </c>
      <c r="M21" t="e">
        <f>Applications!K22</f>
        <v>#N/A</v>
      </c>
      <c r="N21" t="e">
        <f>Applications!L22</f>
        <v>#N/A</v>
      </c>
      <c r="O21" t="e">
        <f>Applications!M22</f>
        <v>#N/A</v>
      </c>
      <c r="P21" t="str">
        <f>Applications!N22</f>
        <v>Triplet SF (3-Way) 228-312</v>
      </c>
      <c r="Q21" t="str">
        <f>Applications!O22</f>
        <v>2,4-D, dimethylamine salt; Dicamba, dimethylamine salt;Mecoprop-p (MCPP-p), dimethylamine salt</v>
      </c>
      <c r="R21">
        <f>Applications!P22</f>
        <v>24</v>
      </c>
      <c r="S21">
        <f>Applications!Q22</f>
        <v>7.4380165289256208</v>
      </c>
      <c r="T21" t="str">
        <f>Applications!R22</f>
        <v>Resolute 4Fl (100-1139)</v>
      </c>
      <c r="U21" t="str">
        <f>Applications!S22</f>
        <v>Prodiamine</v>
      </c>
      <c r="V21">
        <f>Applications!T22</f>
        <v>16</v>
      </c>
      <c r="W21">
        <f>Applications!U22</f>
        <v>4.9586776859504136</v>
      </c>
      <c r="X21" t="b">
        <f>Applications!V22</f>
        <v>0</v>
      </c>
      <c r="Y21" t="e">
        <f>Applications!W22</f>
        <v>#N/A</v>
      </c>
      <c r="Z21" t="e">
        <f>Applications!X22</f>
        <v>#N/A</v>
      </c>
      <c r="AA21" t="e">
        <f>Applications!Y22</f>
        <v>#N/A</v>
      </c>
      <c r="AB21">
        <f>Applications!Z22</f>
        <v>0</v>
      </c>
      <c r="AC21">
        <f>Applications!AA22</f>
        <v>0</v>
      </c>
      <c r="AD21">
        <f>Applications!AB22</f>
        <v>0</v>
      </c>
      <c r="AE21">
        <f>Applications!AC22</f>
        <v>0</v>
      </c>
    </row>
    <row r="22" spans="1:31" hidden="1">
      <c r="A22" t="str">
        <f>Applications!A23</f>
        <v>Luther Stowers</v>
      </c>
      <c r="B22" t="str">
        <f>VLOOKUP($A22,Customer_Data!$A$1:$R$161,3,TRUE)</f>
        <v>325 North Brandon Blvd.</v>
      </c>
      <c r="C22" t="str">
        <f>VLOOKUP($A22,Customer_Data!$A$1:$R$161,4,TRUE)</f>
        <v>Brandon</v>
      </c>
      <c r="D22" t="str">
        <f>VLOOKUP($A22,Customer_Data!$A$1:$R$161,5,TRUE)</f>
        <v>MS</v>
      </c>
      <c r="E22">
        <f>VLOOKUP($A22,Customer_Data!$A$1:$R$161,6,TRUE)</f>
        <v>39042</v>
      </c>
      <c r="F22" s="207">
        <f>Applications!B23</f>
        <v>45710</v>
      </c>
      <c r="G22" s="207" t="str">
        <f>Applications!E23</f>
        <v>Luther Stowers</v>
      </c>
      <c r="H22">
        <f>Applications!F23</f>
        <v>48182</v>
      </c>
      <c r="I22" s="207" t="str">
        <f>Applications!G23</f>
        <v>Spring Preemerge (Jan)</v>
      </c>
      <c r="J22">
        <f>Applications!H23</f>
        <v>5361</v>
      </c>
      <c r="L22" t="str">
        <f>Applications!J23</f>
        <v/>
      </c>
      <c r="M22" t="e">
        <f>Applications!K23</f>
        <v>#N/A</v>
      </c>
      <c r="N22" t="e">
        <f>Applications!L23</f>
        <v>#N/A</v>
      </c>
      <c r="O22" t="e">
        <f>Applications!M23</f>
        <v>#N/A</v>
      </c>
      <c r="P22" t="str">
        <f>Applications!N23</f>
        <v>Triplet SF (3-Way) 228-312</v>
      </c>
      <c r="Q22" t="str">
        <f>Applications!O23</f>
        <v>2,4-D, dimethylamine salt; Dicamba, dimethylamine salt;Mecoprop-p (MCPP-p), dimethylamine salt</v>
      </c>
      <c r="R22">
        <f>Applications!P23</f>
        <v>24</v>
      </c>
      <c r="S22">
        <f>Applications!Q23</f>
        <v>2.9537190082644629</v>
      </c>
      <c r="T22" t="str">
        <f>Applications!R23</f>
        <v>Resolute 4Fl (100-1139)</v>
      </c>
      <c r="U22" t="str">
        <f>Applications!S23</f>
        <v>Prodiamine</v>
      </c>
      <c r="V22">
        <f>Applications!T23</f>
        <v>16</v>
      </c>
      <c r="W22">
        <f>Applications!U23</f>
        <v>1.9691460055096419</v>
      </c>
      <c r="X22" t="b">
        <f>Applications!V23</f>
        <v>0</v>
      </c>
      <c r="Y22" t="e">
        <f>Applications!W23</f>
        <v>#N/A</v>
      </c>
      <c r="Z22" t="e">
        <f>Applications!X23</f>
        <v>#N/A</v>
      </c>
      <c r="AA22" t="e">
        <f>Applications!Y23</f>
        <v>#N/A</v>
      </c>
      <c r="AB22">
        <f>Applications!Z23</f>
        <v>0</v>
      </c>
      <c r="AC22">
        <f>Applications!AA23</f>
        <v>0</v>
      </c>
      <c r="AD22">
        <f>Applications!AB23</f>
        <v>0</v>
      </c>
      <c r="AE22">
        <f>Applications!AC23</f>
        <v>0</v>
      </c>
    </row>
    <row r="23" spans="1:31" hidden="1">
      <c r="A23" t="str">
        <f>Applications!A24</f>
        <v>Max Brian</v>
      </c>
      <c r="B23" t="str">
        <f>VLOOKUP($A23,Customer_Data!$A$1:$R$161,3,TRUE)</f>
        <v>121 Meadow Creek Drive</v>
      </c>
      <c r="C23" t="str">
        <f>VLOOKUP($A23,Customer_Data!$A$1:$R$161,4,TRUE)</f>
        <v>Brandon</v>
      </c>
      <c r="D23" t="str">
        <f>VLOOKUP($A23,Customer_Data!$A$1:$R$161,5,TRUE)</f>
        <v>MS</v>
      </c>
      <c r="E23">
        <f>VLOOKUP($A23,Customer_Data!$A$1:$R$161,6,TRUE)</f>
        <v>39042</v>
      </c>
      <c r="F23" s="207">
        <f>Applications!B24</f>
        <v>45726</v>
      </c>
      <c r="G23" s="207" t="str">
        <f>Applications!E24</f>
        <v>Matthew Stowers</v>
      </c>
      <c r="H23">
        <f>Applications!F24</f>
        <v>48160</v>
      </c>
      <c r="I23" s="207" t="str">
        <f>Applications!G24</f>
        <v>Spring Preemerge (Jan)</v>
      </c>
      <c r="J23">
        <f>Applications!H24</f>
        <v>4670</v>
      </c>
      <c r="L23" t="str">
        <f>Applications!J24</f>
        <v/>
      </c>
      <c r="M23" t="e">
        <f>Applications!K24</f>
        <v>#N/A</v>
      </c>
      <c r="N23" t="e">
        <f>Applications!L24</f>
        <v>#N/A</v>
      </c>
      <c r="O23" t="e">
        <f>Applications!M24</f>
        <v>#N/A</v>
      </c>
      <c r="P23" t="str">
        <f>Applications!N24</f>
        <v>Triplet SF (3-Way) 228-312</v>
      </c>
      <c r="Q23" t="str">
        <f>Applications!O24</f>
        <v>2,4-D, dimethylamine salt; Dicamba, dimethylamine salt;Mecoprop-p (MCPP-p), dimethylamine salt</v>
      </c>
      <c r="R23">
        <f>Applications!P24</f>
        <v>24</v>
      </c>
      <c r="S23">
        <f>Applications!Q24</f>
        <v>2.5730027548209367</v>
      </c>
      <c r="T23" t="str">
        <f>Applications!R24</f>
        <v>Resolute 4Fl (100-1139)</v>
      </c>
      <c r="U23" t="str">
        <f>Applications!S24</f>
        <v>Prodiamine</v>
      </c>
      <c r="V23">
        <f>Applications!T24</f>
        <v>16</v>
      </c>
      <c r="W23">
        <f>Applications!U24</f>
        <v>1.7153351698806245</v>
      </c>
      <c r="X23" t="b">
        <f>Applications!V24</f>
        <v>0</v>
      </c>
      <c r="Y23" t="e">
        <f>Applications!W24</f>
        <v>#N/A</v>
      </c>
      <c r="Z23" t="e">
        <f>Applications!X24</f>
        <v>#N/A</v>
      </c>
      <c r="AA23" t="e">
        <f>Applications!Y24</f>
        <v>#N/A</v>
      </c>
      <c r="AB23">
        <f>Applications!Z24</f>
        <v>0</v>
      </c>
      <c r="AC23">
        <f>Applications!AA24</f>
        <v>0</v>
      </c>
      <c r="AD23">
        <f>Applications!AB24</f>
        <v>0</v>
      </c>
      <c r="AE23">
        <f>Applications!AC24</f>
        <v>0</v>
      </c>
    </row>
    <row r="24" spans="1:31" hidden="1">
      <c r="A24" t="str">
        <f>Applications!A25</f>
        <v>Troy Stokes</v>
      </c>
      <c r="B24" t="str">
        <f>VLOOKUP($A24,Customer_Data!$A$1:$R$161,3,TRUE)</f>
        <v>100 Spring Valley Drive</v>
      </c>
      <c r="C24" t="str">
        <f>VLOOKUP($A24,Customer_Data!$A$1:$R$161,4,TRUE)</f>
        <v>Brandon</v>
      </c>
      <c r="D24" t="str">
        <f>VLOOKUP($A24,Customer_Data!$A$1:$R$161,5,TRUE)</f>
        <v>MS</v>
      </c>
      <c r="E24">
        <f>VLOOKUP($A24,Customer_Data!$A$1:$R$161,6,TRUE)</f>
        <v>39042</v>
      </c>
      <c r="F24" s="207">
        <f>Applications!B25</f>
        <v>45726</v>
      </c>
      <c r="G24" s="207" t="str">
        <f>Applications!E25</f>
        <v>Matthew Stowers</v>
      </c>
      <c r="H24">
        <f>Applications!F25</f>
        <v>48160</v>
      </c>
      <c r="I24" s="207" t="str">
        <f>Applications!G25</f>
        <v>Spring Preemerge (Jan)</v>
      </c>
      <c r="J24">
        <f>Applications!H25</f>
        <v>9000</v>
      </c>
      <c r="L24" t="str">
        <f>Applications!J25</f>
        <v/>
      </c>
      <c r="M24" t="e">
        <f>Applications!K25</f>
        <v>#N/A</v>
      </c>
      <c r="N24" t="e">
        <f>Applications!L25</f>
        <v>#N/A</v>
      </c>
      <c r="O24" t="e">
        <f>Applications!M25</f>
        <v>#N/A</v>
      </c>
      <c r="P24" t="str">
        <f>Applications!N25</f>
        <v>Triplet SF (3-Way) 228-312</v>
      </c>
      <c r="Q24" t="str">
        <f>Applications!O25</f>
        <v>2,4-D, dimethylamine salt; Dicamba, dimethylamine salt;Mecoprop-p (MCPP-p), dimethylamine salt</v>
      </c>
      <c r="R24">
        <f>Applications!P25</f>
        <v>24</v>
      </c>
      <c r="S24">
        <f>Applications!Q25</f>
        <v>4.9586776859504136</v>
      </c>
      <c r="T24" t="str">
        <f>Applications!R25</f>
        <v>Resolute 4Fl (100-1139)</v>
      </c>
      <c r="U24" t="str">
        <f>Applications!S25</f>
        <v>Prodiamine</v>
      </c>
      <c r="V24">
        <f>Applications!T25</f>
        <v>16</v>
      </c>
      <c r="W24">
        <f>Applications!U25</f>
        <v>3.3057851239669422</v>
      </c>
      <c r="X24" t="b">
        <f>Applications!V25</f>
        <v>0</v>
      </c>
      <c r="Y24" t="e">
        <f>Applications!W25</f>
        <v>#N/A</v>
      </c>
      <c r="Z24" t="e">
        <f>Applications!X25</f>
        <v>#N/A</v>
      </c>
      <c r="AA24" t="e">
        <f>Applications!Y25</f>
        <v>#N/A</v>
      </c>
      <c r="AB24">
        <f>Applications!Z25</f>
        <v>0</v>
      </c>
      <c r="AC24">
        <f>Applications!AA25</f>
        <v>0</v>
      </c>
      <c r="AD24">
        <f>Applications!AB25</f>
        <v>0</v>
      </c>
      <c r="AE24">
        <f>Applications!AC25</f>
        <v>0</v>
      </c>
    </row>
    <row r="25" spans="1:31" hidden="1">
      <c r="A25" t="str">
        <f>Applications!A26</f>
        <v>Riley Bennett</v>
      </c>
      <c r="B25" t="str">
        <f>VLOOKUP($A25,Customer_Data!$A$1:$R$161,3,TRUE)</f>
        <v>417 Edgewood Crossing</v>
      </c>
      <c r="C25" t="str">
        <f>VLOOKUP($A25,Customer_Data!$A$1:$R$161,4,TRUE)</f>
        <v>Brandon</v>
      </c>
      <c r="D25" t="str">
        <f>VLOOKUP($A25,Customer_Data!$A$1:$R$161,5,TRUE)</f>
        <v>MS</v>
      </c>
      <c r="E25">
        <f>VLOOKUP($A25,Customer_Data!$A$1:$R$161,6,TRUE)</f>
        <v>39042</v>
      </c>
      <c r="F25" s="207">
        <f>Applications!B26</f>
        <v>45726</v>
      </c>
      <c r="G25" s="207" t="str">
        <f>Applications!E26</f>
        <v>Matthew Stowers</v>
      </c>
      <c r="H25">
        <f>Applications!F26</f>
        <v>48160</v>
      </c>
      <c r="I25" s="207" t="str">
        <f>Applications!G26</f>
        <v>Spring Preemerge (Jan)</v>
      </c>
      <c r="J25">
        <f>Applications!H26</f>
        <v>7500</v>
      </c>
      <c r="L25" t="str">
        <f>Applications!J26</f>
        <v/>
      </c>
      <c r="M25" t="e">
        <f>Applications!K26</f>
        <v>#N/A</v>
      </c>
      <c r="N25" t="e">
        <f>Applications!L26</f>
        <v>#N/A</v>
      </c>
      <c r="O25" t="e">
        <f>Applications!M26</f>
        <v>#N/A</v>
      </c>
      <c r="P25" t="str">
        <f>Applications!N26</f>
        <v>Triplet SF (3-Way) 228-312</v>
      </c>
      <c r="Q25" t="str">
        <f>Applications!O26</f>
        <v>2,4-D, dimethylamine salt; Dicamba, dimethylamine salt;Mecoprop-p (MCPP-p), dimethylamine salt</v>
      </c>
      <c r="R25">
        <f>Applications!P26</f>
        <v>24</v>
      </c>
      <c r="S25">
        <f>Applications!Q26</f>
        <v>4.1322314049586772</v>
      </c>
      <c r="T25" t="str">
        <f>Applications!R26</f>
        <v>Resolute 4Fl (100-1139)</v>
      </c>
      <c r="U25" t="str">
        <f>Applications!S26</f>
        <v>Prodiamine</v>
      </c>
      <c r="V25">
        <f>Applications!T26</f>
        <v>16</v>
      </c>
      <c r="W25">
        <f>Applications!U26</f>
        <v>2.7548209366391183</v>
      </c>
      <c r="X25" t="b">
        <f>Applications!V26</f>
        <v>0</v>
      </c>
      <c r="Y25" t="e">
        <f>Applications!W26</f>
        <v>#N/A</v>
      </c>
      <c r="Z25" t="e">
        <f>Applications!X26</f>
        <v>#N/A</v>
      </c>
      <c r="AA25" t="e">
        <f>Applications!Y26</f>
        <v>#N/A</v>
      </c>
      <c r="AB25">
        <f>Applications!Z26</f>
        <v>0</v>
      </c>
      <c r="AC25">
        <f>Applications!AA26</f>
        <v>0</v>
      </c>
      <c r="AD25">
        <f>Applications!AB26</f>
        <v>0</v>
      </c>
      <c r="AE25">
        <f>Applications!AC26</f>
        <v>0</v>
      </c>
    </row>
    <row r="26" spans="1:31" hidden="1">
      <c r="A26" t="str">
        <f>Applications!A27</f>
        <v>Danny Cooper</v>
      </c>
      <c r="B26" t="str">
        <f>VLOOKUP($A26,Customer_Data!$A$1:$R$161,3,TRUE)</f>
        <v>129 Sawbridge Drive</v>
      </c>
      <c r="C26" t="str">
        <f>VLOOKUP($A26,Customer_Data!$A$1:$R$161,4,TRUE)</f>
        <v>Ridgeland</v>
      </c>
      <c r="D26" t="str">
        <f>VLOOKUP($A26,Customer_Data!$A$1:$R$161,5,TRUE)</f>
        <v>MS</v>
      </c>
      <c r="E26">
        <f>VLOOKUP($A26,Customer_Data!$A$1:$R$161,6,TRUE)</f>
        <v>39157</v>
      </c>
      <c r="F26" s="207">
        <f>Applications!B27</f>
        <v>45727</v>
      </c>
      <c r="G26" s="207" t="str">
        <f>Applications!E27</f>
        <v>Matthew Stowers</v>
      </c>
      <c r="H26">
        <f>Applications!F27</f>
        <v>48160</v>
      </c>
      <c r="I26" s="207" t="str">
        <f>Applications!G27</f>
        <v>Spring Preemerge (Jan)</v>
      </c>
      <c r="J26">
        <f>Applications!H27</f>
        <v>7000</v>
      </c>
      <c r="L26" t="str">
        <f>Applications!J27</f>
        <v/>
      </c>
      <c r="M26" t="e">
        <f>Applications!K27</f>
        <v>#N/A</v>
      </c>
      <c r="N26" t="e">
        <f>Applications!L27</f>
        <v>#N/A</v>
      </c>
      <c r="O26" t="e">
        <f>Applications!M27</f>
        <v>#N/A</v>
      </c>
      <c r="P26" t="str">
        <f>Applications!N27</f>
        <v>Triplet SF (3-Way) 228-312</v>
      </c>
      <c r="Q26" t="str">
        <f>Applications!O27</f>
        <v>2,4-D, dimethylamine salt; Dicamba, dimethylamine salt;Mecoprop-p (MCPP-p), dimethylamine salt</v>
      </c>
      <c r="R26">
        <f>Applications!P27</f>
        <v>24</v>
      </c>
      <c r="S26">
        <f>Applications!Q27</f>
        <v>3.8567493112947657</v>
      </c>
      <c r="T26" t="str">
        <f>Applications!R27</f>
        <v>Resolute 4Fl (100-1139)</v>
      </c>
      <c r="U26" t="str">
        <f>Applications!S27</f>
        <v>Prodiamine</v>
      </c>
      <c r="V26">
        <f>Applications!T27</f>
        <v>16</v>
      </c>
      <c r="W26">
        <f>Applications!U27</f>
        <v>2.5711662075298438</v>
      </c>
      <c r="X26" t="b">
        <f>Applications!V27</f>
        <v>0</v>
      </c>
      <c r="Y26" t="e">
        <f>Applications!W27</f>
        <v>#N/A</v>
      </c>
      <c r="Z26" t="e">
        <f>Applications!X27</f>
        <v>#N/A</v>
      </c>
      <c r="AA26" t="e">
        <f>Applications!Y27</f>
        <v>#N/A</v>
      </c>
      <c r="AB26">
        <f>Applications!Z27</f>
        <v>0</v>
      </c>
      <c r="AC26">
        <f>Applications!AA27</f>
        <v>0</v>
      </c>
      <c r="AD26">
        <f>Applications!AB27</f>
        <v>0</v>
      </c>
      <c r="AE26">
        <f>Applications!AC27</f>
        <v>0</v>
      </c>
    </row>
    <row r="27" spans="1:31" hidden="1">
      <c r="A27" t="str">
        <f>Applications!A28</f>
        <v>Seth Simmons</v>
      </c>
      <c r="B27" t="str">
        <f>VLOOKUP($A27,Customer_Data!$A$1:$R$161,3,TRUE)</f>
        <v>202 Highland Garrison</v>
      </c>
      <c r="C27" t="str">
        <f>VLOOKUP($A27,Customer_Data!$A$1:$R$161,4,TRUE)</f>
        <v>Ridgeland</v>
      </c>
      <c r="D27" t="str">
        <f>VLOOKUP($A27,Customer_Data!$A$1:$R$161,5,TRUE)</f>
        <v>MS</v>
      </c>
      <c r="E27">
        <f>VLOOKUP($A27,Customer_Data!$A$1:$R$161,6,TRUE)</f>
        <v>39157</v>
      </c>
      <c r="F27" s="207">
        <f>Applications!B28</f>
        <v>45735</v>
      </c>
      <c r="G27" s="207" t="str">
        <f>Applications!E28</f>
        <v>Matthew Stowers</v>
      </c>
      <c r="H27">
        <f>Applications!F28</f>
        <v>48160</v>
      </c>
      <c r="I27" s="207" t="str">
        <f>Applications!G28</f>
        <v>Spring Preemerge (Jan)</v>
      </c>
      <c r="J27">
        <f>Applications!H28</f>
        <v>6500</v>
      </c>
      <c r="L27" t="str">
        <f>Applications!J28</f>
        <v/>
      </c>
      <c r="M27" t="e">
        <f>Applications!K28</f>
        <v>#N/A</v>
      </c>
      <c r="N27" t="e">
        <f>Applications!L28</f>
        <v>#N/A</v>
      </c>
      <c r="O27" t="e">
        <f>Applications!M28</f>
        <v>#N/A</v>
      </c>
      <c r="P27" t="str">
        <f>Applications!N28</f>
        <v>Triplet SF (3-Way) 228-312</v>
      </c>
      <c r="Q27" t="str">
        <f>Applications!O28</f>
        <v>2,4-D, dimethylamine salt; Dicamba, dimethylamine salt;Mecoprop-p (MCPP-p), dimethylamine salt</v>
      </c>
      <c r="R27">
        <f>Applications!P28</f>
        <v>24</v>
      </c>
      <c r="S27">
        <f>Applications!Q28</f>
        <v>3.5812672176308542</v>
      </c>
      <c r="T27" t="str">
        <f>Applications!R28</f>
        <v>Resolute 4Fl (100-1139)</v>
      </c>
      <c r="U27" t="str">
        <f>Applications!S28</f>
        <v>Prodiamine</v>
      </c>
      <c r="V27">
        <f>Applications!T28</f>
        <v>16</v>
      </c>
      <c r="W27">
        <f>Applications!U28</f>
        <v>2.3875114784205693</v>
      </c>
      <c r="X27" t="b">
        <f>Applications!V28</f>
        <v>0</v>
      </c>
      <c r="Y27" t="e">
        <f>Applications!W28</f>
        <v>#N/A</v>
      </c>
      <c r="Z27" t="e">
        <f>Applications!X28</f>
        <v>#N/A</v>
      </c>
      <c r="AA27" t="e">
        <f>Applications!Y28</f>
        <v>#N/A</v>
      </c>
      <c r="AB27">
        <f>Applications!Z28</f>
        <v>0</v>
      </c>
      <c r="AC27">
        <f>Applications!AA28</f>
        <v>0</v>
      </c>
      <c r="AD27">
        <f>Applications!AB28</f>
        <v>0</v>
      </c>
      <c r="AE27">
        <f>Applications!AC28</f>
        <v>0</v>
      </c>
    </row>
    <row r="28" spans="1:31" hidden="1">
      <c r="A28" t="str">
        <f>Applications!A29</f>
        <v>Steve Edwards</v>
      </c>
      <c r="B28" t="str">
        <f>VLOOKUP($A28,Customer_Data!$A$1:$R$161,3,TRUE)</f>
        <v>71 Saint Andrews Drive</v>
      </c>
      <c r="C28" t="str">
        <f>VLOOKUP($A28,Customer_Data!$A$1:$R$161,4,TRUE)</f>
        <v>Jackson</v>
      </c>
      <c r="D28" t="str">
        <f>VLOOKUP($A28,Customer_Data!$A$1:$R$161,5,TRUE)</f>
        <v>MS</v>
      </c>
      <c r="E28">
        <f>VLOOKUP($A28,Customer_Data!$A$1:$R$161,6,TRUE)</f>
        <v>39211</v>
      </c>
      <c r="F28" s="207">
        <f>Applications!B29</f>
        <v>45735</v>
      </c>
      <c r="G28" s="207" t="str">
        <f>Applications!E29</f>
        <v>Matthew Stowers</v>
      </c>
      <c r="H28">
        <f>Applications!F29</f>
        <v>48160</v>
      </c>
      <c r="I28" s="207" t="str">
        <f>Applications!G29</f>
        <v>Spring Preemerge (Jan)</v>
      </c>
      <c r="J28">
        <f>Applications!H29</f>
        <v>9000</v>
      </c>
      <c r="L28" t="str">
        <f>Applications!J29</f>
        <v/>
      </c>
      <c r="M28" t="e">
        <f>Applications!K29</f>
        <v>#N/A</v>
      </c>
      <c r="N28" t="e">
        <f>Applications!L29</f>
        <v>#N/A</v>
      </c>
      <c r="O28" t="e">
        <f>Applications!M29</f>
        <v>#N/A</v>
      </c>
      <c r="P28" t="str">
        <f>Applications!N29</f>
        <v>Triplet SF (3-Way) 228-312</v>
      </c>
      <c r="Q28" t="str">
        <f>Applications!O29</f>
        <v>2,4-D, dimethylamine salt; Dicamba, dimethylamine salt;Mecoprop-p (MCPP-p), dimethylamine salt</v>
      </c>
      <c r="R28">
        <f>Applications!P29</f>
        <v>24</v>
      </c>
      <c r="S28">
        <f>Applications!Q29</f>
        <v>4.9586776859504136</v>
      </c>
      <c r="T28" t="str">
        <f>Applications!R29</f>
        <v>Resolute 4Fl (100-1139)</v>
      </c>
      <c r="U28" t="str">
        <f>Applications!S29</f>
        <v>Prodiamine</v>
      </c>
      <c r="V28">
        <f>Applications!T29</f>
        <v>16</v>
      </c>
      <c r="W28">
        <f>Applications!U29</f>
        <v>3.3057851239669422</v>
      </c>
      <c r="X28" t="b">
        <f>Applications!V29</f>
        <v>0</v>
      </c>
      <c r="Y28" t="e">
        <f>Applications!W29</f>
        <v>#N/A</v>
      </c>
      <c r="Z28" t="e">
        <f>Applications!X29</f>
        <v>#N/A</v>
      </c>
      <c r="AA28" t="e">
        <f>Applications!Y29</f>
        <v>#N/A</v>
      </c>
      <c r="AB28">
        <f>Applications!Z29</f>
        <v>0</v>
      </c>
      <c r="AC28">
        <f>Applications!AA29</f>
        <v>0</v>
      </c>
      <c r="AD28">
        <f>Applications!AB29</f>
        <v>0</v>
      </c>
      <c r="AE28">
        <f>Applications!AC29</f>
        <v>0</v>
      </c>
    </row>
    <row r="29" spans="1:31" hidden="1">
      <c r="A29" t="str">
        <f>Applications!A30</f>
        <v>Gay Grantham</v>
      </c>
      <c r="B29" t="str">
        <f>VLOOKUP($A29,Customer_Data!$A$1:$R$161,3,TRUE)</f>
        <v>204 West Brandon Court</v>
      </c>
      <c r="C29" t="str">
        <f>VLOOKUP($A29,Customer_Data!$A$1:$R$161,4,TRUE)</f>
        <v>Brandon</v>
      </c>
      <c r="D29" t="str">
        <f>VLOOKUP($A29,Customer_Data!$A$1:$R$161,5,TRUE)</f>
        <v>MS</v>
      </c>
      <c r="E29">
        <f>VLOOKUP($A29,Customer_Data!$A$1:$R$161,6,TRUE)</f>
        <v>39042</v>
      </c>
      <c r="F29" s="207">
        <f>Applications!B30</f>
        <v>45735</v>
      </c>
      <c r="G29" s="207" t="str">
        <f>Applications!E30</f>
        <v>Matthew Stowers</v>
      </c>
      <c r="H29">
        <f>Applications!F30</f>
        <v>48160</v>
      </c>
      <c r="I29" s="207" t="str">
        <f>Applications!G30</f>
        <v>Spring Preemerge (Jan)</v>
      </c>
      <c r="J29">
        <f>Applications!H30</f>
        <v>5900</v>
      </c>
      <c r="L29" t="str">
        <f>Applications!J30</f>
        <v/>
      </c>
      <c r="M29" t="e">
        <f>Applications!K30</f>
        <v>#N/A</v>
      </c>
      <c r="N29" t="e">
        <f>Applications!L30</f>
        <v>#N/A</v>
      </c>
      <c r="O29" t="e">
        <f>Applications!M30</f>
        <v>#N/A</v>
      </c>
      <c r="P29" t="str">
        <f>Applications!N30</f>
        <v>Triplet SF (3-Way) 228-312</v>
      </c>
      <c r="Q29" t="str">
        <f>Applications!O30</f>
        <v>2,4-D, dimethylamine salt; Dicamba, dimethylamine salt;Mecoprop-p (MCPP-p), dimethylamine salt</v>
      </c>
      <c r="R29">
        <f>Applications!P30</f>
        <v>24</v>
      </c>
      <c r="S29">
        <f>Applications!Q30</f>
        <v>3.2506887052341598</v>
      </c>
      <c r="T29" t="str">
        <f>Applications!R30</f>
        <v>Resolute 4Fl (100-1139)</v>
      </c>
      <c r="U29" t="str">
        <f>Applications!S30</f>
        <v>Prodiamine</v>
      </c>
      <c r="V29">
        <f>Applications!T30</f>
        <v>16</v>
      </c>
      <c r="W29">
        <f>Applications!U30</f>
        <v>2.1671258034894398</v>
      </c>
      <c r="X29" t="b">
        <f>Applications!V30</f>
        <v>0</v>
      </c>
      <c r="Y29" t="e">
        <f>Applications!W30</f>
        <v>#N/A</v>
      </c>
      <c r="Z29" t="e">
        <f>Applications!X30</f>
        <v>#N/A</v>
      </c>
      <c r="AA29" t="e">
        <f>Applications!Y30</f>
        <v>#N/A</v>
      </c>
      <c r="AB29">
        <f>Applications!Z30</f>
        <v>0</v>
      </c>
      <c r="AC29">
        <f>Applications!AA30</f>
        <v>0</v>
      </c>
      <c r="AD29">
        <f>Applications!AB30</f>
        <v>0</v>
      </c>
      <c r="AE29">
        <f>Applications!AC30</f>
        <v>0</v>
      </c>
    </row>
    <row r="30" spans="1:31" hidden="1">
      <c r="A30" t="str">
        <f>Applications!A31</f>
        <v>Max Brian</v>
      </c>
      <c r="B30" t="str">
        <f>VLOOKUP($A30,Customer_Data!$A$1:$R$161,3,TRUE)</f>
        <v>121 Meadow Creek Drive</v>
      </c>
      <c r="C30" t="str">
        <f>VLOOKUP($A30,Customer_Data!$A$1:$R$161,4,TRUE)</f>
        <v>Brandon</v>
      </c>
      <c r="D30" t="str">
        <f>VLOOKUP($A30,Customer_Data!$A$1:$R$161,5,TRUE)</f>
        <v>MS</v>
      </c>
      <c r="E30">
        <f>VLOOKUP($A30,Customer_Data!$A$1:$R$161,6,TRUE)</f>
        <v>39042</v>
      </c>
      <c r="F30" s="207">
        <f>Applications!B31</f>
        <v>45765</v>
      </c>
      <c r="G30" s="207" t="str">
        <f>Applications!E31</f>
        <v>Matthew Stowers</v>
      </c>
      <c r="H30">
        <f>Applications!F31</f>
        <v>48160</v>
      </c>
      <c r="I30" s="207" t="str">
        <f>Applications!G31</f>
        <v>Spring Preemerge (Apr)</v>
      </c>
      <c r="J30">
        <f>Applications!H31</f>
        <v>4670</v>
      </c>
      <c r="L30" t="str">
        <f>Applications!J31</f>
        <v/>
      </c>
      <c r="M30" t="e">
        <f>Applications!K31</f>
        <v>#N/A</v>
      </c>
      <c r="N30" t="e">
        <f>Applications!L31</f>
        <v>#N/A</v>
      </c>
      <c r="O30" t="e">
        <f>Applications!M31</f>
        <v>#N/A</v>
      </c>
      <c r="P30" t="str">
        <f>Applications!N31</f>
        <v>Triplet SF (3-Way) 228-312</v>
      </c>
      <c r="Q30" t="str">
        <f>Applications!O31</f>
        <v>2,4-D, dimethylamine salt; Dicamba, dimethylamine salt;Mecoprop-p (MCPP-p), dimethylamine salt</v>
      </c>
      <c r="R30">
        <f>Applications!P31</f>
        <v>24</v>
      </c>
      <c r="S30">
        <f>Applications!Q31</f>
        <v>2.5730027548209367</v>
      </c>
      <c r="T30" t="str">
        <f>Applications!R31</f>
        <v>Certinty Turf 59639-226</v>
      </c>
      <c r="U30" t="str">
        <f>Applications!S31</f>
        <v>Sulfosulfuron</v>
      </c>
      <c r="V30">
        <f>Applications!T31</f>
        <v>0</v>
      </c>
      <c r="W30">
        <f>Applications!U31</f>
        <v>0</v>
      </c>
      <c r="X30" t="b">
        <f>Applications!V31</f>
        <v>0</v>
      </c>
      <c r="Y30" t="e">
        <f>Applications!W31</f>
        <v>#N/A</v>
      </c>
      <c r="Z30" t="e">
        <f>Applications!X31</f>
        <v>#N/A</v>
      </c>
      <c r="AA30" t="e">
        <f>Applications!Y31</f>
        <v>#N/A</v>
      </c>
      <c r="AB30">
        <f>Applications!Z31</f>
        <v>0</v>
      </c>
      <c r="AC30">
        <f>Applications!AA31</f>
        <v>0</v>
      </c>
      <c r="AD30">
        <f>Applications!AB31</f>
        <v>0</v>
      </c>
      <c r="AE30">
        <f>Applications!AC31</f>
        <v>0</v>
      </c>
    </row>
    <row r="31" spans="1:31" hidden="1">
      <c r="A31" t="str">
        <f>Applications!A32</f>
        <v>Troy Stokes</v>
      </c>
      <c r="B31" t="str">
        <f>VLOOKUP($A31,Customer_Data!$A$1:$R$161,3,TRUE)</f>
        <v>100 Spring Valley Drive</v>
      </c>
      <c r="C31" t="str">
        <f>VLOOKUP($A31,Customer_Data!$A$1:$R$161,4,TRUE)</f>
        <v>Brandon</v>
      </c>
      <c r="D31" t="str">
        <f>VLOOKUP($A31,Customer_Data!$A$1:$R$161,5,TRUE)</f>
        <v>MS</v>
      </c>
      <c r="E31">
        <f>VLOOKUP($A31,Customer_Data!$A$1:$R$161,6,TRUE)</f>
        <v>39042</v>
      </c>
      <c r="F31" s="207">
        <f>Applications!B32</f>
        <v>45765</v>
      </c>
      <c r="G31" s="207" t="str">
        <f>Applications!E32</f>
        <v>Matthew Stowers</v>
      </c>
      <c r="H31">
        <f>Applications!F32</f>
        <v>48160</v>
      </c>
      <c r="I31" s="207" t="str">
        <f>Applications!G32</f>
        <v>Spring Preemerge (Apr)</v>
      </c>
      <c r="J31">
        <f>Applications!H32</f>
        <v>9000</v>
      </c>
      <c r="L31" t="str">
        <f>Applications!J32</f>
        <v/>
      </c>
      <c r="M31" t="e">
        <f>Applications!K32</f>
        <v>#N/A</v>
      </c>
      <c r="N31" t="e">
        <f>Applications!L32</f>
        <v>#N/A</v>
      </c>
      <c r="O31" t="e">
        <f>Applications!M32</f>
        <v>#N/A</v>
      </c>
      <c r="P31" t="str">
        <f>Applications!N32</f>
        <v>Triplet SF (3-Way) 228-312</v>
      </c>
      <c r="Q31" t="str">
        <f>Applications!O32</f>
        <v>2,4-D, dimethylamine salt; Dicamba, dimethylamine salt;Mecoprop-p (MCPP-p), dimethylamine salt</v>
      </c>
      <c r="R31">
        <f>Applications!P32</f>
        <v>24</v>
      </c>
      <c r="S31">
        <f>Applications!Q32</f>
        <v>4.9586776859504136</v>
      </c>
      <c r="T31" t="str">
        <f>Applications!R32</f>
        <v>Certinty Turf 59639-226</v>
      </c>
      <c r="U31" t="str">
        <f>Applications!S32</f>
        <v>Sulfosulfuron</v>
      </c>
      <c r="V31">
        <f>Applications!T32</f>
        <v>0</v>
      </c>
      <c r="W31">
        <f>Applications!U32</f>
        <v>0</v>
      </c>
      <c r="X31" t="b">
        <f>Applications!V32</f>
        <v>0</v>
      </c>
      <c r="Y31" t="e">
        <f>Applications!W32</f>
        <v>#N/A</v>
      </c>
      <c r="Z31" t="e">
        <f>Applications!X32</f>
        <v>#N/A</v>
      </c>
      <c r="AA31" t="e">
        <f>Applications!Y32</f>
        <v>#N/A</v>
      </c>
      <c r="AB31">
        <f>Applications!Z32</f>
        <v>0</v>
      </c>
      <c r="AC31">
        <f>Applications!AA32</f>
        <v>0</v>
      </c>
      <c r="AD31">
        <f>Applications!AB32</f>
        <v>0</v>
      </c>
      <c r="AE31">
        <f>Applications!AC32</f>
        <v>0</v>
      </c>
    </row>
    <row r="32" spans="1:31" hidden="1">
      <c r="A32" t="str">
        <f>Applications!A33</f>
        <v>David Fatheree</v>
      </c>
      <c r="B32" t="str">
        <f>VLOOKUP($A32,Customer_Data!$A$1:$R$161,3,TRUE)</f>
        <v>706 Ivywood Court</v>
      </c>
      <c r="C32" t="str">
        <f>VLOOKUP($A32,Customer_Data!$A$1:$R$161,4,TRUE)</f>
        <v>Madison</v>
      </c>
      <c r="D32" t="str">
        <f>VLOOKUP($A32,Customer_Data!$A$1:$R$161,5,TRUE)</f>
        <v>MS</v>
      </c>
      <c r="E32">
        <f>VLOOKUP($A32,Customer_Data!$A$1:$R$161,6,TRUE)</f>
        <v>39110</v>
      </c>
      <c r="F32" s="207">
        <f>Applications!B33</f>
        <v>45765</v>
      </c>
      <c r="G32" s="207" t="str">
        <f>Applications!E33</f>
        <v>Matthew Stowers</v>
      </c>
      <c r="H32">
        <f>Applications!F33</f>
        <v>48160</v>
      </c>
      <c r="I32" s="207" t="str">
        <f>Applications!G33</f>
        <v>Spring Preemerge (Apr)</v>
      </c>
      <c r="J32">
        <f>Applications!H33</f>
        <v>8910</v>
      </c>
      <c r="L32" t="str">
        <f>Applications!J33</f>
        <v/>
      </c>
      <c r="M32" t="e">
        <f>Applications!K33</f>
        <v>#N/A</v>
      </c>
      <c r="N32" t="e">
        <f>Applications!L33</f>
        <v>#N/A</v>
      </c>
      <c r="O32" t="e">
        <f>Applications!M33</f>
        <v>#N/A</v>
      </c>
      <c r="P32" t="str">
        <f>Applications!N33</f>
        <v>Triplet SF (3-Way) 228-312</v>
      </c>
      <c r="Q32" t="str">
        <f>Applications!O33</f>
        <v>2,4-D, dimethylamine salt; Dicamba, dimethylamine salt;Mecoprop-p (MCPP-p), dimethylamine salt</v>
      </c>
      <c r="R32">
        <f>Applications!P33</f>
        <v>24</v>
      </c>
      <c r="S32">
        <f>Applications!Q33</f>
        <v>4.9090909090909092</v>
      </c>
      <c r="T32" t="str">
        <f>Applications!R33</f>
        <v>Certinty Turf 59639-226</v>
      </c>
      <c r="U32" t="str">
        <f>Applications!S33</f>
        <v>Sulfosulfuron</v>
      </c>
      <c r="V32">
        <f>Applications!T33</f>
        <v>0</v>
      </c>
      <c r="W32">
        <f>Applications!U33</f>
        <v>0</v>
      </c>
      <c r="X32" t="b">
        <f>Applications!V33</f>
        <v>0</v>
      </c>
      <c r="Y32" t="e">
        <f>Applications!W33</f>
        <v>#N/A</v>
      </c>
      <c r="Z32" t="e">
        <f>Applications!X33</f>
        <v>#N/A</v>
      </c>
      <c r="AA32" t="e">
        <f>Applications!Y33</f>
        <v>#N/A</v>
      </c>
      <c r="AB32">
        <f>Applications!Z33</f>
        <v>0</v>
      </c>
      <c r="AC32">
        <f>Applications!AA33</f>
        <v>0</v>
      </c>
      <c r="AD32">
        <f>Applications!AB33</f>
        <v>0</v>
      </c>
      <c r="AE32">
        <f>Applications!AC33</f>
        <v>0</v>
      </c>
    </row>
    <row r="33" spans="1:31" hidden="1">
      <c r="A33" t="str">
        <f>Applications!A34</f>
        <v>Max Miller</v>
      </c>
      <c r="B33" t="str">
        <f>VLOOKUP($A33,Customer_Data!$A$1:$R$161,3,TRUE)</f>
        <v>1021 Cumberland Dr.</v>
      </c>
      <c r="C33" t="str">
        <f>VLOOKUP($A33,Customer_Data!$A$1:$R$161,4,TRUE)</f>
        <v>Brandon</v>
      </c>
      <c r="D33" t="str">
        <f>VLOOKUP($A33,Customer_Data!$A$1:$R$161,5,TRUE)</f>
        <v>MS</v>
      </c>
      <c r="E33">
        <f>VLOOKUP($A33,Customer_Data!$A$1:$R$161,6,TRUE)</f>
        <v>39047</v>
      </c>
      <c r="F33" s="207">
        <f>Applications!B34</f>
        <v>45765</v>
      </c>
      <c r="G33" s="207" t="str">
        <f>Applications!E34</f>
        <v>Matthew Stowers</v>
      </c>
      <c r="H33">
        <f>Applications!F34</f>
        <v>48160</v>
      </c>
      <c r="I33" s="207" t="str">
        <f>Applications!G34</f>
        <v>Spring Preemerge (Apr)</v>
      </c>
      <c r="J33">
        <f>Applications!H34</f>
        <v>3100</v>
      </c>
      <c r="L33" t="str">
        <f>Applications!J34</f>
        <v/>
      </c>
      <c r="M33" t="e">
        <f>Applications!K34</f>
        <v>#N/A</v>
      </c>
      <c r="N33" t="e">
        <f>Applications!L34</f>
        <v>#N/A</v>
      </c>
      <c r="O33" t="e">
        <f>Applications!M34</f>
        <v>#N/A</v>
      </c>
      <c r="P33" t="str">
        <f>Applications!N34</f>
        <v>Triplet SF (3-Way) 228-312</v>
      </c>
      <c r="Q33" t="str">
        <f>Applications!O34</f>
        <v>2,4-D, dimethylamine salt; Dicamba, dimethylamine salt;Mecoprop-p (MCPP-p), dimethylamine salt</v>
      </c>
      <c r="R33">
        <f>Applications!P34</f>
        <v>24</v>
      </c>
      <c r="S33">
        <f>Applications!Q34</f>
        <v>1.7079889807162536</v>
      </c>
      <c r="T33" t="str">
        <f>Applications!R34</f>
        <v>Certinty Turf 59639-226</v>
      </c>
      <c r="U33" t="str">
        <f>Applications!S34</f>
        <v>Sulfosulfuron</v>
      </c>
      <c r="V33">
        <f>Applications!T34</f>
        <v>0</v>
      </c>
      <c r="W33">
        <f>Applications!U34</f>
        <v>0</v>
      </c>
      <c r="X33" t="b">
        <f>Applications!V34</f>
        <v>0</v>
      </c>
      <c r="Y33" t="e">
        <f>Applications!W34</f>
        <v>#N/A</v>
      </c>
      <c r="Z33" t="e">
        <f>Applications!X34</f>
        <v>#N/A</v>
      </c>
      <c r="AA33" t="e">
        <f>Applications!Y34</f>
        <v>#N/A</v>
      </c>
      <c r="AB33">
        <f>Applications!Z34</f>
        <v>0</v>
      </c>
      <c r="AC33">
        <f>Applications!AA34</f>
        <v>0</v>
      </c>
      <c r="AD33">
        <f>Applications!AB34</f>
        <v>0</v>
      </c>
      <c r="AE33">
        <f>Applications!AC34</f>
        <v>0</v>
      </c>
    </row>
    <row r="34" spans="1:31" hidden="1">
      <c r="A34" t="str">
        <f>Applications!A35</f>
        <v>Browning Bergold</v>
      </c>
      <c r="B34" t="str">
        <f>VLOOKUP($A34,Customer_Data!$A$1:$R$161,3,TRUE)</f>
        <v>121 Hidden Hills Drive</v>
      </c>
      <c r="C34" t="str">
        <f>VLOOKUP($A34,Customer_Data!$A$1:$R$161,4,TRUE)</f>
        <v>Madison</v>
      </c>
      <c r="D34" t="str">
        <f>VLOOKUP($A34,Customer_Data!$A$1:$R$161,5,TRUE)</f>
        <v>MS</v>
      </c>
      <c r="E34">
        <f>VLOOKUP($A34,Customer_Data!$A$1:$R$161,6,TRUE)</f>
        <v>39110</v>
      </c>
      <c r="F34" s="207">
        <f>Applications!B35</f>
        <v>45765</v>
      </c>
      <c r="G34" s="207" t="str">
        <f>Applications!E35</f>
        <v>Matthew Stowers</v>
      </c>
      <c r="H34">
        <f>Applications!F35</f>
        <v>48160</v>
      </c>
      <c r="I34" s="207" t="str">
        <f>Applications!G35</f>
        <v>Spring Preemerge (Apr)</v>
      </c>
      <c r="J34">
        <f>Applications!H35</f>
        <v>6400</v>
      </c>
      <c r="L34" t="str">
        <f>Applications!J35</f>
        <v/>
      </c>
      <c r="M34" t="e">
        <f>Applications!K35</f>
        <v>#N/A</v>
      </c>
      <c r="N34" t="e">
        <f>Applications!L35</f>
        <v>#N/A</v>
      </c>
      <c r="O34" t="e">
        <f>Applications!M35</f>
        <v>#N/A</v>
      </c>
      <c r="P34" t="str">
        <f>Applications!N35</f>
        <v>Triplet SF (3-Way) 228-312</v>
      </c>
      <c r="Q34" t="str">
        <f>Applications!O35</f>
        <v>2,4-D, dimethylamine salt; Dicamba, dimethylamine salt;Mecoprop-p (MCPP-p), dimethylamine salt</v>
      </c>
      <c r="R34">
        <f>Applications!P35</f>
        <v>24</v>
      </c>
      <c r="S34">
        <f>Applications!Q35</f>
        <v>3.5261707988980717</v>
      </c>
      <c r="T34" t="str">
        <f>Applications!R35</f>
        <v>Certinty Turf 59639-226</v>
      </c>
      <c r="U34" t="str">
        <f>Applications!S35</f>
        <v>Sulfosulfuron</v>
      </c>
      <c r="V34">
        <f>Applications!T35</f>
        <v>0</v>
      </c>
      <c r="W34">
        <f>Applications!U35</f>
        <v>0</v>
      </c>
      <c r="X34" t="b">
        <f>Applications!V35</f>
        <v>0</v>
      </c>
      <c r="Y34" t="e">
        <f>Applications!W35</f>
        <v>#N/A</v>
      </c>
      <c r="Z34" t="e">
        <f>Applications!X35</f>
        <v>#N/A</v>
      </c>
      <c r="AA34" t="e">
        <f>Applications!Y35</f>
        <v>#N/A</v>
      </c>
      <c r="AB34">
        <f>Applications!Z35</f>
        <v>0</v>
      </c>
      <c r="AC34">
        <f>Applications!AA35</f>
        <v>0</v>
      </c>
      <c r="AD34">
        <f>Applications!AB35</f>
        <v>0</v>
      </c>
      <c r="AE34">
        <f>Applications!AC35</f>
        <v>0</v>
      </c>
    </row>
    <row r="35" spans="1:31" hidden="1">
      <c r="A35" t="str">
        <f>Applications!A36</f>
        <v>Dot Stuart</v>
      </c>
      <c r="B35" t="str">
        <f>VLOOKUP($A35,Customer_Data!$A$1:$R$161,3,TRUE)</f>
        <v>414 Providence Drive</v>
      </c>
      <c r="C35" t="str">
        <f>VLOOKUP($A35,Customer_Data!$A$1:$R$161,4,TRUE)</f>
        <v>Brandon</v>
      </c>
      <c r="D35" t="str">
        <f>VLOOKUP($A35,Customer_Data!$A$1:$R$161,5,TRUE)</f>
        <v>MS</v>
      </c>
      <c r="E35">
        <f>VLOOKUP($A35,Customer_Data!$A$1:$R$161,6,TRUE)</f>
        <v>39042</v>
      </c>
      <c r="F35" s="207">
        <f>Applications!B36</f>
        <v>45765</v>
      </c>
      <c r="G35" s="207" t="str">
        <f>Applications!E36</f>
        <v>Matthew Stowers</v>
      </c>
      <c r="H35">
        <f>Applications!F36</f>
        <v>48160</v>
      </c>
      <c r="I35" s="207" t="str">
        <f>Applications!G36</f>
        <v>Spring Preemerge (Apr)</v>
      </c>
      <c r="J35">
        <f>Applications!H36</f>
        <v>1800</v>
      </c>
      <c r="L35" t="str">
        <f>Applications!J36</f>
        <v/>
      </c>
      <c r="M35" t="e">
        <f>Applications!K36</f>
        <v>#N/A</v>
      </c>
      <c r="N35" t="e">
        <f>Applications!L36</f>
        <v>#N/A</v>
      </c>
      <c r="O35" t="e">
        <f>Applications!M36</f>
        <v>#N/A</v>
      </c>
      <c r="P35" t="str">
        <f>Applications!N36</f>
        <v>Triplet SF (3-Way) 228-312</v>
      </c>
      <c r="Q35" t="str">
        <f>Applications!O36</f>
        <v>2,4-D, dimethylamine salt; Dicamba, dimethylamine salt;Mecoprop-p (MCPP-p), dimethylamine salt</v>
      </c>
      <c r="R35">
        <f>Applications!P36</f>
        <v>24</v>
      </c>
      <c r="S35">
        <f>Applications!Q36</f>
        <v>0.99173553719008267</v>
      </c>
      <c r="T35" t="str">
        <f>Applications!R36</f>
        <v>Certinty Turf 59639-226</v>
      </c>
      <c r="U35" t="str">
        <f>Applications!S36</f>
        <v>Sulfosulfuron</v>
      </c>
      <c r="V35">
        <f>Applications!T36</f>
        <v>0</v>
      </c>
      <c r="W35">
        <f>Applications!U36</f>
        <v>0</v>
      </c>
      <c r="X35" t="b">
        <f>Applications!V36</f>
        <v>0</v>
      </c>
      <c r="Y35" t="e">
        <f>Applications!W36</f>
        <v>#N/A</v>
      </c>
      <c r="Z35" t="e">
        <f>Applications!X36</f>
        <v>#N/A</v>
      </c>
      <c r="AA35" t="e">
        <f>Applications!Y36</f>
        <v>#N/A</v>
      </c>
      <c r="AB35">
        <f>Applications!Z36</f>
        <v>0</v>
      </c>
      <c r="AC35">
        <f>Applications!AA36</f>
        <v>0</v>
      </c>
      <c r="AD35">
        <f>Applications!AB36</f>
        <v>0</v>
      </c>
      <c r="AE35">
        <f>Applications!AC36</f>
        <v>0</v>
      </c>
    </row>
    <row r="36" spans="1:31" hidden="1">
      <c r="A36" t="str">
        <f>Applications!A37</f>
        <v>Jordan Bane</v>
      </c>
      <c r="B36" t="str">
        <f>VLOOKUP($A36,Customer_Data!$A$1:$R$161,3,TRUE)</f>
        <v>307 Austin Circle</v>
      </c>
      <c r="C36" t="str">
        <f>VLOOKUP($A36,Customer_Data!$A$1:$R$161,4,TRUE)</f>
        <v>Brandon</v>
      </c>
      <c r="D36" t="str">
        <f>VLOOKUP($A36,Customer_Data!$A$1:$R$161,5,TRUE)</f>
        <v>MS</v>
      </c>
      <c r="E36">
        <f>VLOOKUP($A36,Customer_Data!$A$1:$R$161,6,TRUE)</f>
        <v>39047</v>
      </c>
      <c r="F36" s="207">
        <f>Applications!B37</f>
        <v>45765</v>
      </c>
      <c r="G36" s="207" t="str">
        <f>Applications!E37</f>
        <v>Matthew Stowers</v>
      </c>
      <c r="H36">
        <f>Applications!F37</f>
        <v>48160</v>
      </c>
      <c r="I36" s="207" t="str">
        <f>Applications!G37</f>
        <v>Spring Preemerge (Apr)</v>
      </c>
      <c r="J36">
        <f>Applications!H37</f>
        <v>4200</v>
      </c>
      <c r="L36" t="str">
        <f>Applications!J37</f>
        <v/>
      </c>
      <c r="M36" t="e">
        <f>Applications!K37</f>
        <v>#N/A</v>
      </c>
      <c r="N36" t="e">
        <f>Applications!L37</f>
        <v>#N/A</v>
      </c>
      <c r="O36" t="e">
        <f>Applications!M37</f>
        <v>#N/A</v>
      </c>
      <c r="P36" t="str">
        <f>Applications!N37</f>
        <v>Triplet SF (3-Way) 228-312</v>
      </c>
      <c r="Q36" t="str">
        <f>Applications!O37</f>
        <v>2,4-D, dimethylamine salt; Dicamba, dimethylamine salt;Mecoprop-p (MCPP-p), dimethylamine salt</v>
      </c>
      <c r="R36">
        <f>Applications!P37</f>
        <v>24</v>
      </c>
      <c r="S36">
        <f>Applications!Q37</f>
        <v>2.3140495867768598</v>
      </c>
      <c r="T36" t="str">
        <f>Applications!R37</f>
        <v>Certinty Turf 59639-226</v>
      </c>
      <c r="U36" t="str">
        <f>Applications!S37</f>
        <v>Sulfosulfuron</v>
      </c>
      <c r="V36">
        <f>Applications!T37</f>
        <v>0</v>
      </c>
      <c r="W36">
        <f>Applications!U37</f>
        <v>0</v>
      </c>
      <c r="X36" t="b">
        <f>Applications!V37</f>
        <v>0</v>
      </c>
      <c r="Y36" t="e">
        <f>Applications!W37</f>
        <v>#N/A</v>
      </c>
      <c r="Z36" t="e">
        <f>Applications!X37</f>
        <v>#N/A</v>
      </c>
      <c r="AA36" t="e">
        <f>Applications!Y37</f>
        <v>#N/A</v>
      </c>
      <c r="AB36">
        <f>Applications!Z37</f>
        <v>0</v>
      </c>
      <c r="AC36">
        <f>Applications!AA37</f>
        <v>0</v>
      </c>
      <c r="AD36">
        <f>Applications!AB37</f>
        <v>0</v>
      </c>
      <c r="AE36">
        <f>Applications!AC37</f>
        <v>0</v>
      </c>
    </row>
    <row r="37" spans="1:31" hidden="1">
      <c r="A37" t="str">
        <f>Applications!A38</f>
        <v>Matt Runner</v>
      </c>
      <c r="B37" t="str">
        <f>VLOOKUP($A37,Customer_Data!$A$1:$R$161,3,TRUE)</f>
        <v>528 Acadian Ct.</v>
      </c>
      <c r="C37" t="str">
        <f>VLOOKUP($A37,Customer_Data!$A$1:$R$161,4,TRUE)</f>
        <v>Brandon</v>
      </c>
      <c r="D37" t="str">
        <f>VLOOKUP($A37,Customer_Data!$A$1:$R$161,5,TRUE)</f>
        <v>MS</v>
      </c>
      <c r="E37">
        <f>VLOOKUP($A37,Customer_Data!$A$1:$R$161,6,TRUE)</f>
        <v>39042</v>
      </c>
      <c r="F37" s="207">
        <f>Applications!B38</f>
        <v>45765</v>
      </c>
      <c r="G37" s="207" t="str">
        <f>Applications!E38</f>
        <v>Matthew Stowers</v>
      </c>
      <c r="H37">
        <f>Applications!F38</f>
        <v>48160</v>
      </c>
      <c r="I37" s="207" t="str">
        <f>Applications!G38</f>
        <v>Spring Preemerge (Apr)</v>
      </c>
      <c r="J37">
        <f>Applications!H38</f>
        <v>2000</v>
      </c>
      <c r="L37" t="str">
        <f>Applications!J38</f>
        <v/>
      </c>
      <c r="M37" t="e">
        <f>Applications!K38</f>
        <v>#N/A</v>
      </c>
      <c r="N37" t="e">
        <f>Applications!L38</f>
        <v>#N/A</v>
      </c>
      <c r="O37" t="e">
        <f>Applications!M38</f>
        <v>#N/A</v>
      </c>
      <c r="P37" t="str">
        <f>Applications!N38</f>
        <v>Triplet SF (3-Way) 228-312</v>
      </c>
      <c r="Q37" t="str">
        <f>Applications!O38</f>
        <v>2,4-D, dimethylamine salt; Dicamba, dimethylamine salt;Mecoprop-p (MCPP-p), dimethylamine salt</v>
      </c>
      <c r="R37">
        <f>Applications!P38</f>
        <v>24</v>
      </c>
      <c r="S37">
        <f>Applications!Q38</f>
        <v>1.1019283746556474</v>
      </c>
      <c r="T37" t="str">
        <f>Applications!R38</f>
        <v>Certinty Turf 59639-226</v>
      </c>
      <c r="U37" t="str">
        <f>Applications!S38</f>
        <v>Sulfosulfuron</v>
      </c>
      <c r="V37">
        <f>Applications!T38</f>
        <v>0</v>
      </c>
      <c r="W37">
        <f>Applications!U38</f>
        <v>0</v>
      </c>
      <c r="X37" t="b">
        <f>Applications!V38</f>
        <v>0</v>
      </c>
      <c r="Y37" t="e">
        <f>Applications!W38</f>
        <v>#N/A</v>
      </c>
      <c r="Z37" t="e">
        <f>Applications!X38</f>
        <v>#N/A</v>
      </c>
      <c r="AA37" t="e">
        <f>Applications!Y38</f>
        <v>#N/A</v>
      </c>
      <c r="AB37">
        <f>Applications!Z38</f>
        <v>0</v>
      </c>
      <c r="AC37">
        <f>Applications!AA38</f>
        <v>0</v>
      </c>
      <c r="AD37">
        <f>Applications!AB38</f>
        <v>0</v>
      </c>
      <c r="AE37">
        <f>Applications!AC38</f>
        <v>0</v>
      </c>
    </row>
    <row r="38" spans="1:31" hidden="1">
      <c r="A38" t="str">
        <f>Applications!A39</f>
        <v>Gay Grantham</v>
      </c>
      <c r="B38" t="str">
        <f>VLOOKUP($A38,Customer_Data!$A$1:$R$161,3,TRUE)</f>
        <v>204 West Brandon Court</v>
      </c>
      <c r="C38" t="str">
        <f>VLOOKUP($A38,Customer_Data!$A$1:$R$161,4,TRUE)</f>
        <v>Brandon</v>
      </c>
      <c r="D38" t="str">
        <f>VLOOKUP($A38,Customer_Data!$A$1:$R$161,5,TRUE)</f>
        <v>MS</v>
      </c>
      <c r="E38">
        <f>VLOOKUP($A38,Customer_Data!$A$1:$R$161,6,TRUE)</f>
        <v>39042</v>
      </c>
      <c r="F38" s="207">
        <f>Applications!B39</f>
        <v>45766</v>
      </c>
      <c r="G38" s="207" t="str">
        <f>Applications!E39</f>
        <v>Matthew Stowers</v>
      </c>
      <c r="H38">
        <f>Applications!F39</f>
        <v>48160</v>
      </c>
      <c r="I38" s="207" t="str">
        <f>Applications!G39</f>
        <v>Spring Preemerge (Apr)</v>
      </c>
      <c r="J38">
        <f>Applications!H39</f>
        <v>5900</v>
      </c>
      <c r="L38" t="str">
        <f>Applications!J39</f>
        <v/>
      </c>
      <c r="M38" t="e">
        <f>Applications!K39</f>
        <v>#N/A</v>
      </c>
      <c r="N38" t="e">
        <f>Applications!L39</f>
        <v>#N/A</v>
      </c>
      <c r="O38" t="e">
        <f>Applications!M39</f>
        <v>#N/A</v>
      </c>
      <c r="P38" t="str">
        <f>Applications!N39</f>
        <v>Triplet SF (3-Way) 228-312</v>
      </c>
      <c r="Q38" t="str">
        <f>Applications!O39</f>
        <v>2,4-D, dimethylamine salt; Dicamba, dimethylamine salt;Mecoprop-p (MCPP-p), dimethylamine salt</v>
      </c>
      <c r="R38">
        <f>Applications!P39</f>
        <v>24</v>
      </c>
      <c r="S38">
        <f>Applications!Q39</f>
        <v>3.2506887052341598</v>
      </c>
      <c r="T38" t="str">
        <f>Applications!R39</f>
        <v>Certinty Turf 59639-226</v>
      </c>
      <c r="U38" t="str">
        <f>Applications!S39</f>
        <v>Sulfosulfuron</v>
      </c>
      <c r="V38">
        <f>Applications!T39</f>
        <v>0</v>
      </c>
      <c r="W38">
        <f>Applications!U39</f>
        <v>0</v>
      </c>
      <c r="X38" t="b">
        <f>Applications!V39</f>
        <v>0</v>
      </c>
      <c r="Y38" t="e">
        <f>Applications!W39</f>
        <v>#N/A</v>
      </c>
      <c r="Z38" t="e">
        <f>Applications!X39</f>
        <v>#N/A</v>
      </c>
      <c r="AA38" t="e">
        <f>Applications!Y39</f>
        <v>#N/A</v>
      </c>
      <c r="AB38">
        <f>Applications!Z39</f>
        <v>0</v>
      </c>
      <c r="AC38">
        <f>Applications!AA39</f>
        <v>0</v>
      </c>
      <c r="AD38">
        <f>Applications!AB39</f>
        <v>0</v>
      </c>
      <c r="AE38">
        <f>Applications!AC39</f>
        <v>0</v>
      </c>
    </row>
    <row r="39" spans="1:31" hidden="1">
      <c r="A39" t="str">
        <f>Applications!A40</f>
        <v>Riley Bennett</v>
      </c>
      <c r="B39" t="str">
        <f>VLOOKUP($A39,Customer_Data!$A$1:$R$161,3,TRUE)</f>
        <v>417 Edgewood Crossing</v>
      </c>
      <c r="C39" t="str">
        <f>VLOOKUP($A39,Customer_Data!$A$1:$R$161,4,TRUE)</f>
        <v>Brandon</v>
      </c>
      <c r="D39" t="str">
        <f>VLOOKUP($A39,Customer_Data!$A$1:$R$161,5,TRUE)</f>
        <v>MS</v>
      </c>
      <c r="E39">
        <f>VLOOKUP($A39,Customer_Data!$A$1:$R$161,6,TRUE)</f>
        <v>39042</v>
      </c>
      <c r="F39" s="207">
        <f>Applications!B40</f>
        <v>45767</v>
      </c>
      <c r="G39" s="207" t="str">
        <f>Applications!E40</f>
        <v>Matthew Stowers</v>
      </c>
      <c r="H39">
        <f>Applications!F40</f>
        <v>48160</v>
      </c>
      <c r="I39" s="207" t="str">
        <f>Applications!G40</f>
        <v>Spring Preemerge (Apr)</v>
      </c>
      <c r="J39">
        <f>Applications!H40</f>
        <v>7500</v>
      </c>
      <c r="L39" t="str">
        <f>Applications!J40</f>
        <v/>
      </c>
      <c r="M39" t="e">
        <f>Applications!K40</f>
        <v>#N/A</v>
      </c>
      <c r="N39" t="e">
        <f>Applications!L40</f>
        <v>#N/A</v>
      </c>
      <c r="O39" t="e">
        <f>Applications!M40</f>
        <v>#N/A</v>
      </c>
      <c r="P39" t="str">
        <f>Applications!N40</f>
        <v>Triplet SF (3-Way) 228-312</v>
      </c>
      <c r="Q39" t="str">
        <f>Applications!O40</f>
        <v>2,4-D, dimethylamine salt; Dicamba, dimethylamine salt;Mecoprop-p (MCPP-p), dimethylamine salt</v>
      </c>
      <c r="R39">
        <f>Applications!P40</f>
        <v>24</v>
      </c>
      <c r="S39">
        <f>Applications!Q40</f>
        <v>4.1322314049586772</v>
      </c>
      <c r="T39" t="str">
        <f>Applications!R40</f>
        <v>Certinty Turf 59639-226</v>
      </c>
      <c r="U39" t="str">
        <f>Applications!S40</f>
        <v>Sulfosulfuron</v>
      </c>
      <c r="V39">
        <f>Applications!T40</f>
        <v>0</v>
      </c>
      <c r="W39">
        <f>Applications!U40</f>
        <v>0</v>
      </c>
      <c r="X39" t="b">
        <f>Applications!V40</f>
        <v>0</v>
      </c>
      <c r="Y39" t="e">
        <f>Applications!W40</f>
        <v>#N/A</v>
      </c>
      <c r="Z39" t="e">
        <f>Applications!X40</f>
        <v>#N/A</v>
      </c>
      <c r="AA39" t="e">
        <f>Applications!Y40</f>
        <v>#N/A</v>
      </c>
      <c r="AB39">
        <f>Applications!Z40</f>
        <v>0</v>
      </c>
      <c r="AC39">
        <f>Applications!AA40</f>
        <v>0</v>
      </c>
      <c r="AD39">
        <f>Applications!AB40</f>
        <v>0</v>
      </c>
      <c r="AE39">
        <f>Applications!AC40</f>
        <v>0</v>
      </c>
    </row>
    <row r="40" spans="1:31" hidden="1">
      <c r="A40" t="str">
        <f>Applications!A41</f>
        <v>Gene Henderson</v>
      </c>
      <c r="B40" t="str">
        <f>VLOOKUP($A40,Customer_Data!$A$1:$R$161,3,TRUE)</f>
        <v>104 East Sunset Drive</v>
      </c>
      <c r="C40" t="str">
        <f>VLOOKUP($A40,Customer_Data!$A$1:$R$161,4,TRUE)</f>
        <v>Brandon</v>
      </c>
      <c r="D40" t="str">
        <f>VLOOKUP($A40,Customer_Data!$A$1:$R$161,5,TRUE)</f>
        <v>MS</v>
      </c>
      <c r="E40">
        <f>VLOOKUP($A40,Customer_Data!$A$1:$R$161,6,TRUE)</f>
        <v>39042</v>
      </c>
      <c r="F40" s="207">
        <f>Applications!B41</f>
        <v>45767</v>
      </c>
      <c r="G40" s="207" t="str">
        <f>Applications!E41</f>
        <v>Matthew Stowers</v>
      </c>
      <c r="H40">
        <f>Applications!F41</f>
        <v>48160</v>
      </c>
      <c r="I40" s="207" t="str">
        <f>Applications!G41</f>
        <v>Spring Preemerge (Apr)</v>
      </c>
      <c r="J40">
        <f>Applications!H41</f>
        <v>11000</v>
      </c>
      <c r="L40" t="str">
        <f>Applications!J41</f>
        <v/>
      </c>
      <c r="M40" t="e">
        <f>Applications!K41</f>
        <v>#N/A</v>
      </c>
      <c r="N40" t="e">
        <f>Applications!L41</f>
        <v>#N/A</v>
      </c>
      <c r="O40" t="e">
        <f>Applications!M41</f>
        <v>#N/A</v>
      </c>
      <c r="P40" t="str">
        <f>Applications!N41</f>
        <v>Triplet SF (3-Way) 228-312</v>
      </c>
      <c r="Q40" t="str">
        <f>Applications!O41</f>
        <v>2,4-D, dimethylamine salt; Dicamba, dimethylamine salt;Mecoprop-p (MCPP-p), dimethylamine salt</v>
      </c>
      <c r="R40">
        <f>Applications!P41</f>
        <v>24</v>
      </c>
      <c r="S40">
        <f>Applications!Q41</f>
        <v>6.0606060606060606</v>
      </c>
      <c r="T40" t="str">
        <f>Applications!R41</f>
        <v>Certinty Turf 59639-226</v>
      </c>
      <c r="U40" t="str">
        <f>Applications!S41</f>
        <v>Sulfosulfuron</v>
      </c>
      <c r="V40">
        <f>Applications!T41</f>
        <v>0</v>
      </c>
      <c r="W40">
        <f>Applications!U41</f>
        <v>0</v>
      </c>
      <c r="X40" t="b">
        <f>Applications!V41</f>
        <v>0</v>
      </c>
      <c r="Y40" t="e">
        <f>Applications!W41</f>
        <v>#N/A</v>
      </c>
      <c r="Z40" t="e">
        <f>Applications!X41</f>
        <v>#N/A</v>
      </c>
      <c r="AA40" t="e">
        <f>Applications!Y41</f>
        <v>#N/A</v>
      </c>
      <c r="AB40">
        <f>Applications!Z41</f>
        <v>0</v>
      </c>
      <c r="AC40">
        <f>Applications!AA41</f>
        <v>0</v>
      </c>
      <c r="AD40">
        <f>Applications!AB41</f>
        <v>0</v>
      </c>
      <c r="AE40">
        <f>Applications!AC41</f>
        <v>0</v>
      </c>
    </row>
    <row r="41" spans="1:31" hidden="1">
      <c r="A41" t="str">
        <f>Applications!A42</f>
        <v>Elliot Smith</v>
      </c>
      <c r="B41" t="str">
        <f>VLOOKUP($A41,Customer_Data!$A$1:$R$161,3,TRUE)</f>
        <v>103 Glenartney St.</v>
      </c>
      <c r="C41" t="str">
        <f>VLOOKUP($A41,Customer_Data!$A$1:$R$161,4,TRUE)</f>
        <v>Brandon</v>
      </c>
      <c r="D41" t="str">
        <f>VLOOKUP($A41,Customer_Data!$A$1:$R$161,5,TRUE)</f>
        <v>MS</v>
      </c>
      <c r="E41">
        <f>VLOOKUP($A41,Customer_Data!$A$1:$R$161,6,TRUE)</f>
        <v>39042</v>
      </c>
      <c r="F41" s="207">
        <f>Applications!B42</f>
        <v>45773</v>
      </c>
      <c r="G41" s="207" t="str">
        <f>Applications!E42</f>
        <v>Matthew Stowers</v>
      </c>
      <c r="H41">
        <f>Applications!F42</f>
        <v>48160</v>
      </c>
      <c r="I41" s="207" t="str">
        <f>Applications!G42</f>
        <v>Spring Preemerge (Apr)</v>
      </c>
      <c r="J41">
        <f>Applications!H42</f>
        <v>13500</v>
      </c>
      <c r="L41" t="str">
        <f>Applications!J42</f>
        <v/>
      </c>
      <c r="M41" t="e">
        <f>Applications!K42</f>
        <v>#N/A</v>
      </c>
      <c r="N41" t="e">
        <f>Applications!L42</f>
        <v>#N/A</v>
      </c>
      <c r="O41" t="e">
        <f>Applications!M42</f>
        <v>#N/A</v>
      </c>
      <c r="P41" t="str">
        <f>Applications!N42</f>
        <v>Triplet SF (3-Way) 228-312</v>
      </c>
      <c r="Q41" t="str">
        <f>Applications!O42</f>
        <v>2,4-D, dimethylamine salt; Dicamba, dimethylamine salt;Mecoprop-p (MCPP-p), dimethylamine salt</v>
      </c>
      <c r="R41">
        <f>Applications!P42</f>
        <v>24</v>
      </c>
      <c r="S41">
        <f>Applications!Q42</f>
        <v>7.4380165289256208</v>
      </c>
      <c r="T41" t="str">
        <f>Applications!R42</f>
        <v>Certinty Turf 59639-226</v>
      </c>
      <c r="U41" t="str">
        <f>Applications!S42</f>
        <v>Sulfosulfuron</v>
      </c>
      <c r="V41">
        <f>Applications!T42</f>
        <v>0</v>
      </c>
      <c r="W41">
        <f>Applications!U42</f>
        <v>0</v>
      </c>
      <c r="X41" t="b">
        <f>Applications!V42</f>
        <v>0</v>
      </c>
      <c r="Y41" t="e">
        <f>Applications!W42</f>
        <v>#N/A</v>
      </c>
      <c r="Z41" t="e">
        <f>Applications!X42</f>
        <v>#N/A</v>
      </c>
      <c r="AA41" t="e">
        <f>Applications!Y42</f>
        <v>#N/A</v>
      </c>
      <c r="AB41">
        <f>Applications!Z42</f>
        <v>0</v>
      </c>
      <c r="AC41">
        <f>Applications!AA42</f>
        <v>0</v>
      </c>
      <c r="AD41">
        <f>Applications!AB42</f>
        <v>0</v>
      </c>
      <c r="AE41">
        <f>Applications!AC42</f>
        <v>0</v>
      </c>
    </row>
    <row r="42" spans="1:31" hidden="1">
      <c r="A42" t="str">
        <f>Applications!A43</f>
        <v>Bo Whatley</v>
      </c>
      <c r="B42" t="str">
        <f>VLOOKUP($A42,Customer_Data!$A$1:$R$161,3,TRUE)</f>
        <v>126 Cypress Ridge Drive</v>
      </c>
      <c r="C42" t="str">
        <f>VLOOKUP($A42,Customer_Data!$A$1:$R$161,4,TRUE)</f>
        <v>Brandon</v>
      </c>
      <c r="D42" t="str">
        <f>VLOOKUP($A42,Customer_Data!$A$1:$R$161,5,TRUE)</f>
        <v>MS</v>
      </c>
      <c r="E42">
        <f>VLOOKUP($A42,Customer_Data!$A$1:$R$161,6,TRUE)</f>
        <v>39042</v>
      </c>
      <c r="F42" s="207">
        <f>Applications!B43</f>
        <v>45773</v>
      </c>
      <c r="G42" s="207" t="str">
        <f>Applications!E43</f>
        <v>Matthew Stowers</v>
      </c>
      <c r="H42">
        <f>Applications!F43</f>
        <v>48160</v>
      </c>
      <c r="I42" s="207" t="str">
        <f>Applications!G43</f>
        <v>Spring Preemerge (Apr)</v>
      </c>
      <c r="J42">
        <f>Applications!H43</f>
        <v>2750</v>
      </c>
      <c r="L42" t="str">
        <f>Applications!J43</f>
        <v/>
      </c>
      <c r="M42" t="e">
        <f>Applications!K43</f>
        <v>#N/A</v>
      </c>
      <c r="N42" t="e">
        <f>Applications!L43</f>
        <v>#N/A</v>
      </c>
      <c r="O42" t="e">
        <f>Applications!M43</f>
        <v>#N/A</v>
      </c>
      <c r="P42" t="str">
        <f>Applications!N43</f>
        <v>Triplet SF (3-Way) 228-312</v>
      </c>
      <c r="Q42" t="str">
        <f>Applications!O43</f>
        <v>2,4-D, dimethylamine salt; Dicamba, dimethylamine salt;Mecoprop-p (MCPP-p), dimethylamine salt</v>
      </c>
      <c r="R42">
        <f>Applications!P43</f>
        <v>24</v>
      </c>
      <c r="S42">
        <f>Applications!Q43</f>
        <v>1.5151515151515151</v>
      </c>
      <c r="T42" t="str">
        <f>Applications!R43</f>
        <v>Certinty Turf 59639-226</v>
      </c>
      <c r="U42" t="str">
        <f>Applications!S43</f>
        <v>Sulfosulfuron</v>
      </c>
      <c r="V42">
        <f>Applications!T43</f>
        <v>0</v>
      </c>
      <c r="W42">
        <f>Applications!U43</f>
        <v>0</v>
      </c>
      <c r="X42" t="b">
        <f>Applications!V43</f>
        <v>0</v>
      </c>
      <c r="Y42" t="e">
        <f>Applications!W43</f>
        <v>#N/A</v>
      </c>
      <c r="Z42" t="e">
        <f>Applications!X43</f>
        <v>#N/A</v>
      </c>
      <c r="AA42" t="e">
        <f>Applications!Y43</f>
        <v>#N/A</v>
      </c>
      <c r="AB42">
        <f>Applications!Z43</f>
        <v>0</v>
      </c>
      <c r="AC42">
        <f>Applications!AA43</f>
        <v>0</v>
      </c>
      <c r="AD42">
        <f>Applications!AB43</f>
        <v>0</v>
      </c>
      <c r="AE42">
        <f>Applications!AC43</f>
        <v>0</v>
      </c>
    </row>
    <row r="43" spans="1:31" hidden="1">
      <c r="A43" t="str">
        <f>Applications!A44</f>
        <v>Luther Holmes</v>
      </c>
      <c r="B43" t="str">
        <f>VLOOKUP($A43,Customer_Data!$A$1:$R$161,3,TRUE)</f>
        <v>5481 Kaywood Drive</v>
      </c>
      <c r="C43" t="str">
        <f>VLOOKUP($A43,Customer_Data!$A$1:$R$161,4,TRUE)</f>
        <v>Jackson</v>
      </c>
      <c r="D43" t="str">
        <f>VLOOKUP($A43,Customer_Data!$A$1:$R$161,5,TRUE)</f>
        <v>MS</v>
      </c>
      <c r="E43">
        <f>VLOOKUP($A43,Customer_Data!$A$1:$R$161,6,TRUE)</f>
        <v>39211</v>
      </c>
      <c r="F43" s="207">
        <f>Applications!B44</f>
        <v>45774</v>
      </c>
      <c r="G43" s="207" t="str">
        <f>Applications!E44</f>
        <v>Matthew Stowers</v>
      </c>
      <c r="H43">
        <f>Applications!F44</f>
        <v>48160</v>
      </c>
      <c r="I43" s="207" t="str">
        <f>Applications!G44</f>
        <v>Spring Preemerge (Apr)</v>
      </c>
      <c r="J43">
        <f>Applications!H44</f>
        <v>3687</v>
      </c>
      <c r="L43" t="str">
        <f>Applications!J44</f>
        <v/>
      </c>
      <c r="M43" t="e">
        <f>Applications!K44</f>
        <v>#N/A</v>
      </c>
      <c r="N43" t="e">
        <f>Applications!L44</f>
        <v>#N/A</v>
      </c>
      <c r="O43" t="e">
        <f>Applications!M44</f>
        <v>#N/A</v>
      </c>
      <c r="P43" t="str">
        <f>Applications!N44</f>
        <v>Triplet SF (3-Way) 228-312</v>
      </c>
      <c r="Q43" t="str">
        <f>Applications!O44</f>
        <v>2,4-D, dimethylamine salt; Dicamba, dimethylamine salt;Mecoprop-p (MCPP-p), dimethylamine salt</v>
      </c>
      <c r="R43">
        <f>Applications!P44</f>
        <v>24</v>
      </c>
      <c r="S43">
        <f>Applications!Q44</f>
        <v>2.0314049586776859</v>
      </c>
      <c r="T43" t="str">
        <f>Applications!R44</f>
        <v>Certinty Turf 59639-226</v>
      </c>
      <c r="U43" t="str">
        <f>Applications!S44</f>
        <v>Sulfosulfuron</v>
      </c>
      <c r="V43">
        <f>Applications!T44</f>
        <v>0</v>
      </c>
      <c r="W43">
        <f>Applications!U44</f>
        <v>0</v>
      </c>
      <c r="X43" t="b">
        <f>Applications!V44</f>
        <v>0</v>
      </c>
      <c r="Y43" t="e">
        <f>Applications!W44</f>
        <v>#N/A</v>
      </c>
      <c r="Z43" t="e">
        <f>Applications!X44</f>
        <v>#N/A</v>
      </c>
      <c r="AA43" t="e">
        <f>Applications!Y44</f>
        <v>#N/A</v>
      </c>
      <c r="AB43">
        <f>Applications!Z44</f>
        <v>0</v>
      </c>
      <c r="AC43">
        <f>Applications!AA44</f>
        <v>0</v>
      </c>
      <c r="AD43">
        <f>Applications!AB44</f>
        <v>0</v>
      </c>
      <c r="AE43">
        <f>Applications!AC44</f>
        <v>0</v>
      </c>
    </row>
    <row r="44" spans="1:31" hidden="1">
      <c r="A44" t="str">
        <f>Applications!A45</f>
        <v>Riley Cooper</v>
      </c>
      <c r="B44" t="str">
        <f>VLOOKUP($A44,Customer_Data!$A$1:$R$161,3,TRUE)</f>
        <v>227 Westfield Road</v>
      </c>
      <c r="C44" t="str">
        <f>VLOOKUP($A44,Customer_Data!$A$1:$R$161,4,TRUE)</f>
        <v>Ridgeland</v>
      </c>
      <c r="D44" t="str">
        <f>VLOOKUP($A44,Customer_Data!$A$1:$R$161,5,TRUE)</f>
        <v>MS</v>
      </c>
      <c r="E44">
        <f>VLOOKUP($A44,Customer_Data!$A$1:$R$161,6,TRUE)</f>
        <v>39157</v>
      </c>
      <c r="F44" s="207">
        <f>Applications!B45</f>
        <v>45775</v>
      </c>
      <c r="G44" s="207" t="str">
        <f>Applications!E45</f>
        <v>Matthew Stowers</v>
      </c>
      <c r="H44">
        <f>Applications!F45</f>
        <v>48160</v>
      </c>
      <c r="I44" s="207" t="str">
        <f>Applications!G45</f>
        <v>Spring Preemerge (Apr)</v>
      </c>
      <c r="J44">
        <f>Applications!H45</f>
        <v>4150</v>
      </c>
      <c r="L44" t="str">
        <f>Applications!J45</f>
        <v/>
      </c>
      <c r="M44" t="e">
        <f>Applications!K45</f>
        <v>#N/A</v>
      </c>
      <c r="N44" t="e">
        <f>Applications!L45</f>
        <v>#N/A</v>
      </c>
      <c r="O44" t="e">
        <f>Applications!M45</f>
        <v>#N/A</v>
      </c>
      <c r="P44" t="str">
        <f>Applications!N45</f>
        <v>Triplet SF (3-Way) 228-312</v>
      </c>
      <c r="Q44" t="str">
        <f>Applications!O45</f>
        <v>2,4-D, dimethylamine salt; Dicamba, dimethylamine salt;Mecoprop-p (MCPP-p), dimethylamine salt</v>
      </c>
      <c r="R44">
        <f>Applications!P45</f>
        <v>24</v>
      </c>
      <c r="S44">
        <f>Applications!Q45</f>
        <v>2.2865013774104685</v>
      </c>
      <c r="T44" t="str">
        <f>Applications!R45</f>
        <v>Certinty Turf 59639-226</v>
      </c>
      <c r="U44" t="str">
        <f>Applications!S45</f>
        <v>Sulfosulfuron</v>
      </c>
      <c r="V44">
        <f>Applications!T45</f>
        <v>0</v>
      </c>
      <c r="W44">
        <f>Applications!U45</f>
        <v>0</v>
      </c>
      <c r="X44" t="b">
        <f>Applications!V45</f>
        <v>0</v>
      </c>
      <c r="Y44" t="e">
        <f>Applications!W45</f>
        <v>#N/A</v>
      </c>
      <c r="Z44" t="e">
        <f>Applications!X45</f>
        <v>#N/A</v>
      </c>
      <c r="AA44" t="e">
        <f>Applications!Y45</f>
        <v>#N/A</v>
      </c>
      <c r="AB44">
        <f>Applications!Z45</f>
        <v>0</v>
      </c>
      <c r="AC44">
        <f>Applications!AA45</f>
        <v>0</v>
      </c>
      <c r="AD44">
        <f>Applications!AB45</f>
        <v>0</v>
      </c>
      <c r="AE44">
        <f>Applications!AC45</f>
        <v>0</v>
      </c>
    </row>
    <row r="45" spans="1:31" hidden="1">
      <c r="A45" t="str">
        <f>Applications!A46</f>
        <v>Thomas Wilson</v>
      </c>
      <c r="B45" t="str">
        <f>VLOOKUP($A45,Customer_Data!$A$1:$R$161,3,TRUE)</f>
        <v>213 Westfield Road</v>
      </c>
      <c r="C45" t="str">
        <f>VLOOKUP($A45,Customer_Data!$A$1:$R$161,4,TRUE)</f>
        <v>Ridgeland</v>
      </c>
      <c r="D45" t="str">
        <f>VLOOKUP($A45,Customer_Data!$A$1:$R$161,5,TRUE)</f>
        <v>MS</v>
      </c>
      <c r="E45">
        <f>VLOOKUP($A45,Customer_Data!$A$1:$R$161,6,TRUE)</f>
        <v>39157</v>
      </c>
      <c r="F45" s="207">
        <f>Applications!B46</f>
        <v>45775</v>
      </c>
      <c r="G45" s="207" t="str">
        <f>Applications!E46</f>
        <v>Matthew Stowers</v>
      </c>
      <c r="H45">
        <f>Applications!F46</f>
        <v>48160</v>
      </c>
      <c r="I45" s="207" t="str">
        <f>Applications!G46</f>
        <v>Spring Preemerge (Apr)</v>
      </c>
      <c r="J45">
        <f>Applications!H46</f>
        <v>3875</v>
      </c>
      <c r="L45" t="str">
        <f>Applications!J46</f>
        <v/>
      </c>
      <c r="M45" t="e">
        <f>Applications!K46</f>
        <v>#N/A</v>
      </c>
      <c r="N45" t="e">
        <f>Applications!L46</f>
        <v>#N/A</v>
      </c>
      <c r="O45" t="e">
        <f>Applications!M46</f>
        <v>#N/A</v>
      </c>
      <c r="P45" t="str">
        <f>Applications!N46</f>
        <v>Triplet SF (3-Way) 228-312</v>
      </c>
      <c r="Q45" t="str">
        <f>Applications!O46</f>
        <v>2,4-D, dimethylamine salt; Dicamba, dimethylamine salt;Mecoprop-p (MCPP-p), dimethylamine salt</v>
      </c>
      <c r="R45">
        <f>Applications!P46</f>
        <v>24</v>
      </c>
      <c r="S45">
        <f>Applications!Q46</f>
        <v>2.1349862258953167</v>
      </c>
      <c r="T45" t="str">
        <f>Applications!R46</f>
        <v>Certinty Turf 59639-226</v>
      </c>
      <c r="U45" t="str">
        <f>Applications!S46</f>
        <v>Sulfosulfuron</v>
      </c>
      <c r="V45">
        <f>Applications!T46</f>
        <v>0</v>
      </c>
      <c r="W45">
        <f>Applications!U46</f>
        <v>0</v>
      </c>
      <c r="X45" t="b">
        <f>Applications!V46</f>
        <v>0</v>
      </c>
      <c r="Y45" t="e">
        <f>Applications!W46</f>
        <v>#N/A</v>
      </c>
      <c r="Z45" t="e">
        <f>Applications!X46</f>
        <v>#N/A</v>
      </c>
      <c r="AA45" t="e">
        <f>Applications!Y46</f>
        <v>#N/A</v>
      </c>
      <c r="AB45">
        <f>Applications!Z46</f>
        <v>0</v>
      </c>
      <c r="AC45">
        <f>Applications!AA46</f>
        <v>0</v>
      </c>
      <c r="AD45">
        <f>Applications!AB46</f>
        <v>0</v>
      </c>
      <c r="AE45">
        <f>Applications!AC46</f>
        <v>0</v>
      </c>
    </row>
    <row r="46" spans="1:31" hidden="1">
      <c r="A46" t="str">
        <f>Applications!A47</f>
        <v>Danny Cooper</v>
      </c>
      <c r="B46" t="str">
        <f>VLOOKUP($A46,Customer_Data!$A$1:$R$161,3,TRUE)</f>
        <v>129 Sawbridge Drive</v>
      </c>
      <c r="C46" t="str">
        <f>VLOOKUP($A46,Customer_Data!$A$1:$R$161,4,TRUE)</f>
        <v>Ridgeland</v>
      </c>
      <c r="D46" t="str">
        <f>VLOOKUP($A46,Customer_Data!$A$1:$R$161,5,TRUE)</f>
        <v>MS</v>
      </c>
      <c r="E46">
        <f>VLOOKUP($A46,Customer_Data!$A$1:$R$161,6,TRUE)</f>
        <v>39157</v>
      </c>
      <c r="F46" s="207">
        <f>Applications!B47</f>
        <v>45775</v>
      </c>
      <c r="G46" s="207" t="str">
        <f>Applications!E47</f>
        <v>Matthew Stowers</v>
      </c>
      <c r="H46">
        <f>Applications!F47</f>
        <v>48160</v>
      </c>
      <c r="I46" s="207" t="str">
        <f>Applications!G47</f>
        <v>Spring Preemerge (Apr)</v>
      </c>
      <c r="J46">
        <f>Applications!H47</f>
        <v>7000</v>
      </c>
      <c r="L46" t="str">
        <f>Applications!J47</f>
        <v/>
      </c>
      <c r="M46" t="e">
        <f>Applications!K47</f>
        <v>#N/A</v>
      </c>
      <c r="N46" t="e">
        <f>Applications!L47</f>
        <v>#N/A</v>
      </c>
      <c r="O46" t="e">
        <f>Applications!M47</f>
        <v>#N/A</v>
      </c>
      <c r="P46" t="str">
        <f>Applications!N47</f>
        <v>Triplet SF (3-Way) 228-312</v>
      </c>
      <c r="Q46" t="str">
        <f>Applications!O47</f>
        <v>2,4-D, dimethylamine salt; Dicamba, dimethylamine salt;Mecoprop-p (MCPP-p), dimethylamine salt</v>
      </c>
      <c r="R46">
        <f>Applications!P47</f>
        <v>24</v>
      </c>
      <c r="S46">
        <f>Applications!Q47</f>
        <v>3.8567493112947657</v>
      </c>
      <c r="T46" t="str">
        <f>Applications!R47</f>
        <v>Certinty Turf 59639-226</v>
      </c>
      <c r="U46" t="str">
        <f>Applications!S47</f>
        <v>Sulfosulfuron</v>
      </c>
      <c r="V46">
        <f>Applications!T47</f>
        <v>0</v>
      </c>
      <c r="W46">
        <f>Applications!U47</f>
        <v>0</v>
      </c>
      <c r="X46" t="b">
        <f>Applications!V47</f>
        <v>0</v>
      </c>
      <c r="Y46" t="e">
        <f>Applications!W47</f>
        <v>#N/A</v>
      </c>
      <c r="Z46" t="e">
        <f>Applications!X47</f>
        <v>#N/A</v>
      </c>
      <c r="AA46" t="e">
        <f>Applications!Y47</f>
        <v>#N/A</v>
      </c>
      <c r="AB46">
        <f>Applications!Z47</f>
        <v>0</v>
      </c>
      <c r="AC46">
        <f>Applications!AA47</f>
        <v>0</v>
      </c>
      <c r="AD46">
        <f>Applications!AB47</f>
        <v>0</v>
      </c>
      <c r="AE46">
        <f>Applications!AC47</f>
        <v>0</v>
      </c>
    </row>
    <row r="47" spans="1:31" hidden="1">
      <c r="A47" t="str">
        <f>Applications!A48</f>
        <v>Steve Edwards</v>
      </c>
      <c r="B47" t="str">
        <f>VLOOKUP($A47,Customer_Data!$A$1:$R$161,3,TRUE)</f>
        <v>71 Saint Andrews Drive</v>
      </c>
      <c r="C47" t="str">
        <f>VLOOKUP($A47,Customer_Data!$A$1:$R$161,4,TRUE)</f>
        <v>Jackson</v>
      </c>
      <c r="D47" t="str">
        <f>VLOOKUP($A47,Customer_Data!$A$1:$R$161,5,TRUE)</f>
        <v>MS</v>
      </c>
      <c r="E47">
        <f>VLOOKUP($A47,Customer_Data!$A$1:$R$161,6,TRUE)</f>
        <v>39211</v>
      </c>
      <c r="F47" s="207">
        <f>Applications!B48</f>
        <v>45775</v>
      </c>
      <c r="G47" s="207" t="str">
        <f>Applications!E48</f>
        <v>Matthew Stowers</v>
      </c>
      <c r="H47">
        <f>Applications!F48</f>
        <v>48160</v>
      </c>
      <c r="I47" s="207" t="str">
        <f>Applications!G48</f>
        <v>Spring Preemerge (Apr)</v>
      </c>
      <c r="J47">
        <f>Applications!H48</f>
        <v>9000</v>
      </c>
      <c r="L47" t="str">
        <f>Applications!J48</f>
        <v/>
      </c>
      <c r="M47" t="e">
        <f>Applications!K48</f>
        <v>#N/A</v>
      </c>
      <c r="N47" t="e">
        <f>Applications!L48</f>
        <v>#N/A</v>
      </c>
      <c r="O47" t="e">
        <f>Applications!M48</f>
        <v>#N/A</v>
      </c>
      <c r="P47" t="str">
        <f>Applications!N48</f>
        <v>Triplet SF (3-Way) 228-312</v>
      </c>
      <c r="Q47" t="str">
        <f>Applications!O48</f>
        <v>2,4-D, dimethylamine salt; Dicamba, dimethylamine salt;Mecoprop-p (MCPP-p), dimethylamine salt</v>
      </c>
      <c r="R47">
        <f>Applications!P48</f>
        <v>24</v>
      </c>
      <c r="S47">
        <f>Applications!Q48</f>
        <v>4.9586776859504136</v>
      </c>
      <c r="T47" t="str">
        <f>Applications!R48</f>
        <v>Certinty Turf 59639-226</v>
      </c>
      <c r="U47" t="str">
        <f>Applications!S48</f>
        <v>Sulfosulfuron</v>
      </c>
      <c r="V47">
        <f>Applications!T48</f>
        <v>0</v>
      </c>
      <c r="W47">
        <f>Applications!U48</f>
        <v>0</v>
      </c>
      <c r="X47" t="b">
        <f>Applications!V48</f>
        <v>0</v>
      </c>
      <c r="Y47" t="e">
        <f>Applications!W48</f>
        <v>#N/A</v>
      </c>
      <c r="Z47" t="e">
        <f>Applications!X48</f>
        <v>#N/A</v>
      </c>
      <c r="AA47" t="e">
        <f>Applications!Y48</f>
        <v>#N/A</v>
      </c>
      <c r="AB47">
        <f>Applications!Z48</f>
        <v>0</v>
      </c>
      <c r="AC47">
        <f>Applications!AA48</f>
        <v>0</v>
      </c>
      <c r="AD47">
        <f>Applications!AB48</f>
        <v>0</v>
      </c>
      <c r="AE47">
        <f>Applications!AC48</f>
        <v>0</v>
      </c>
    </row>
    <row r="48" spans="1:31" hidden="1">
      <c r="A48" t="str">
        <f>Applications!A49</f>
        <v>Seth Simmons</v>
      </c>
      <c r="B48" t="str">
        <f>VLOOKUP($A48,Customer_Data!$A$1:$R$161,3,TRUE)</f>
        <v>202 Highland Garrison</v>
      </c>
      <c r="C48" t="str">
        <f>VLOOKUP($A48,Customer_Data!$A$1:$R$161,4,TRUE)</f>
        <v>Ridgeland</v>
      </c>
      <c r="D48" t="str">
        <f>VLOOKUP($A48,Customer_Data!$A$1:$R$161,5,TRUE)</f>
        <v>MS</v>
      </c>
      <c r="E48">
        <f>VLOOKUP($A48,Customer_Data!$A$1:$R$161,6,TRUE)</f>
        <v>39157</v>
      </c>
      <c r="F48" s="207">
        <f>Applications!B49</f>
        <v>45775</v>
      </c>
      <c r="G48" s="207" t="str">
        <f>Applications!E49</f>
        <v>Matthew Stowers</v>
      </c>
      <c r="H48">
        <f>Applications!F49</f>
        <v>48160</v>
      </c>
      <c r="I48" s="207" t="str">
        <f>Applications!G49</f>
        <v>Spring Preemerge (Apr)</v>
      </c>
      <c r="J48">
        <f>Applications!H49</f>
        <v>6500</v>
      </c>
      <c r="L48" t="str">
        <f>Applications!J49</f>
        <v/>
      </c>
      <c r="M48" t="e">
        <f>Applications!K49</f>
        <v>#N/A</v>
      </c>
      <c r="N48" t="e">
        <f>Applications!L49</f>
        <v>#N/A</v>
      </c>
      <c r="O48" t="e">
        <f>Applications!M49</f>
        <v>#N/A</v>
      </c>
      <c r="P48" t="str">
        <f>Applications!N49</f>
        <v>Triplet SF (3-Way) 228-312</v>
      </c>
      <c r="Q48" t="str">
        <f>Applications!O49</f>
        <v>2,4-D, dimethylamine salt; Dicamba, dimethylamine salt;Mecoprop-p (MCPP-p), dimethylamine salt</v>
      </c>
      <c r="R48">
        <f>Applications!P49</f>
        <v>24</v>
      </c>
      <c r="S48">
        <f>Applications!Q49</f>
        <v>3.5812672176308542</v>
      </c>
      <c r="T48" t="str">
        <f>Applications!R49</f>
        <v>Certinty Turf 59639-226</v>
      </c>
      <c r="U48" t="str">
        <f>Applications!S49</f>
        <v>Sulfosulfuron</v>
      </c>
      <c r="V48">
        <f>Applications!T49</f>
        <v>0</v>
      </c>
      <c r="W48">
        <f>Applications!U49</f>
        <v>0</v>
      </c>
      <c r="X48" t="b">
        <f>Applications!V49</f>
        <v>0</v>
      </c>
      <c r="Y48" t="e">
        <f>Applications!W49</f>
        <v>#N/A</v>
      </c>
      <c r="Z48" t="e">
        <f>Applications!X49</f>
        <v>#N/A</v>
      </c>
      <c r="AA48" t="e">
        <f>Applications!Y49</f>
        <v>#N/A</v>
      </c>
      <c r="AB48">
        <f>Applications!Z49</f>
        <v>0</v>
      </c>
      <c r="AC48">
        <f>Applications!AA49</f>
        <v>0</v>
      </c>
      <c r="AD48">
        <f>Applications!AB49</f>
        <v>0</v>
      </c>
      <c r="AE48">
        <f>Applications!AC49</f>
        <v>0</v>
      </c>
    </row>
    <row r="49" spans="1:31" hidden="1">
      <c r="A49" t="str">
        <f>Applications!A50</f>
        <v>Luther Stowers</v>
      </c>
      <c r="B49" t="str">
        <f>VLOOKUP($A49,Customer_Data!$A$1:$R$161,3,TRUE)</f>
        <v>325 North Brandon Blvd.</v>
      </c>
      <c r="C49" t="str">
        <f>VLOOKUP($A49,Customer_Data!$A$1:$R$161,4,TRUE)</f>
        <v>Brandon</v>
      </c>
      <c r="D49" t="str">
        <f>VLOOKUP($A49,Customer_Data!$A$1:$R$161,5,TRUE)</f>
        <v>MS</v>
      </c>
      <c r="E49">
        <f>VLOOKUP($A49,Customer_Data!$A$1:$R$161,6,TRUE)</f>
        <v>39042</v>
      </c>
      <c r="F49" s="207">
        <f>Applications!B50</f>
        <v>45781</v>
      </c>
      <c r="G49" s="207" t="str">
        <f>Applications!E50</f>
        <v>Luther Stowers</v>
      </c>
      <c r="H49">
        <f>Applications!F50</f>
        <v>48182</v>
      </c>
      <c r="I49" s="207" t="str">
        <f>Applications!G50</f>
        <v>Spring Preemerge (Apr)</v>
      </c>
      <c r="J49">
        <f>Applications!H50</f>
        <v>5361</v>
      </c>
      <c r="L49" t="str">
        <f>Applications!J50</f>
        <v/>
      </c>
      <c r="M49" t="e">
        <f>Applications!K50</f>
        <v>#N/A</v>
      </c>
      <c r="N49" t="e">
        <f>Applications!L50</f>
        <v>#N/A</v>
      </c>
      <c r="O49" t="e">
        <f>Applications!M50</f>
        <v>#N/A</v>
      </c>
      <c r="P49" t="str">
        <f>Applications!N50</f>
        <v>Triplet SF (3-Way) 228-312</v>
      </c>
      <c r="Q49" t="str">
        <f>Applications!O50</f>
        <v>2,4-D, dimethylamine salt; Dicamba, dimethylamine salt;Mecoprop-p (MCPP-p), dimethylamine salt</v>
      </c>
      <c r="R49">
        <f>Applications!P50</f>
        <v>24</v>
      </c>
      <c r="S49">
        <f>Applications!Q50</f>
        <v>2.9537190082644629</v>
      </c>
      <c r="T49" t="str">
        <f>Applications!R50</f>
        <v>Certinty Turf 59639-226</v>
      </c>
      <c r="U49" t="str">
        <f>Applications!S50</f>
        <v>Sulfosulfuron</v>
      </c>
      <c r="V49">
        <f>Applications!T50</f>
        <v>0</v>
      </c>
      <c r="W49">
        <f>Applications!U50</f>
        <v>0</v>
      </c>
      <c r="X49" t="b">
        <f>Applications!V50</f>
        <v>0</v>
      </c>
      <c r="Y49" t="e">
        <f>Applications!W50</f>
        <v>#N/A</v>
      </c>
      <c r="Z49" t="e">
        <f>Applications!X50</f>
        <v>#N/A</v>
      </c>
      <c r="AA49" t="e">
        <f>Applications!Y50</f>
        <v>#N/A</v>
      </c>
      <c r="AB49">
        <f>Applications!Z50</f>
        <v>0</v>
      </c>
      <c r="AC49">
        <f>Applications!AA50</f>
        <v>0</v>
      </c>
      <c r="AD49">
        <f>Applications!AB50</f>
        <v>0</v>
      </c>
      <c r="AE49">
        <f>Applications!AC50</f>
        <v>0</v>
      </c>
    </row>
    <row r="50" spans="1:31" hidden="1">
      <c r="A50" t="str">
        <f>Applications!A94</f>
        <v>Carl Easley</v>
      </c>
      <c r="B50" t="str">
        <f>VLOOKUP($A50,Customer_Data!$A$1:$R$161,3,TRUE)</f>
        <v>631 Big Valley Loop</v>
      </c>
      <c r="C50" t="str">
        <f>VLOOKUP($A50,Customer_Data!$A$1:$R$161,4,TRUE)</f>
        <v>Flowood</v>
      </c>
      <c r="D50" t="str">
        <f>VLOOKUP($A50,Customer_Data!$A$1:$R$161,5,TRUE)</f>
        <v>MS</v>
      </c>
      <c r="E50">
        <f>VLOOKUP($A50,Customer_Data!$A$1:$R$161,6,TRUE)</f>
        <v>39047</v>
      </c>
      <c r="F50" s="207">
        <f>Applications!B94</f>
        <v>45798</v>
      </c>
      <c r="G50" s="207" t="str">
        <f>Applications!E94</f>
        <v>Matthew Stowers</v>
      </c>
      <c r="H50">
        <f>Applications!F94</f>
        <v>48160</v>
      </c>
      <c r="I50" s="207" t="str">
        <f>Applications!G94</f>
        <v>Fertilize</v>
      </c>
      <c r="J50">
        <f>Applications!H94</f>
        <v>8000</v>
      </c>
      <c r="L50" t="str">
        <f>Applications!J94</f>
        <v>Harrell's 34-0-5</v>
      </c>
      <c r="M50" t="str">
        <f>Applications!K94</f>
        <v>Nitrogen</v>
      </c>
      <c r="N50">
        <f>Applications!L94</f>
        <v>2.94</v>
      </c>
      <c r="O50">
        <f>Applications!M94</f>
        <v>0.53994490358126712</v>
      </c>
      <c r="P50" t="str">
        <f>Applications!N94</f>
        <v/>
      </c>
      <c r="Q50" t="e">
        <f>Applications!O94</f>
        <v>#N/A</v>
      </c>
      <c r="R50" t="e">
        <f>Applications!P94</f>
        <v>#N/A</v>
      </c>
      <c r="S50" t="e">
        <f>Applications!Q94</f>
        <v>#N/A</v>
      </c>
      <c r="T50" t="str">
        <f>Applications!R94</f>
        <v/>
      </c>
      <c r="U50" t="e">
        <f>Applications!S94</f>
        <v>#N/A</v>
      </c>
      <c r="V50" t="e">
        <f>Applications!T94</f>
        <v>#N/A</v>
      </c>
      <c r="W50" t="e">
        <f>Applications!U94</f>
        <v>#N/A</v>
      </c>
      <c r="X50" t="b">
        <f>Applications!V94</f>
        <v>0</v>
      </c>
      <c r="Y50" t="e">
        <f>Applications!W94</f>
        <v>#N/A</v>
      </c>
      <c r="Z50" t="e">
        <f>Applications!X94</f>
        <v>#N/A</v>
      </c>
      <c r="AA50" t="e">
        <f>Applications!Y94</f>
        <v>#N/A</v>
      </c>
      <c r="AB50">
        <f>Applications!Z94</f>
        <v>0</v>
      </c>
      <c r="AC50">
        <f>Applications!AA94</f>
        <v>0</v>
      </c>
      <c r="AD50">
        <f>Applications!AB94</f>
        <v>0</v>
      </c>
      <c r="AE50">
        <f>Applications!AC94</f>
        <v>0</v>
      </c>
    </row>
    <row r="51" spans="1:31" hidden="1">
      <c r="A51" t="str">
        <f>Applications!A51</f>
        <v>Max Miller</v>
      </c>
      <c r="B51" t="str">
        <f>VLOOKUP($A51,Customer_Data!$A$1:$R$161,3,TRUE)</f>
        <v>1021 Cumberland Dr.</v>
      </c>
      <c r="C51" t="str">
        <f>VLOOKUP($A51,Customer_Data!$A$1:$R$161,4,TRUE)</f>
        <v>Brandon</v>
      </c>
      <c r="D51" t="str">
        <f>VLOOKUP($A51,Customer_Data!$A$1:$R$161,5,TRUE)</f>
        <v>MS</v>
      </c>
      <c r="E51">
        <f>VLOOKUP($A51,Customer_Data!$A$1:$R$161,6,TRUE)</f>
        <v>39047</v>
      </c>
      <c r="F51" s="207">
        <f>Applications!B51</f>
        <v>45801</v>
      </c>
      <c r="G51" s="207" t="str">
        <f>Applications!E51</f>
        <v>Matthew Stowers</v>
      </c>
      <c r="H51">
        <f>Applications!F51</f>
        <v>48160</v>
      </c>
      <c r="I51" s="207" t="str">
        <f>Applications!G51</f>
        <v>Fertilize</v>
      </c>
      <c r="J51">
        <f>Applications!H51</f>
        <v>3100</v>
      </c>
      <c r="L51" t="str">
        <f>Applications!J51</f>
        <v>Harrell's 34-0-5</v>
      </c>
      <c r="M51" t="str">
        <f>Applications!K51</f>
        <v>Nitrogen</v>
      </c>
      <c r="N51">
        <f>Applications!L51</f>
        <v>2.94</v>
      </c>
      <c r="O51">
        <f>Applications!M51</f>
        <v>0.20922865013774106</v>
      </c>
      <c r="P51" t="str">
        <f>Applications!N51</f>
        <v/>
      </c>
      <c r="Q51" t="e">
        <f>Applications!O51</f>
        <v>#N/A</v>
      </c>
      <c r="R51" t="e">
        <f>Applications!P51</f>
        <v>#N/A</v>
      </c>
      <c r="S51" t="e">
        <f>Applications!Q51</f>
        <v>#N/A</v>
      </c>
      <c r="T51" t="str">
        <f>Applications!R51</f>
        <v/>
      </c>
      <c r="U51" t="e">
        <f>Applications!S51</f>
        <v>#N/A</v>
      </c>
      <c r="V51" t="e">
        <f>Applications!T51</f>
        <v>#N/A</v>
      </c>
      <c r="W51" t="e">
        <f>Applications!U51</f>
        <v>#N/A</v>
      </c>
      <c r="X51" t="b">
        <f>Applications!V51</f>
        <v>0</v>
      </c>
      <c r="Y51" t="e">
        <f>Applications!W51</f>
        <v>#N/A</v>
      </c>
      <c r="Z51" t="e">
        <f>Applications!X51</f>
        <v>#N/A</v>
      </c>
      <c r="AA51" t="e">
        <f>Applications!Y51</f>
        <v>#N/A</v>
      </c>
      <c r="AB51">
        <f>Applications!Z51</f>
        <v>0</v>
      </c>
      <c r="AC51">
        <f>Applications!AA51</f>
        <v>0</v>
      </c>
      <c r="AD51">
        <f>Applications!AB51</f>
        <v>0</v>
      </c>
      <c r="AE51">
        <f>Applications!AC51</f>
        <v>0</v>
      </c>
    </row>
    <row r="52" spans="1:31" hidden="1">
      <c r="A52" t="str">
        <f>Applications!A54</f>
        <v>Dot Stuart</v>
      </c>
      <c r="B52" t="str">
        <f>VLOOKUP($A52,Customer_Data!$A$1:$R$161,3,TRUE)</f>
        <v>414 Providence Drive</v>
      </c>
      <c r="C52" t="str">
        <f>VLOOKUP($A52,Customer_Data!$A$1:$R$161,4,TRUE)</f>
        <v>Brandon</v>
      </c>
      <c r="D52" t="str">
        <f>VLOOKUP($A52,Customer_Data!$A$1:$R$161,5,TRUE)</f>
        <v>MS</v>
      </c>
      <c r="E52">
        <f>VLOOKUP($A52,Customer_Data!$A$1:$R$161,6,TRUE)</f>
        <v>39042</v>
      </c>
      <c r="F52" s="207">
        <f>Applications!B54</f>
        <v>45801</v>
      </c>
      <c r="G52" s="207" t="str">
        <f>Applications!E54</f>
        <v>Luther Stowers</v>
      </c>
      <c r="H52">
        <f>Applications!F54</f>
        <v>48182</v>
      </c>
      <c r="I52" s="207" t="str">
        <f>Applications!G54</f>
        <v>Fertilize</v>
      </c>
      <c r="J52">
        <f>Applications!H54</f>
        <v>1800</v>
      </c>
      <c r="L52" t="str">
        <f>Applications!J54</f>
        <v>Harrell's 34-0-5</v>
      </c>
      <c r="M52" t="str">
        <f>Applications!K54</f>
        <v>Nitrogen</v>
      </c>
      <c r="N52">
        <f>Applications!L54</f>
        <v>2.94</v>
      </c>
      <c r="O52">
        <f>Applications!M54</f>
        <v>0.12148760330578512</v>
      </c>
      <c r="P52" t="str">
        <f>Applications!N54</f>
        <v/>
      </c>
      <c r="Q52" t="e">
        <f>Applications!O54</f>
        <v>#N/A</v>
      </c>
      <c r="R52" t="e">
        <f>Applications!P54</f>
        <v>#N/A</v>
      </c>
      <c r="S52" t="e">
        <f>Applications!Q54</f>
        <v>#N/A</v>
      </c>
      <c r="T52" t="str">
        <f>Applications!R54</f>
        <v/>
      </c>
      <c r="U52" t="e">
        <f>Applications!S54</f>
        <v>#N/A</v>
      </c>
      <c r="V52" t="e">
        <f>Applications!T54</f>
        <v>#N/A</v>
      </c>
      <c r="W52" t="e">
        <f>Applications!U54</f>
        <v>#N/A</v>
      </c>
      <c r="X52" t="b">
        <f>Applications!V54</f>
        <v>0</v>
      </c>
      <c r="Y52" t="e">
        <f>Applications!W54</f>
        <v>#N/A</v>
      </c>
      <c r="Z52" t="e">
        <f>Applications!X54</f>
        <v>#N/A</v>
      </c>
      <c r="AA52" t="e">
        <f>Applications!Y54</f>
        <v>#N/A</v>
      </c>
      <c r="AB52">
        <f>Applications!Z54</f>
        <v>0</v>
      </c>
      <c r="AC52">
        <f>Applications!AA54</f>
        <v>0</v>
      </c>
      <c r="AD52">
        <f>Applications!AB54</f>
        <v>0</v>
      </c>
      <c r="AE52">
        <f>Applications!AC54</f>
        <v>0</v>
      </c>
    </row>
    <row r="53" spans="1:31" hidden="1">
      <c r="A53" t="str">
        <f>Applications!A57</f>
        <v>Luther Holmes</v>
      </c>
      <c r="B53" t="str">
        <f>VLOOKUP($A53,Customer_Data!$A$1:$R$161,3,TRUE)</f>
        <v>5481 Kaywood Drive</v>
      </c>
      <c r="C53" t="str">
        <f>VLOOKUP($A53,Customer_Data!$A$1:$R$161,4,TRUE)</f>
        <v>Jackson</v>
      </c>
      <c r="D53" t="str">
        <f>VLOOKUP($A53,Customer_Data!$A$1:$R$161,5,TRUE)</f>
        <v>MS</v>
      </c>
      <c r="E53">
        <f>VLOOKUP($A53,Customer_Data!$A$1:$R$161,6,TRUE)</f>
        <v>39211</v>
      </c>
      <c r="F53" s="207">
        <f>Applications!B57</f>
        <v>45801</v>
      </c>
      <c r="G53" s="207" t="str">
        <f>Applications!E57</f>
        <v>Luther Stowers</v>
      </c>
      <c r="H53">
        <f>Applications!F57</f>
        <v>48182</v>
      </c>
      <c r="I53" s="207" t="str">
        <f>Applications!G57</f>
        <v>Fertilize</v>
      </c>
      <c r="J53">
        <f>Applications!H57</f>
        <v>3687</v>
      </c>
      <c r="L53" t="str">
        <f>Applications!J57</f>
        <v>Harrell's 34-0-5</v>
      </c>
      <c r="M53" t="str">
        <f>Applications!K57</f>
        <v>Nitrogen</v>
      </c>
      <c r="N53">
        <f>Applications!L57</f>
        <v>2.94</v>
      </c>
      <c r="O53">
        <f>Applications!M57</f>
        <v>0.24884710743801652</v>
      </c>
      <c r="P53" t="str">
        <f>Applications!N57</f>
        <v/>
      </c>
      <c r="Q53" t="e">
        <f>Applications!O57</f>
        <v>#N/A</v>
      </c>
      <c r="R53" t="e">
        <f>Applications!P57</f>
        <v>#N/A</v>
      </c>
      <c r="S53" t="e">
        <f>Applications!Q57</f>
        <v>#N/A</v>
      </c>
      <c r="T53" t="str">
        <f>Applications!R57</f>
        <v/>
      </c>
      <c r="U53" t="e">
        <f>Applications!S57</f>
        <v>#N/A</v>
      </c>
      <c r="V53" t="e">
        <f>Applications!T57</f>
        <v>#N/A</v>
      </c>
      <c r="W53" t="e">
        <f>Applications!U57</f>
        <v>#N/A</v>
      </c>
      <c r="X53" t="b">
        <f>Applications!V57</f>
        <v>0</v>
      </c>
      <c r="Y53" t="e">
        <f>Applications!W57</f>
        <v>#N/A</v>
      </c>
      <c r="Z53" t="e">
        <f>Applications!X57</f>
        <v>#N/A</v>
      </c>
      <c r="AA53" t="e">
        <f>Applications!Y57</f>
        <v>#N/A</v>
      </c>
      <c r="AB53">
        <f>Applications!Z57</f>
        <v>0</v>
      </c>
      <c r="AC53">
        <f>Applications!AA57</f>
        <v>0</v>
      </c>
      <c r="AD53">
        <f>Applications!AB57</f>
        <v>0</v>
      </c>
      <c r="AE53">
        <f>Applications!AC57</f>
        <v>0</v>
      </c>
    </row>
    <row r="54" spans="1:31" hidden="1">
      <c r="A54" t="str">
        <f>Applications!A62</f>
        <v>David Fatheree</v>
      </c>
      <c r="B54" t="str">
        <f>VLOOKUP($A54,Customer_Data!$A$1:$R$161,3,TRUE)</f>
        <v>706 Ivywood Court</v>
      </c>
      <c r="C54" t="str">
        <f>VLOOKUP($A54,Customer_Data!$A$1:$R$161,4,TRUE)</f>
        <v>Madison</v>
      </c>
      <c r="D54" t="str">
        <f>VLOOKUP($A54,Customer_Data!$A$1:$R$161,5,TRUE)</f>
        <v>MS</v>
      </c>
      <c r="E54">
        <f>VLOOKUP($A54,Customer_Data!$A$1:$R$161,6,TRUE)</f>
        <v>39110</v>
      </c>
      <c r="F54" s="207">
        <f>Applications!B62</f>
        <v>45801</v>
      </c>
      <c r="G54" s="207" t="str">
        <f>Applications!E62</f>
        <v>Matthew Stowers</v>
      </c>
      <c r="H54">
        <f>Applications!F62</f>
        <v>48160</v>
      </c>
      <c r="I54" s="207" t="str">
        <f>Applications!G62</f>
        <v>Fertilize</v>
      </c>
      <c r="J54">
        <f>Applications!H62</f>
        <v>8910</v>
      </c>
      <c r="L54" t="str">
        <f>Applications!J62</f>
        <v>Harrell's 34-0-5</v>
      </c>
      <c r="M54" t="str">
        <f>Applications!K62</f>
        <v>Nitrogen</v>
      </c>
      <c r="N54">
        <f>Applications!L62</f>
        <v>2.94</v>
      </c>
      <c r="O54">
        <f>Applications!M62</f>
        <v>0.60136363636363643</v>
      </c>
      <c r="P54" t="str">
        <f>Applications!N62</f>
        <v/>
      </c>
      <c r="Q54" t="e">
        <f>Applications!O62</f>
        <v>#N/A</v>
      </c>
      <c r="R54" t="e">
        <f>Applications!P62</f>
        <v>#N/A</v>
      </c>
      <c r="S54" t="e">
        <f>Applications!Q62</f>
        <v>#N/A</v>
      </c>
      <c r="T54" t="str">
        <f>Applications!R62</f>
        <v/>
      </c>
      <c r="U54" t="e">
        <f>Applications!S62</f>
        <v>#N/A</v>
      </c>
      <c r="V54" t="e">
        <f>Applications!T62</f>
        <v>#N/A</v>
      </c>
      <c r="W54" t="e">
        <f>Applications!U62</f>
        <v>#N/A</v>
      </c>
      <c r="X54" t="b">
        <f>Applications!V62</f>
        <v>0</v>
      </c>
      <c r="Y54" t="e">
        <f>Applications!W62</f>
        <v>#N/A</v>
      </c>
      <c r="Z54" t="e">
        <f>Applications!X62</f>
        <v>#N/A</v>
      </c>
      <c r="AA54" t="e">
        <f>Applications!Y62</f>
        <v>#N/A</v>
      </c>
      <c r="AB54">
        <f>Applications!Z62</f>
        <v>0</v>
      </c>
      <c r="AC54">
        <f>Applications!AA62</f>
        <v>0</v>
      </c>
      <c r="AD54">
        <f>Applications!AB62</f>
        <v>0</v>
      </c>
      <c r="AE54">
        <f>Applications!AC62</f>
        <v>0</v>
      </c>
    </row>
    <row r="55" spans="1:31" hidden="1">
      <c r="A55" t="str">
        <f>Applications!A64</f>
        <v>Bo Whatley</v>
      </c>
      <c r="B55" t="str">
        <f>VLOOKUP($A55,Customer_Data!$A$1:$R$161,3,TRUE)</f>
        <v>126 Cypress Ridge Drive</v>
      </c>
      <c r="C55" t="str">
        <f>VLOOKUP($A55,Customer_Data!$A$1:$R$161,4,TRUE)</f>
        <v>Brandon</v>
      </c>
      <c r="D55" t="str">
        <f>VLOOKUP($A55,Customer_Data!$A$1:$R$161,5,TRUE)</f>
        <v>MS</v>
      </c>
      <c r="E55">
        <f>VLOOKUP($A55,Customer_Data!$A$1:$R$161,6,TRUE)</f>
        <v>39042</v>
      </c>
      <c r="F55" s="207">
        <f>Applications!B64</f>
        <v>45801</v>
      </c>
      <c r="G55" s="207" t="str">
        <f>Applications!E64</f>
        <v>Matthew Stowers</v>
      </c>
      <c r="H55">
        <f>Applications!F64</f>
        <v>48160</v>
      </c>
      <c r="I55" s="207" t="str">
        <f>Applications!G64</f>
        <v>Fertilize</v>
      </c>
      <c r="J55">
        <f>Applications!H64</f>
        <v>2750</v>
      </c>
      <c r="L55" t="str">
        <f>Applications!J64</f>
        <v>Harrell's 34-0-5</v>
      </c>
      <c r="M55" t="str">
        <f>Applications!K64</f>
        <v>Nitrogen</v>
      </c>
      <c r="N55">
        <f>Applications!L64</f>
        <v>2.94</v>
      </c>
      <c r="O55">
        <f>Applications!M64</f>
        <v>0.18560606060606061</v>
      </c>
      <c r="P55" t="str">
        <f>Applications!N64</f>
        <v/>
      </c>
      <c r="Q55" t="e">
        <f>Applications!O64</f>
        <v>#N/A</v>
      </c>
      <c r="R55" t="e">
        <f>Applications!P64</f>
        <v>#N/A</v>
      </c>
      <c r="S55" t="e">
        <f>Applications!Q64</f>
        <v>#N/A</v>
      </c>
      <c r="T55" t="str">
        <f>Applications!R64</f>
        <v/>
      </c>
      <c r="U55" t="e">
        <f>Applications!S64</f>
        <v>#N/A</v>
      </c>
      <c r="V55" t="e">
        <f>Applications!T64</f>
        <v>#N/A</v>
      </c>
      <c r="W55" t="e">
        <f>Applications!U64</f>
        <v>#N/A</v>
      </c>
      <c r="X55" t="b">
        <f>Applications!V64</f>
        <v>0</v>
      </c>
      <c r="Y55" t="e">
        <f>Applications!W64</f>
        <v>#N/A</v>
      </c>
      <c r="Z55" t="e">
        <f>Applications!X64</f>
        <v>#N/A</v>
      </c>
      <c r="AA55" t="e">
        <f>Applications!Y64</f>
        <v>#N/A</v>
      </c>
      <c r="AB55">
        <f>Applications!Z64</f>
        <v>0</v>
      </c>
      <c r="AC55">
        <f>Applications!AA64</f>
        <v>0</v>
      </c>
      <c r="AD55">
        <f>Applications!AB64</f>
        <v>0</v>
      </c>
      <c r="AE55">
        <f>Applications!AC64</f>
        <v>0</v>
      </c>
    </row>
    <row r="56" spans="1:31" hidden="1">
      <c r="A56" t="str">
        <f>Applications!A70</f>
        <v>Brandon Bergold</v>
      </c>
      <c r="B56" t="str">
        <f>VLOOKUP($A56,Customer_Data!$A$1:$R$161,3,TRUE)</f>
        <v>3 Glensview Court</v>
      </c>
      <c r="C56" t="str">
        <f>VLOOKUP($A56,Customer_Data!$A$1:$R$161,4,TRUE)</f>
        <v>Brandon</v>
      </c>
      <c r="D56" t="str">
        <f>VLOOKUP($A56,Customer_Data!$A$1:$R$161,5,TRUE)</f>
        <v>MS</v>
      </c>
      <c r="E56">
        <f>VLOOKUP($A56,Customer_Data!$A$1:$R$161,6,TRUE)</f>
        <v>39042</v>
      </c>
      <c r="F56" s="207">
        <f>Applications!B70</f>
        <v>45801</v>
      </c>
      <c r="G56" s="207" t="str">
        <f>Applications!E70</f>
        <v>Matthew Stowers</v>
      </c>
      <c r="H56">
        <f>Applications!F70</f>
        <v>48160</v>
      </c>
      <c r="I56" s="207" t="str">
        <f>Applications!G70</f>
        <v>Fertilize</v>
      </c>
      <c r="J56">
        <f>Applications!H70</f>
        <v>5670</v>
      </c>
      <c r="L56" t="str">
        <f>Applications!J70</f>
        <v>Harrell's 34-0-5</v>
      </c>
      <c r="M56" t="str">
        <f>Applications!K70</f>
        <v>Nitrogen</v>
      </c>
      <c r="N56">
        <f>Applications!L70</f>
        <v>2.94</v>
      </c>
      <c r="O56">
        <f>Applications!M70</f>
        <v>0.38268595041322317</v>
      </c>
      <c r="P56" t="str">
        <f>Applications!N70</f>
        <v/>
      </c>
      <c r="Q56" t="e">
        <f>Applications!O70</f>
        <v>#N/A</v>
      </c>
      <c r="R56" t="e">
        <f>Applications!P70</f>
        <v>#N/A</v>
      </c>
      <c r="S56" t="e">
        <f>Applications!Q70</f>
        <v>#N/A</v>
      </c>
      <c r="T56" t="str">
        <f>Applications!R70</f>
        <v/>
      </c>
      <c r="U56" t="e">
        <f>Applications!S70</f>
        <v>#N/A</v>
      </c>
      <c r="V56" t="e">
        <f>Applications!T70</f>
        <v>#N/A</v>
      </c>
      <c r="W56" t="e">
        <f>Applications!U70</f>
        <v>#N/A</v>
      </c>
      <c r="X56" t="b">
        <f>Applications!V70</f>
        <v>0</v>
      </c>
      <c r="Y56" t="e">
        <f>Applications!W70</f>
        <v>#N/A</v>
      </c>
      <c r="Z56" t="e">
        <f>Applications!X70</f>
        <v>#N/A</v>
      </c>
      <c r="AA56" t="e">
        <f>Applications!Y70</f>
        <v>#N/A</v>
      </c>
      <c r="AB56">
        <f>Applications!Z70</f>
        <v>0</v>
      </c>
      <c r="AC56">
        <f>Applications!AA70</f>
        <v>0</v>
      </c>
      <c r="AD56">
        <f>Applications!AB70</f>
        <v>0</v>
      </c>
      <c r="AE56">
        <f>Applications!AC70</f>
        <v>0</v>
      </c>
    </row>
    <row r="57" spans="1:31" hidden="1">
      <c r="A57" t="str">
        <f>Applications!A72</f>
        <v>Riley Cooper</v>
      </c>
      <c r="B57" t="str">
        <f>VLOOKUP($A57,Customer_Data!$A$1:$R$161,3,TRUE)</f>
        <v>227 Westfield Road</v>
      </c>
      <c r="C57" t="str">
        <f>VLOOKUP($A57,Customer_Data!$A$1:$R$161,4,TRUE)</f>
        <v>Ridgeland</v>
      </c>
      <c r="D57" t="str">
        <f>VLOOKUP($A57,Customer_Data!$A$1:$R$161,5,TRUE)</f>
        <v>MS</v>
      </c>
      <c r="E57">
        <f>VLOOKUP($A57,Customer_Data!$A$1:$R$161,6,TRUE)</f>
        <v>39157</v>
      </c>
      <c r="F57" s="207">
        <f>Applications!B72</f>
        <v>45801</v>
      </c>
      <c r="G57" s="207" t="str">
        <f>Applications!E72</f>
        <v>Matthew Stowers</v>
      </c>
      <c r="H57">
        <f>Applications!F72</f>
        <v>48160</v>
      </c>
      <c r="I57" s="207" t="str">
        <f>Applications!G72</f>
        <v>Fertilize</v>
      </c>
      <c r="J57">
        <f>Applications!H72</f>
        <v>4150</v>
      </c>
      <c r="L57" t="str">
        <f>Applications!J72</f>
        <v>Harrell's 34-0-5</v>
      </c>
      <c r="M57" t="str">
        <f>Applications!K72</f>
        <v>Nitrogen</v>
      </c>
      <c r="N57">
        <f>Applications!L72</f>
        <v>2.94</v>
      </c>
      <c r="O57">
        <f>Applications!M72</f>
        <v>0.28009641873278235</v>
      </c>
      <c r="P57" t="str">
        <f>Applications!N72</f>
        <v/>
      </c>
      <c r="Q57" t="e">
        <f>Applications!O72</f>
        <v>#N/A</v>
      </c>
      <c r="R57" t="e">
        <f>Applications!P72</f>
        <v>#N/A</v>
      </c>
      <c r="S57" t="e">
        <f>Applications!Q72</f>
        <v>#N/A</v>
      </c>
      <c r="T57" t="str">
        <f>Applications!R72</f>
        <v/>
      </c>
      <c r="U57" t="e">
        <f>Applications!S72</f>
        <v>#N/A</v>
      </c>
      <c r="V57" t="e">
        <f>Applications!T72</f>
        <v>#N/A</v>
      </c>
      <c r="W57" t="e">
        <f>Applications!U72</f>
        <v>#N/A</v>
      </c>
      <c r="X57" t="b">
        <f>Applications!V72</f>
        <v>0</v>
      </c>
      <c r="Y57" t="e">
        <f>Applications!W72</f>
        <v>#N/A</v>
      </c>
      <c r="Z57" t="e">
        <f>Applications!X72</f>
        <v>#N/A</v>
      </c>
      <c r="AA57" t="e">
        <f>Applications!Y72</f>
        <v>#N/A</v>
      </c>
      <c r="AB57">
        <f>Applications!Z72</f>
        <v>0</v>
      </c>
      <c r="AC57">
        <f>Applications!AA72</f>
        <v>0</v>
      </c>
      <c r="AD57">
        <f>Applications!AB72</f>
        <v>0</v>
      </c>
      <c r="AE57">
        <f>Applications!AC72</f>
        <v>0</v>
      </c>
    </row>
    <row r="58" spans="1:31" hidden="1">
      <c r="A58" t="str">
        <f>Applications!A74</f>
        <v>Thomas Wilson</v>
      </c>
      <c r="B58" t="str">
        <f>VLOOKUP($A58,Customer_Data!$A$1:$R$161,3,TRUE)</f>
        <v>213 Westfield Road</v>
      </c>
      <c r="C58" t="str">
        <f>VLOOKUP($A58,Customer_Data!$A$1:$R$161,4,TRUE)</f>
        <v>Ridgeland</v>
      </c>
      <c r="D58" t="str">
        <f>VLOOKUP($A58,Customer_Data!$A$1:$R$161,5,TRUE)</f>
        <v>MS</v>
      </c>
      <c r="E58">
        <f>VLOOKUP($A58,Customer_Data!$A$1:$R$161,6,TRUE)</f>
        <v>39157</v>
      </c>
      <c r="F58" s="207">
        <f>Applications!B74</f>
        <v>45801</v>
      </c>
      <c r="G58" s="207" t="str">
        <f>Applications!E74</f>
        <v>Matthew Stowers</v>
      </c>
      <c r="H58">
        <f>Applications!F74</f>
        <v>48160</v>
      </c>
      <c r="I58" s="207" t="str">
        <f>Applications!G74</f>
        <v>Fertilize</v>
      </c>
      <c r="J58">
        <f>Applications!H74</f>
        <v>3875</v>
      </c>
      <c r="L58" t="str">
        <f>Applications!J74</f>
        <v>Harrell's 34-0-5</v>
      </c>
      <c r="M58" t="str">
        <f>Applications!K74</f>
        <v>Nitrogen</v>
      </c>
      <c r="N58">
        <f>Applications!L74</f>
        <v>2.94</v>
      </c>
      <c r="O58">
        <f>Applications!M74</f>
        <v>0.26153581267217629</v>
      </c>
      <c r="P58" t="str">
        <f>Applications!N74</f>
        <v/>
      </c>
      <c r="Q58" t="e">
        <f>Applications!O74</f>
        <v>#N/A</v>
      </c>
      <c r="R58" t="e">
        <f>Applications!P74</f>
        <v>#N/A</v>
      </c>
      <c r="S58" t="e">
        <f>Applications!Q74</f>
        <v>#N/A</v>
      </c>
      <c r="T58" t="str">
        <f>Applications!R74</f>
        <v/>
      </c>
      <c r="U58" t="e">
        <f>Applications!S74</f>
        <v>#N/A</v>
      </c>
      <c r="V58" t="e">
        <f>Applications!T74</f>
        <v>#N/A</v>
      </c>
      <c r="W58" t="e">
        <f>Applications!U74</f>
        <v>#N/A</v>
      </c>
      <c r="X58" t="b">
        <f>Applications!V74</f>
        <v>0</v>
      </c>
      <c r="Y58" t="e">
        <f>Applications!W74</f>
        <v>#N/A</v>
      </c>
      <c r="Z58" t="e">
        <f>Applications!X74</f>
        <v>#N/A</v>
      </c>
      <c r="AA58" t="e">
        <f>Applications!Y74</f>
        <v>#N/A</v>
      </c>
      <c r="AB58">
        <f>Applications!Z74</f>
        <v>0</v>
      </c>
      <c r="AC58">
        <f>Applications!AA74</f>
        <v>0</v>
      </c>
      <c r="AD58">
        <f>Applications!AB74</f>
        <v>0</v>
      </c>
      <c r="AE58">
        <f>Applications!AC74</f>
        <v>0</v>
      </c>
    </row>
    <row r="59" spans="1:31" hidden="1">
      <c r="A59" t="str">
        <f>Applications!A78</f>
        <v>Danny Cooper</v>
      </c>
      <c r="B59" t="str">
        <f>VLOOKUP($A59,Customer_Data!$A$1:$R$161,3,TRUE)</f>
        <v>129 Sawbridge Drive</v>
      </c>
      <c r="C59" t="str">
        <f>VLOOKUP($A59,Customer_Data!$A$1:$R$161,4,TRUE)</f>
        <v>Ridgeland</v>
      </c>
      <c r="D59" t="str">
        <f>VLOOKUP($A59,Customer_Data!$A$1:$R$161,5,TRUE)</f>
        <v>MS</v>
      </c>
      <c r="E59">
        <f>VLOOKUP($A59,Customer_Data!$A$1:$R$161,6,TRUE)</f>
        <v>39157</v>
      </c>
      <c r="F59" s="207">
        <f>Applications!B78</f>
        <v>45801</v>
      </c>
      <c r="G59" s="207" t="str">
        <f>Applications!E78</f>
        <v>Matthew Stowers</v>
      </c>
      <c r="H59">
        <f>Applications!F78</f>
        <v>48160</v>
      </c>
      <c r="I59" s="207" t="str">
        <f>Applications!G78</f>
        <v>Fertilize</v>
      </c>
      <c r="J59">
        <f>Applications!H78</f>
        <v>7000</v>
      </c>
      <c r="L59" t="str">
        <f>Applications!J78</f>
        <v>Harrell's 34-0-5</v>
      </c>
      <c r="M59" t="str">
        <f>Applications!K78</f>
        <v>Nitrogen</v>
      </c>
      <c r="N59">
        <f>Applications!L78</f>
        <v>2.94</v>
      </c>
      <c r="O59">
        <f>Applications!M78</f>
        <v>0.47245179063360881</v>
      </c>
      <c r="P59" t="str">
        <f>Applications!N78</f>
        <v/>
      </c>
      <c r="Q59" t="e">
        <f>Applications!O78</f>
        <v>#N/A</v>
      </c>
      <c r="R59" t="e">
        <f>Applications!P78</f>
        <v>#N/A</v>
      </c>
      <c r="S59" t="e">
        <f>Applications!Q78</f>
        <v>#N/A</v>
      </c>
      <c r="T59" t="str">
        <f>Applications!R78</f>
        <v/>
      </c>
      <c r="U59" t="e">
        <f>Applications!S78</f>
        <v>#N/A</v>
      </c>
      <c r="V59" t="e">
        <f>Applications!T78</f>
        <v>#N/A</v>
      </c>
      <c r="W59" t="e">
        <f>Applications!U78</f>
        <v>#N/A</v>
      </c>
      <c r="X59" t="b">
        <f>Applications!V78</f>
        <v>0</v>
      </c>
      <c r="Y59" t="e">
        <f>Applications!W78</f>
        <v>#N/A</v>
      </c>
      <c r="Z59" t="e">
        <f>Applications!X78</f>
        <v>#N/A</v>
      </c>
      <c r="AA59" t="e">
        <f>Applications!Y78</f>
        <v>#N/A</v>
      </c>
      <c r="AB59">
        <f>Applications!Z78</f>
        <v>0</v>
      </c>
      <c r="AC59">
        <f>Applications!AA78</f>
        <v>0</v>
      </c>
      <c r="AD59">
        <f>Applications!AB78</f>
        <v>0</v>
      </c>
      <c r="AE59">
        <f>Applications!AC78</f>
        <v>0</v>
      </c>
    </row>
    <row r="60" spans="1:31" hidden="1">
      <c r="A60" t="str">
        <f>Applications!A80</f>
        <v>Troy Stokes</v>
      </c>
      <c r="B60" t="str">
        <f>VLOOKUP($A60,Customer_Data!$A$1:$R$161,3,TRUE)</f>
        <v>100 Spring Valley Drive</v>
      </c>
      <c r="C60" t="str">
        <f>VLOOKUP($A60,Customer_Data!$A$1:$R$161,4,TRUE)</f>
        <v>Brandon</v>
      </c>
      <c r="D60" t="str">
        <f>VLOOKUP($A60,Customer_Data!$A$1:$R$161,5,TRUE)</f>
        <v>MS</v>
      </c>
      <c r="E60">
        <f>VLOOKUP($A60,Customer_Data!$A$1:$R$161,6,TRUE)</f>
        <v>39042</v>
      </c>
      <c r="F60" s="207">
        <f>Applications!B80</f>
        <v>45801</v>
      </c>
      <c r="G60" s="207" t="str">
        <f>Applications!E80</f>
        <v>Matthew Stowers</v>
      </c>
      <c r="H60">
        <f>Applications!F80</f>
        <v>48160</v>
      </c>
      <c r="I60" s="207" t="str">
        <f>Applications!G80</f>
        <v>Fertilize</v>
      </c>
      <c r="J60">
        <f>Applications!H80</f>
        <v>9000</v>
      </c>
      <c r="L60" t="str">
        <f>Applications!J80</f>
        <v>Harrell's 34-0-5</v>
      </c>
      <c r="M60" t="str">
        <f>Applications!K80</f>
        <v>Nitrogen</v>
      </c>
      <c r="N60">
        <f>Applications!L80</f>
        <v>2.94</v>
      </c>
      <c r="O60">
        <f>Applications!M80</f>
        <v>0.6074380165289256</v>
      </c>
      <c r="P60" t="str">
        <f>Applications!N80</f>
        <v/>
      </c>
      <c r="Q60" t="e">
        <f>Applications!O80</f>
        <v>#N/A</v>
      </c>
      <c r="R60" t="e">
        <f>Applications!P80</f>
        <v>#N/A</v>
      </c>
      <c r="S60" t="e">
        <f>Applications!Q80</f>
        <v>#N/A</v>
      </c>
      <c r="T60" t="str">
        <f>Applications!R80</f>
        <v/>
      </c>
      <c r="U60" t="e">
        <f>Applications!S80</f>
        <v>#N/A</v>
      </c>
      <c r="V60" t="e">
        <f>Applications!T80</f>
        <v>#N/A</v>
      </c>
      <c r="W60" t="e">
        <f>Applications!U80</f>
        <v>#N/A</v>
      </c>
      <c r="X60" t="b">
        <f>Applications!V80</f>
        <v>0</v>
      </c>
      <c r="Y60" t="e">
        <f>Applications!W80</f>
        <v>#N/A</v>
      </c>
      <c r="Z60" t="e">
        <f>Applications!X80</f>
        <v>#N/A</v>
      </c>
      <c r="AA60" t="e">
        <f>Applications!Y80</f>
        <v>#N/A</v>
      </c>
      <c r="AB60">
        <f>Applications!Z80</f>
        <v>0</v>
      </c>
      <c r="AC60">
        <f>Applications!AA80</f>
        <v>0</v>
      </c>
      <c r="AD60">
        <f>Applications!AB80</f>
        <v>0</v>
      </c>
      <c r="AE60">
        <f>Applications!AC80</f>
        <v>0</v>
      </c>
    </row>
    <row r="61" spans="1:31" hidden="1">
      <c r="A61" t="str">
        <f>Applications!A81</f>
        <v>Steve Edwards</v>
      </c>
      <c r="B61" t="str">
        <f>VLOOKUP($A61,Customer_Data!$A$1:$R$161,3,TRUE)</f>
        <v>71 Saint Andrews Drive</v>
      </c>
      <c r="C61" t="str">
        <f>VLOOKUP($A61,Customer_Data!$A$1:$R$161,4,TRUE)</f>
        <v>Jackson</v>
      </c>
      <c r="D61" t="str">
        <f>VLOOKUP($A61,Customer_Data!$A$1:$R$161,5,TRUE)</f>
        <v>MS</v>
      </c>
      <c r="E61">
        <f>VLOOKUP($A61,Customer_Data!$A$1:$R$161,6,TRUE)</f>
        <v>39211</v>
      </c>
      <c r="F61" s="207">
        <f>Applications!B81</f>
        <v>45801</v>
      </c>
      <c r="G61" s="207" t="str">
        <f>Applications!E81</f>
        <v>Matthew Stowers</v>
      </c>
      <c r="H61">
        <f>Applications!F81</f>
        <v>48160</v>
      </c>
      <c r="I61" s="207" t="str">
        <f>Applications!G81</f>
        <v>Fertilize</v>
      </c>
      <c r="J61">
        <f>Applications!H81</f>
        <v>9000</v>
      </c>
      <c r="L61" t="str">
        <f>Applications!J81</f>
        <v>Harrell's 34-0-5</v>
      </c>
      <c r="M61" t="str">
        <f>Applications!K81</f>
        <v>Nitrogen</v>
      </c>
      <c r="N61">
        <f>Applications!L81</f>
        <v>2.94</v>
      </c>
      <c r="O61">
        <f>Applications!M81</f>
        <v>0.6074380165289256</v>
      </c>
      <c r="P61" t="str">
        <f>Applications!N81</f>
        <v/>
      </c>
      <c r="Q61" t="e">
        <f>Applications!O81</f>
        <v>#N/A</v>
      </c>
      <c r="R61" t="e">
        <f>Applications!P81</f>
        <v>#N/A</v>
      </c>
      <c r="S61" t="e">
        <f>Applications!Q81</f>
        <v>#N/A</v>
      </c>
      <c r="T61" t="str">
        <f>Applications!R81</f>
        <v/>
      </c>
      <c r="U61" t="e">
        <f>Applications!S81</f>
        <v>#N/A</v>
      </c>
      <c r="V61" t="e">
        <f>Applications!T81</f>
        <v>#N/A</v>
      </c>
      <c r="W61" t="e">
        <f>Applications!U81</f>
        <v>#N/A</v>
      </c>
      <c r="X61" t="b">
        <f>Applications!V81</f>
        <v>0</v>
      </c>
      <c r="Y61" t="e">
        <f>Applications!W81</f>
        <v>#N/A</v>
      </c>
      <c r="Z61" t="e">
        <f>Applications!X81</f>
        <v>#N/A</v>
      </c>
      <c r="AA61" t="e">
        <f>Applications!Y81</f>
        <v>#N/A</v>
      </c>
      <c r="AB61">
        <f>Applications!Z81</f>
        <v>0</v>
      </c>
      <c r="AC61">
        <f>Applications!AA81</f>
        <v>0</v>
      </c>
      <c r="AD61">
        <f>Applications!AB81</f>
        <v>0</v>
      </c>
      <c r="AE61">
        <f>Applications!AC81</f>
        <v>0</v>
      </c>
    </row>
    <row r="62" spans="1:31" hidden="1">
      <c r="A62" t="str">
        <f>Applications!A83</f>
        <v>Seth Simmons</v>
      </c>
      <c r="B62" t="str">
        <f>VLOOKUP($A62,Customer_Data!$A$1:$R$161,3,TRUE)</f>
        <v>202 Highland Garrison</v>
      </c>
      <c r="C62" t="str">
        <f>VLOOKUP($A62,Customer_Data!$A$1:$R$161,4,TRUE)</f>
        <v>Ridgeland</v>
      </c>
      <c r="D62" t="str">
        <f>VLOOKUP($A62,Customer_Data!$A$1:$R$161,5,TRUE)</f>
        <v>MS</v>
      </c>
      <c r="E62">
        <f>VLOOKUP($A62,Customer_Data!$A$1:$R$161,6,TRUE)</f>
        <v>39157</v>
      </c>
      <c r="F62" s="207">
        <f>Applications!B83</f>
        <v>45801</v>
      </c>
      <c r="G62" s="207" t="str">
        <f>Applications!E83</f>
        <v>Luther Stowers</v>
      </c>
      <c r="H62">
        <f>Applications!F83</f>
        <v>48182</v>
      </c>
      <c r="I62" s="207" t="str">
        <f>Applications!G83</f>
        <v>Fertilize</v>
      </c>
      <c r="J62">
        <f>Applications!H83</f>
        <v>6500</v>
      </c>
      <c r="L62" t="str">
        <f>Applications!J83</f>
        <v>Harrell's 34-0-5</v>
      </c>
      <c r="M62" t="str">
        <f>Applications!K83</f>
        <v>Nitrogen</v>
      </c>
      <c r="N62">
        <f>Applications!L83</f>
        <v>2.94</v>
      </c>
      <c r="O62">
        <f>Applications!M83</f>
        <v>0.43870523415977958</v>
      </c>
      <c r="P62" t="str">
        <f>Applications!N83</f>
        <v/>
      </c>
      <c r="Q62" t="e">
        <f>Applications!O83</f>
        <v>#N/A</v>
      </c>
      <c r="R62" t="e">
        <f>Applications!P83</f>
        <v>#N/A</v>
      </c>
      <c r="S62" t="e">
        <f>Applications!Q83</f>
        <v>#N/A</v>
      </c>
      <c r="T62" t="str">
        <f>Applications!R83</f>
        <v/>
      </c>
      <c r="U62" t="e">
        <f>Applications!S83</f>
        <v>#N/A</v>
      </c>
      <c r="V62" t="e">
        <f>Applications!T83</f>
        <v>#N/A</v>
      </c>
      <c r="W62" t="e">
        <f>Applications!U83</f>
        <v>#N/A</v>
      </c>
      <c r="X62" t="b">
        <f>Applications!V83</f>
        <v>0</v>
      </c>
      <c r="Y62" t="e">
        <f>Applications!W83</f>
        <v>#N/A</v>
      </c>
      <c r="Z62" t="e">
        <f>Applications!X83</f>
        <v>#N/A</v>
      </c>
      <c r="AA62" t="e">
        <f>Applications!Y83</f>
        <v>#N/A</v>
      </c>
      <c r="AB62">
        <f>Applications!Z83</f>
        <v>0</v>
      </c>
      <c r="AC62">
        <f>Applications!AA83</f>
        <v>0</v>
      </c>
      <c r="AD62">
        <f>Applications!AB83</f>
        <v>0</v>
      </c>
      <c r="AE62">
        <f>Applications!AC83</f>
        <v>0</v>
      </c>
    </row>
    <row r="63" spans="1:31" hidden="1">
      <c r="A63" t="str">
        <f>Applications!A87</f>
        <v>Browning Bergold</v>
      </c>
      <c r="B63" t="str">
        <f>VLOOKUP($A63,Customer_Data!$A$1:$R$161,3,TRUE)</f>
        <v>121 Hidden Hills Drive</v>
      </c>
      <c r="C63" t="str">
        <f>VLOOKUP($A63,Customer_Data!$A$1:$R$161,4,TRUE)</f>
        <v>Madison</v>
      </c>
      <c r="D63" t="str">
        <f>VLOOKUP($A63,Customer_Data!$A$1:$R$161,5,TRUE)</f>
        <v>MS</v>
      </c>
      <c r="E63">
        <f>VLOOKUP($A63,Customer_Data!$A$1:$R$161,6,TRUE)</f>
        <v>39110</v>
      </c>
      <c r="F63" s="207">
        <f>Applications!B87</f>
        <v>45801</v>
      </c>
      <c r="G63" s="207" t="str">
        <f>Applications!E87</f>
        <v>Luther Stowers</v>
      </c>
      <c r="H63">
        <f>Applications!F87</f>
        <v>48182</v>
      </c>
      <c r="I63" s="207" t="str">
        <f>Applications!G87</f>
        <v>Fertilize</v>
      </c>
      <c r="J63">
        <f>Applications!H87</f>
        <v>6400</v>
      </c>
      <c r="L63" t="str">
        <f>Applications!J87</f>
        <v>Harrell's 34-0-5</v>
      </c>
      <c r="M63" t="str">
        <f>Applications!K87</f>
        <v>Nitrogen</v>
      </c>
      <c r="N63">
        <f>Applications!L87</f>
        <v>2.94</v>
      </c>
      <c r="O63">
        <f>Applications!M87</f>
        <v>0.43195592286501377</v>
      </c>
      <c r="P63" t="str">
        <f>Applications!N87</f>
        <v/>
      </c>
      <c r="Q63" t="e">
        <f>Applications!O87</f>
        <v>#N/A</v>
      </c>
      <c r="R63" t="e">
        <f>Applications!P87</f>
        <v>#N/A</v>
      </c>
      <c r="S63" t="e">
        <f>Applications!Q87</f>
        <v>#N/A</v>
      </c>
      <c r="T63" t="str">
        <f>Applications!R87</f>
        <v/>
      </c>
      <c r="U63" t="e">
        <f>Applications!S87</f>
        <v>#N/A</v>
      </c>
      <c r="V63" t="e">
        <f>Applications!T87</f>
        <v>#N/A</v>
      </c>
      <c r="W63" t="e">
        <f>Applications!U87</f>
        <v>#N/A</v>
      </c>
      <c r="X63" t="b">
        <f>Applications!V87</f>
        <v>0</v>
      </c>
      <c r="Y63" t="e">
        <f>Applications!W87</f>
        <v>#N/A</v>
      </c>
      <c r="Z63" t="e">
        <f>Applications!X87</f>
        <v>#N/A</v>
      </c>
      <c r="AA63" t="e">
        <f>Applications!Y87</f>
        <v>#N/A</v>
      </c>
      <c r="AB63">
        <f>Applications!Z87</f>
        <v>0</v>
      </c>
      <c r="AC63">
        <f>Applications!AA87</f>
        <v>0</v>
      </c>
      <c r="AD63">
        <f>Applications!AB87</f>
        <v>0</v>
      </c>
      <c r="AE63">
        <f>Applications!AC87</f>
        <v>0</v>
      </c>
    </row>
    <row r="64" spans="1:31" hidden="1">
      <c r="A64" t="str">
        <f>Applications!A89</f>
        <v>Jordan Bane</v>
      </c>
      <c r="B64" t="str">
        <f>VLOOKUP($A64,Customer_Data!$A$1:$R$161,3,TRUE)</f>
        <v>307 Austin Circle</v>
      </c>
      <c r="C64" t="str">
        <f>VLOOKUP($A64,Customer_Data!$A$1:$R$161,4,TRUE)</f>
        <v>Brandon</v>
      </c>
      <c r="D64" t="str">
        <f>VLOOKUP($A64,Customer_Data!$A$1:$R$161,5,TRUE)</f>
        <v>MS</v>
      </c>
      <c r="E64">
        <f>VLOOKUP($A64,Customer_Data!$A$1:$R$161,6,TRUE)</f>
        <v>39047</v>
      </c>
      <c r="F64" s="207">
        <f>Applications!B89</f>
        <v>45801</v>
      </c>
      <c r="G64" s="207" t="str">
        <f>Applications!E89</f>
        <v>Matthew Stowers</v>
      </c>
      <c r="H64">
        <f>Applications!F89</f>
        <v>48160</v>
      </c>
      <c r="I64" s="207" t="str">
        <f>Applications!G89</f>
        <v>Fertilize</v>
      </c>
      <c r="J64">
        <f>Applications!H89</f>
        <v>4200</v>
      </c>
      <c r="L64" t="str">
        <f>Applications!J89</f>
        <v>Harrell's 34-0-5</v>
      </c>
      <c r="M64" t="str">
        <f>Applications!K89</f>
        <v>Nitrogen</v>
      </c>
      <c r="N64">
        <f>Applications!L89</f>
        <v>2.94</v>
      </c>
      <c r="O64">
        <f>Applications!M89</f>
        <v>0.28347107438016528</v>
      </c>
      <c r="P64" t="str">
        <f>Applications!N89</f>
        <v/>
      </c>
      <c r="Q64" t="e">
        <f>Applications!O89</f>
        <v>#N/A</v>
      </c>
      <c r="R64" t="e">
        <f>Applications!P89</f>
        <v>#N/A</v>
      </c>
      <c r="S64" t="e">
        <f>Applications!Q89</f>
        <v>#N/A</v>
      </c>
      <c r="T64" t="str">
        <f>Applications!R89</f>
        <v/>
      </c>
      <c r="U64" t="e">
        <f>Applications!S89</f>
        <v>#N/A</v>
      </c>
      <c r="V64" t="e">
        <f>Applications!T89</f>
        <v>#N/A</v>
      </c>
      <c r="W64" t="e">
        <f>Applications!U89</f>
        <v>#N/A</v>
      </c>
      <c r="X64" t="b">
        <f>Applications!V89</f>
        <v>0</v>
      </c>
      <c r="Y64" t="e">
        <f>Applications!W89</f>
        <v>#N/A</v>
      </c>
      <c r="Z64" t="e">
        <f>Applications!X89</f>
        <v>#N/A</v>
      </c>
      <c r="AA64" t="e">
        <f>Applications!Y89</f>
        <v>#N/A</v>
      </c>
      <c r="AB64">
        <f>Applications!Z89</f>
        <v>0</v>
      </c>
      <c r="AC64">
        <f>Applications!AA89</f>
        <v>0</v>
      </c>
      <c r="AD64">
        <f>Applications!AB89</f>
        <v>0</v>
      </c>
      <c r="AE64">
        <f>Applications!AC89</f>
        <v>0</v>
      </c>
    </row>
    <row r="65" spans="1:31" hidden="1">
      <c r="A65" t="str">
        <f>Applications!A60</f>
        <v>Matt Runner</v>
      </c>
      <c r="B65" t="str">
        <f>VLOOKUP($A65,Customer_Data!$A$1:$R$161,3,TRUE)</f>
        <v>528 Acadian Ct.</v>
      </c>
      <c r="C65" t="str">
        <f>VLOOKUP($A65,Customer_Data!$A$1:$R$161,4,TRUE)</f>
        <v>Brandon</v>
      </c>
      <c r="D65" t="str">
        <f>VLOOKUP($A65,Customer_Data!$A$1:$R$161,5,TRUE)</f>
        <v>MS</v>
      </c>
      <c r="E65">
        <f>VLOOKUP($A65,Customer_Data!$A$1:$R$161,6,TRUE)</f>
        <v>39042</v>
      </c>
      <c r="F65" s="207">
        <f>Applications!B60</f>
        <v>45802</v>
      </c>
      <c r="G65" s="207" t="str">
        <f>Applications!E60</f>
        <v>Matthew Stowers</v>
      </c>
      <c r="H65">
        <f>Applications!F60</f>
        <v>48160</v>
      </c>
      <c r="I65" s="207" t="str">
        <f>Applications!G60</f>
        <v>Fertilize</v>
      </c>
      <c r="J65">
        <f>Applications!H60</f>
        <v>2000</v>
      </c>
      <c r="L65" t="str">
        <f>Applications!J60</f>
        <v>Harrell's 34-0-5</v>
      </c>
      <c r="M65" t="str">
        <f>Applications!K60</f>
        <v>Nitrogen</v>
      </c>
      <c r="N65">
        <f>Applications!L60</f>
        <v>2.94</v>
      </c>
      <c r="O65">
        <f>Applications!M60</f>
        <v>0.13498622589531678</v>
      </c>
      <c r="P65" t="str">
        <f>Applications!N60</f>
        <v/>
      </c>
      <c r="Q65" t="e">
        <f>Applications!O60</f>
        <v>#N/A</v>
      </c>
      <c r="R65" t="e">
        <f>Applications!P60</f>
        <v>#N/A</v>
      </c>
      <c r="S65" t="e">
        <f>Applications!Q60</f>
        <v>#N/A</v>
      </c>
      <c r="T65" t="str">
        <f>Applications!R60</f>
        <v/>
      </c>
      <c r="U65" t="e">
        <f>Applications!S60</f>
        <v>#N/A</v>
      </c>
      <c r="V65" t="e">
        <f>Applications!T60</f>
        <v>#N/A</v>
      </c>
      <c r="W65" t="e">
        <f>Applications!U60</f>
        <v>#N/A</v>
      </c>
      <c r="X65" t="b">
        <f>Applications!V60</f>
        <v>0</v>
      </c>
      <c r="Y65" t="e">
        <f>Applications!W60</f>
        <v>#N/A</v>
      </c>
      <c r="Z65" t="e">
        <f>Applications!X60</f>
        <v>#N/A</v>
      </c>
      <c r="AA65" t="e">
        <f>Applications!Y60</f>
        <v>#N/A</v>
      </c>
      <c r="AB65">
        <f>Applications!Z60</f>
        <v>0</v>
      </c>
      <c r="AC65">
        <f>Applications!AA60</f>
        <v>0</v>
      </c>
      <c r="AD65">
        <f>Applications!AB60</f>
        <v>0</v>
      </c>
      <c r="AE65">
        <f>Applications!AC60</f>
        <v>0</v>
      </c>
    </row>
    <row r="66" spans="1:31" hidden="1">
      <c r="A66" t="str">
        <f>Applications!A66</f>
        <v>Riley Bennett</v>
      </c>
      <c r="B66" t="str">
        <f>VLOOKUP($A66,Customer_Data!$A$1:$R$161,3,TRUE)</f>
        <v>417 Edgewood Crossing</v>
      </c>
      <c r="C66" t="str">
        <f>VLOOKUP($A66,Customer_Data!$A$1:$R$161,4,TRUE)</f>
        <v>Brandon</v>
      </c>
      <c r="D66" t="str">
        <f>VLOOKUP($A66,Customer_Data!$A$1:$R$161,5,TRUE)</f>
        <v>MS</v>
      </c>
      <c r="E66">
        <f>VLOOKUP($A66,Customer_Data!$A$1:$R$161,6,TRUE)</f>
        <v>39042</v>
      </c>
      <c r="F66" s="207">
        <f>Applications!B66</f>
        <v>45802</v>
      </c>
      <c r="G66" s="207" t="str">
        <f>Applications!E66</f>
        <v>Matthew Stowers</v>
      </c>
      <c r="H66">
        <f>Applications!F66</f>
        <v>48160</v>
      </c>
      <c r="I66" s="207" t="str">
        <f>Applications!G66</f>
        <v>Fertilize</v>
      </c>
      <c r="J66">
        <f>Applications!H66</f>
        <v>7500</v>
      </c>
      <c r="L66" t="str">
        <f>Applications!J66</f>
        <v>Harrell's 34-0-5</v>
      </c>
      <c r="M66" t="str">
        <f>Applications!K66</f>
        <v>Nitrogen</v>
      </c>
      <c r="N66">
        <f>Applications!L66</f>
        <v>2.94</v>
      </c>
      <c r="O66">
        <f>Applications!M66</f>
        <v>0.50619834710743794</v>
      </c>
      <c r="P66" t="str">
        <f>Applications!N66</f>
        <v/>
      </c>
      <c r="Q66" t="e">
        <f>Applications!O66</f>
        <v>#N/A</v>
      </c>
      <c r="R66" t="e">
        <f>Applications!P66</f>
        <v>#N/A</v>
      </c>
      <c r="S66" t="e">
        <f>Applications!Q66</f>
        <v>#N/A</v>
      </c>
      <c r="T66" t="str">
        <f>Applications!R66</f>
        <v/>
      </c>
      <c r="U66" t="e">
        <f>Applications!S66</f>
        <v>#N/A</v>
      </c>
      <c r="V66" t="e">
        <f>Applications!T66</f>
        <v>#N/A</v>
      </c>
      <c r="W66" t="e">
        <f>Applications!U66</f>
        <v>#N/A</v>
      </c>
      <c r="X66" t="b">
        <f>Applications!V66</f>
        <v>0</v>
      </c>
      <c r="Y66" t="e">
        <f>Applications!W66</f>
        <v>#N/A</v>
      </c>
      <c r="Z66" t="e">
        <f>Applications!X66</f>
        <v>#N/A</v>
      </c>
      <c r="AA66" t="e">
        <f>Applications!Y66</f>
        <v>#N/A</v>
      </c>
      <c r="AB66">
        <f>Applications!Z66</f>
        <v>0</v>
      </c>
      <c r="AC66">
        <f>Applications!AA66</f>
        <v>0</v>
      </c>
      <c r="AD66">
        <f>Applications!AB66</f>
        <v>0</v>
      </c>
      <c r="AE66">
        <f>Applications!AC66</f>
        <v>0</v>
      </c>
    </row>
    <row r="67" spans="1:31" hidden="1">
      <c r="A67" t="str">
        <f>Applications!A68</f>
        <v>Max Brian</v>
      </c>
      <c r="B67" t="str">
        <f>VLOOKUP($A67,Customer_Data!$A$1:$R$161,3,TRUE)</f>
        <v>121 Meadow Creek Drive</v>
      </c>
      <c r="C67" t="str">
        <f>VLOOKUP($A67,Customer_Data!$A$1:$R$161,4,TRUE)</f>
        <v>Brandon</v>
      </c>
      <c r="D67" t="str">
        <f>VLOOKUP($A67,Customer_Data!$A$1:$R$161,5,TRUE)</f>
        <v>MS</v>
      </c>
      <c r="E67">
        <f>VLOOKUP($A67,Customer_Data!$A$1:$R$161,6,TRUE)</f>
        <v>39042</v>
      </c>
      <c r="F67" s="207">
        <f>Applications!B68</f>
        <v>45802</v>
      </c>
      <c r="G67" s="207" t="str">
        <f>Applications!E68</f>
        <v>Matthew Stowers</v>
      </c>
      <c r="H67">
        <f>Applications!F68</f>
        <v>48160</v>
      </c>
      <c r="I67" s="207" t="str">
        <f>Applications!G68</f>
        <v>Fertilize</v>
      </c>
      <c r="J67">
        <f>Applications!H68</f>
        <v>4670</v>
      </c>
      <c r="L67" t="str">
        <f>Applications!J68</f>
        <v>Harrell's 34-0-5</v>
      </c>
      <c r="M67" t="str">
        <f>Applications!K68</f>
        <v>Nitrogen</v>
      </c>
      <c r="N67">
        <f>Applications!L68</f>
        <v>2.94</v>
      </c>
      <c r="O67">
        <f>Applications!M68</f>
        <v>0.31519283746556476</v>
      </c>
      <c r="P67" t="str">
        <f>Applications!N68</f>
        <v/>
      </c>
      <c r="Q67" t="e">
        <f>Applications!O68</f>
        <v>#N/A</v>
      </c>
      <c r="R67" t="e">
        <f>Applications!P68</f>
        <v>#N/A</v>
      </c>
      <c r="S67" t="e">
        <f>Applications!Q68</f>
        <v>#N/A</v>
      </c>
      <c r="T67" t="str">
        <f>Applications!R68</f>
        <v/>
      </c>
      <c r="U67" t="e">
        <f>Applications!S68</f>
        <v>#N/A</v>
      </c>
      <c r="V67" t="e">
        <f>Applications!T68</f>
        <v>#N/A</v>
      </c>
      <c r="W67" t="e">
        <f>Applications!U68</f>
        <v>#N/A</v>
      </c>
      <c r="X67" t="b">
        <f>Applications!V68</f>
        <v>0</v>
      </c>
      <c r="Y67" t="e">
        <f>Applications!W68</f>
        <v>#N/A</v>
      </c>
      <c r="Z67" t="e">
        <f>Applications!X68</f>
        <v>#N/A</v>
      </c>
      <c r="AA67" t="e">
        <f>Applications!Y68</f>
        <v>#N/A</v>
      </c>
      <c r="AB67">
        <f>Applications!Z68</f>
        <v>0</v>
      </c>
      <c r="AC67">
        <f>Applications!AA68</f>
        <v>0</v>
      </c>
      <c r="AD67">
        <f>Applications!AB68</f>
        <v>0</v>
      </c>
      <c r="AE67">
        <f>Applications!AC68</f>
        <v>0</v>
      </c>
    </row>
    <row r="68" spans="1:31" hidden="1">
      <c r="A68" t="str">
        <f>Applications!A76</f>
        <v>Elliot Smith</v>
      </c>
      <c r="B68" t="str">
        <f>VLOOKUP($A68,Customer_Data!$A$1:$R$161,3,TRUE)</f>
        <v>103 Glenartney St.</v>
      </c>
      <c r="C68" t="str">
        <f>VLOOKUP($A68,Customer_Data!$A$1:$R$161,4,TRUE)</f>
        <v>Brandon</v>
      </c>
      <c r="D68" t="str">
        <f>VLOOKUP($A68,Customer_Data!$A$1:$R$161,5,TRUE)</f>
        <v>MS</v>
      </c>
      <c r="E68">
        <f>VLOOKUP($A68,Customer_Data!$A$1:$R$161,6,TRUE)</f>
        <v>39042</v>
      </c>
      <c r="F68" s="207">
        <f>Applications!B76</f>
        <v>45802</v>
      </c>
      <c r="G68" s="207" t="str">
        <f>Applications!E76</f>
        <v>Matthew Stowers</v>
      </c>
      <c r="H68">
        <f>Applications!F76</f>
        <v>48160</v>
      </c>
      <c r="I68" s="207" t="str">
        <f>Applications!G76</f>
        <v>Fertilize</v>
      </c>
      <c r="J68">
        <f>Applications!H76</f>
        <v>13500</v>
      </c>
      <c r="L68" t="str">
        <f>Applications!J76</f>
        <v>Harrell's 34-0-5</v>
      </c>
      <c r="M68" t="str">
        <f>Applications!K76</f>
        <v>Nitrogen</v>
      </c>
      <c r="N68">
        <f>Applications!L76</f>
        <v>2.94</v>
      </c>
      <c r="O68">
        <f>Applications!M76</f>
        <v>0.91115702479338845</v>
      </c>
      <c r="P68" t="str">
        <f>Applications!N76</f>
        <v/>
      </c>
      <c r="Q68" t="e">
        <f>Applications!O76</f>
        <v>#N/A</v>
      </c>
      <c r="R68" t="e">
        <f>Applications!P76</f>
        <v>#N/A</v>
      </c>
      <c r="S68" t="e">
        <f>Applications!Q76</f>
        <v>#N/A</v>
      </c>
      <c r="T68" t="str">
        <f>Applications!R76</f>
        <v/>
      </c>
      <c r="U68" t="e">
        <f>Applications!S76</f>
        <v>#N/A</v>
      </c>
      <c r="V68" t="e">
        <f>Applications!T76</f>
        <v>#N/A</v>
      </c>
      <c r="W68" t="e">
        <f>Applications!U76</f>
        <v>#N/A</v>
      </c>
      <c r="X68" t="b">
        <f>Applications!V76</f>
        <v>0</v>
      </c>
      <c r="Y68" t="e">
        <f>Applications!W76</f>
        <v>#N/A</v>
      </c>
      <c r="Z68" t="e">
        <f>Applications!X76</f>
        <v>#N/A</v>
      </c>
      <c r="AA68" t="e">
        <f>Applications!Y76</f>
        <v>#N/A</v>
      </c>
      <c r="AB68">
        <f>Applications!Z76</f>
        <v>0</v>
      </c>
      <c r="AC68">
        <f>Applications!AA76</f>
        <v>0</v>
      </c>
      <c r="AD68">
        <f>Applications!AB76</f>
        <v>0</v>
      </c>
      <c r="AE68">
        <f>Applications!AC76</f>
        <v>0</v>
      </c>
    </row>
    <row r="69" spans="1:31" hidden="1">
      <c r="A69" t="str">
        <f>Applications!A85</f>
        <v>Gay Grantham</v>
      </c>
      <c r="B69" t="str">
        <f>VLOOKUP($A69,Customer_Data!$A$1:$R$161,3,TRUE)</f>
        <v>204 West Brandon Court</v>
      </c>
      <c r="C69" t="str">
        <f>VLOOKUP($A69,Customer_Data!$A$1:$R$161,4,TRUE)</f>
        <v>Brandon</v>
      </c>
      <c r="D69" t="str">
        <f>VLOOKUP($A69,Customer_Data!$A$1:$R$161,5,TRUE)</f>
        <v>MS</v>
      </c>
      <c r="E69">
        <f>VLOOKUP($A69,Customer_Data!$A$1:$R$161,6,TRUE)</f>
        <v>39042</v>
      </c>
      <c r="F69" s="207">
        <f>Applications!B85</f>
        <v>45802</v>
      </c>
      <c r="G69" s="207" t="str">
        <f>Applications!E85</f>
        <v>Matthew Stowers</v>
      </c>
      <c r="H69">
        <f>Applications!F85</f>
        <v>48160</v>
      </c>
      <c r="I69" s="207" t="str">
        <f>Applications!G85</f>
        <v>Fertilize</v>
      </c>
      <c r="J69">
        <f>Applications!H85</f>
        <v>5900</v>
      </c>
      <c r="L69" t="str">
        <f>Applications!J85</f>
        <v>Harrell's 34-0-5</v>
      </c>
      <c r="M69" t="str">
        <f>Applications!K85</f>
        <v>Nitrogen</v>
      </c>
      <c r="N69">
        <f>Applications!L85</f>
        <v>2.94</v>
      </c>
      <c r="O69">
        <f>Applications!M85</f>
        <v>0.39820936639118454</v>
      </c>
      <c r="P69" t="str">
        <f>Applications!N85</f>
        <v/>
      </c>
      <c r="Q69" t="e">
        <f>Applications!O85</f>
        <v>#N/A</v>
      </c>
      <c r="R69" t="e">
        <f>Applications!P85</f>
        <v>#N/A</v>
      </c>
      <c r="S69" t="e">
        <f>Applications!Q85</f>
        <v>#N/A</v>
      </c>
      <c r="T69" t="str">
        <f>Applications!R85</f>
        <v/>
      </c>
      <c r="U69" t="e">
        <f>Applications!S85</f>
        <v>#N/A</v>
      </c>
      <c r="V69" t="e">
        <f>Applications!T85</f>
        <v>#N/A</v>
      </c>
      <c r="W69" t="e">
        <f>Applications!U85</f>
        <v>#N/A</v>
      </c>
      <c r="X69" t="b">
        <f>Applications!V85</f>
        <v>0</v>
      </c>
      <c r="Y69" t="e">
        <f>Applications!W85</f>
        <v>#N/A</v>
      </c>
      <c r="Z69" t="e">
        <f>Applications!X85</f>
        <v>#N/A</v>
      </c>
      <c r="AA69" t="e">
        <f>Applications!Y85</f>
        <v>#N/A</v>
      </c>
      <c r="AB69">
        <f>Applications!Z85</f>
        <v>0</v>
      </c>
      <c r="AC69">
        <f>Applications!AA85</f>
        <v>0</v>
      </c>
      <c r="AD69">
        <f>Applications!AB85</f>
        <v>0</v>
      </c>
      <c r="AE69">
        <f>Applications!AC85</f>
        <v>0</v>
      </c>
    </row>
    <row r="70" spans="1:31" hidden="1">
      <c r="A70" t="str">
        <f>Applications!A90</f>
        <v>Gene Henderson</v>
      </c>
      <c r="B70" t="str">
        <f>VLOOKUP($A70,Customer_Data!$A$1:$R$161,3,TRUE)</f>
        <v>104 East Sunset Drive</v>
      </c>
      <c r="C70" t="str">
        <f>VLOOKUP($A70,Customer_Data!$A$1:$R$161,4,TRUE)</f>
        <v>Brandon</v>
      </c>
      <c r="D70" t="str">
        <f>VLOOKUP($A70,Customer_Data!$A$1:$R$161,5,TRUE)</f>
        <v>MS</v>
      </c>
      <c r="E70">
        <f>VLOOKUP($A70,Customer_Data!$A$1:$R$161,6,TRUE)</f>
        <v>39042</v>
      </c>
      <c r="F70" s="207">
        <f>Applications!B90</f>
        <v>45802</v>
      </c>
      <c r="G70" s="207" t="str">
        <f>Applications!E90</f>
        <v>Matthew Stowers</v>
      </c>
      <c r="H70">
        <f>Applications!F90</f>
        <v>48160</v>
      </c>
      <c r="I70" s="207" t="str">
        <f>Applications!G90</f>
        <v>Fertilize</v>
      </c>
      <c r="J70">
        <f>Applications!H90</f>
        <v>11000</v>
      </c>
      <c r="L70" t="str">
        <f>Applications!J90</f>
        <v>Harrell's 34-0-5</v>
      </c>
      <c r="M70" t="str">
        <f>Applications!K90</f>
        <v>Nitrogen</v>
      </c>
      <c r="N70">
        <f>Applications!L90</f>
        <v>2.94</v>
      </c>
      <c r="O70">
        <f>Applications!M90</f>
        <v>0.74242424242424243</v>
      </c>
      <c r="P70" t="str">
        <f>Applications!N90</f>
        <v/>
      </c>
      <c r="Q70" t="e">
        <f>Applications!O90</f>
        <v>#N/A</v>
      </c>
      <c r="R70" t="e">
        <f>Applications!P90</f>
        <v>#N/A</v>
      </c>
      <c r="S70" t="e">
        <f>Applications!Q90</f>
        <v>#N/A</v>
      </c>
      <c r="T70" t="str">
        <f>Applications!R90</f>
        <v/>
      </c>
      <c r="U70" t="e">
        <f>Applications!S90</f>
        <v>#N/A</v>
      </c>
      <c r="V70" t="e">
        <f>Applications!T90</f>
        <v>#N/A</v>
      </c>
      <c r="W70" t="e">
        <f>Applications!U90</f>
        <v>#N/A</v>
      </c>
      <c r="X70" t="b">
        <f>Applications!V90</f>
        <v>0</v>
      </c>
      <c r="Y70" t="e">
        <f>Applications!W90</f>
        <v>#N/A</v>
      </c>
      <c r="Z70" t="e">
        <f>Applications!X90</f>
        <v>#N/A</v>
      </c>
      <c r="AA70" t="e">
        <f>Applications!Y90</f>
        <v>#N/A</v>
      </c>
      <c r="AB70">
        <f>Applications!Z90</f>
        <v>0</v>
      </c>
      <c r="AC70">
        <f>Applications!AA90</f>
        <v>0</v>
      </c>
      <c r="AD70">
        <f>Applications!AB90</f>
        <v>0</v>
      </c>
      <c r="AE70">
        <f>Applications!AC90</f>
        <v>0</v>
      </c>
    </row>
    <row r="71" spans="1:31" hidden="1">
      <c r="A71" t="str">
        <f>Applications!A92</f>
        <v>Roe Grubbs</v>
      </c>
      <c r="B71" t="str">
        <f>VLOOKUP($A71,Customer_Data!$A$1:$R$161,3,TRUE)</f>
        <v>104 Glenartney Street</v>
      </c>
      <c r="C71" t="str">
        <f>VLOOKUP($A71,Customer_Data!$A$1:$R$161,4,TRUE)</f>
        <v>Brandon</v>
      </c>
      <c r="D71" t="str">
        <f>VLOOKUP($A71,Customer_Data!$A$1:$R$161,5,TRUE)</f>
        <v>MS</v>
      </c>
      <c r="E71">
        <f>VLOOKUP($A71,Customer_Data!$A$1:$R$161,6,TRUE)</f>
        <v>39042</v>
      </c>
      <c r="F71" s="207">
        <f>Applications!B92</f>
        <v>45802</v>
      </c>
      <c r="G71" s="207" t="str">
        <f>Applications!E92</f>
        <v>Matthew Stowers</v>
      </c>
      <c r="H71">
        <f>Applications!F92</f>
        <v>48160</v>
      </c>
      <c r="I71" s="207" t="str">
        <f>Applications!G92</f>
        <v>Fertilize</v>
      </c>
      <c r="J71">
        <f>Applications!H92</f>
        <v>5000</v>
      </c>
      <c r="L71" t="str">
        <f>Applications!J92</f>
        <v>Harrell's 34-0-5</v>
      </c>
      <c r="M71" t="str">
        <f>Applications!K92</f>
        <v>Nitrogen</v>
      </c>
      <c r="N71">
        <f>Applications!L92</f>
        <v>2.94</v>
      </c>
      <c r="O71">
        <f>Applications!M92</f>
        <v>0.33746556473829198</v>
      </c>
      <c r="P71" t="str">
        <f>Applications!N92</f>
        <v/>
      </c>
      <c r="Q71" t="e">
        <f>Applications!O92</f>
        <v>#N/A</v>
      </c>
      <c r="R71" t="e">
        <f>Applications!P92</f>
        <v>#N/A</v>
      </c>
      <c r="S71" t="e">
        <f>Applications!Q92</f>
        <v>#N/A</v>
      </c>
      <c r="T71" t="str">
        <f>Applications!R92</f>
        <v/>
      </c>
      <c r="U71" t="e">
        <f>Applications!S92</f>
        <v>#N/A</v>
      </c>
      <c r="V71" t="e">
        <f>Applications!T92</f>
        <v>#N/A</v>
      </c>
      <c r="W71" t="e">
        <f>Applications!U92</f>
        <v>#N/A</v>
      </c>
      <c r="X71" t="b">
        <f>Applications!V92</f>
        <v>0</v>
      </c>
      <c r="Y71" t="e">
        <f>Applications!W92</f>
        <v>#N/A</v>
      </c>
      <c r="Z71" t="e">
        <f>Applications!X92</f>
        <v>#N/A</v>
      </c>
      <c r="AA71" t="e">
        <f>Applications!Y92</f>
        <v>#N/A</v>
      </c>
      <c r="AB71">
        <f>Applications!Z92</f>
        <v>0</v>
      </c>
      <c r="AC71">
        <f>Applications!AA92</f>
        <v>0</v>
      </c>
      <c r="AD71">
        <f>Applications!AB92</f>
        <v>0</v>
      </c>
      <c r="AE71">
        <f>Applications!AC92</f>
        <v>0</v>
      </c>
    </row>
    <row r="72" spans="1:31" hidden="1">
      <c r="A72" t="str">
        <f>Applications!A95</f>
        <v>Sandra Rainer</v>
      </c>
      <c r="B72" t="str">
        <f>VLOOKUP($A72,Customer_Data!$A$1:$R$161,3,TRUE)</f>
        <v>302 Remington Drive</v>
      </c>
      <c r="C72" t="str">
        <f>VLOOKUP($A72,Customer_Data!$A$1:$R$161,4,TRUE)</f>
        <v>Brandon</v>
      </c>
      <c r="D72" t="str">
        <f>VLOOKUP($A72,Customer_Data!$A$1:$R$161,5,TRUE)</f>
        <v>MS</v>
      </c>
      <c r="E72">
        <f>VLOOKUP($A72,Customer_Data!$A$1:$R$161,6,TRUE)</f>
        <v>39042</v>
      </c>
      <c r="F72" s="207">
        <f>Applications!B95</f>
        <v>45807</v>
      </c>
      <c r="G72" s="207" t="str">
        <f>Applications!E95</f>
        <v>Matthew Stowers</v>
      </c>
      <c r="H72">
        <f>Applications!F95</f>
        <v>48160</v>
      </c>
      <c r="I72" s="207" t="str">
        <f>Applications!G95</f>
        <v>Fertilize</v>
      </c>
      <c r="J72">
        <f>Applications!H95</f>
        <v>14000</v>
      </c>
      <c r="L72" t="str">
        <f>Applications!J95</f>
        <v>Harrell's 34-0-5</v>
      </c>
      <c r="M72" t="str">
        <f>Applications!K95</f>
        <v>Nitrogen</v>
      </c>
      <c r="N72">
        <f>Applications!L95</f>
        <v>2.94</v>
      </c>
      <c r="O72">
        <f>Applications!M95</f>
        <v>0.94490358126721763</v>
      </c>
      <c r="P72" t="str">
        <f>Applications!N95</f>
        <v/>
      </c>
      <c r="Q72" t="e">
        <f>Applications!O95</f>
        <v>#N/A</v>
      </c>
      <c r="R72" t="e">
        <f>Applications!P95</f>
        <v>#N/A</v>
      </c>
      <c r="S72" t="e">
        <f>Applications!Q95</f>
        <v>#N/A</v>
      </c>
      <c r="T72" t="str">
        <f>Applications!R95</f>
        <v/>
      </c>
      <c r="U72" t="e">
        <f>Applications!S95</f>
        <v>#N/A</v>
      </c>
      <c r="V72" t="e">
        <f>Applications!T95</f>
        <v>#N/A</v>
      </c>
      <c r="W72" t="e">
        <f>Applications!U95</f>
        <v>#N/A</v>
      </c>
      <c r="X72" t="b">
        <f>Applications!V95</f>
        <v>0</v>
      </c>
      <c r="Y72" t="e">
        <f>Applications!W95</f>
        <v>#N/A</v>
      </c>
      <c r="Z72" t="e">
        <f>Applications!X95</f>
        <v>#N/A</v>
      </c>
      <c r="AA72" t="e">
        <f>Applications!Y95</f>
        <v>#N/A</v>
      </c>
      <c r="AB72">
        <f>Applications!Z95</f>
        <v>0</v>
      </c>
      <c r="AC72">
        <f>Applications!AA95</f>
        <v>0</v>
      </c>
      <c r="AD72">
        <f>Applications!AB95</f>
        <v>0</v>
      </c>
      <c r="AE72">
        <f>Applications!AC95</f>
        <v>0</v>
      </c>
    </row>
    <row r="73" spans="1:31" hidden="1">
      <c r="A73" t="str">
        <f>Applications!A52</f>
        <v>Max Miller</v>
      </c>
      <c r="B73" t="str">
        <f>VLOOKUP($A73,Customer_Data!$A$1:$R$161,3,TRUE)</f>
        <v>1021 Cumberland Dr.</v>
      </c>
      <c r="C73" t="str">
        <f>VLOOKUP($A73,Customer_Data!$A$1:$R$161,4,TRUE)</f>
        <v>Brandon</v>
      </c>
      <c r="D73" t="str">
        <f>VLOOKUP($A73,Customer_Data!$A$1:$R$161,5,TRUE)</f>
        <v>MS</v>
      </c>
      <c r="E73">
        <f>VLOOKUP($A73,Customer_Data!$A$1:$R$161,6,TRUE)</f>
        <v>39047</v>
      </c>
      <c r="F73" s="207">
        <f>Applications!B52</f>
        <v>45871</v>
      </c>
      <c r="G73" s="207" t="str">
        <f>Applications!E52</f>
        <v>Matthew Stowers</v>
      </c>
      <c r="H73">
        <f>Applications!F52</f>
        <v>48160</v>
      </c>
      <c r="I73" s="207" t="str">
        <f>Applications!G52</f>
        <v>Fertilize</v>
      </c>
      <c r="J73">
        <f>Applications!H52</f>
        <v>3100</v>
      </c>
      <c r="L73" t="str">
        <f>Applications!J52</f>
        <v>Harrell's 34-0-5</v>
      </c>
      <c r="M73" t="str">
        <f>Applications!K52</f>
        <v>Nitrogen</v>
      </c>
      <c r="N73">
        <f>Applications!L52</f>
        <v>2.94</v>
      </c>
      <c r="O73">
        <f>Applications!M52</f>
        <v>0.20922865013774106</v>
      </c>
      <c r="P73" t="str">
        <f>Applications!N52</f>
        <v/>
      </c>
      <c r="Q73" t="e">
        <f>Applications!O52</f>
        <v>#N/A</v>
      </c>
      <c r="R73" t="e">
        <f>Applications!P52</f>
        <v>#N/A</v>
      </c>
      <c r="S73" t="e">
        <f>Applications!Q52</f>
        <v>#N/A</v>
      </c>
      <c r="T73" t="str">
        <f>Applications!R52</f>
        <v/>
      </c>
      <c r="U73" t="e">
        <f>Applications!S52</f>
        <v>#N/A</v>
      </c>
      <c r="V73" t="e">
        <f>Applications!T52</f>
        <v>#N/A</v>
      </c>
      <c r="W73" t="e">
        <f>Applications!U52</f>
        <v>#N/A</v>
      </c>
      <c r="X73" t="b">
        <f>Applications!V52</f>
        <v>0</v>
      </c>
      <c r="Y73" t="e">
        <f>Applications!W52</f>
        <v>#N/A</v>
      </c>
      <c r="Z73" t="e">
        <f>Applications!X52</f>
        <v>#N/A</v>
      </c>
      <c r="AA73" t="e">
        <f>Applications!Y52</f>
        <v>#N/A</v>
      </c>
      <c r="AB73">
        <f>Applications!Z52</f>
        <v>0</v>
      </c>
      <c r="AC73">
        <f>Applications!AA52</f>
        <v>0</v>
      </c>
      <c r="AD73">
        <f>Applications!AB52</f>
        <v>0</v>
      </c>
      <c r="AE73">
        <f>Applications!AC52</f>
        <v>0</v>
      </c>
    </row>
    <row r="74" spans="1:31" hidden="1">
      <c r="A74" t="str">
        <f>Applications!A55</f>
        <v>Dot Stuart</v>
      </c>
      <c r="B74" t="str">
        <f>VLOOKUP($A74,Customer_Data!$A$1:$R$161,3,TRUE)</f>
        <v>414 Providence Drive</v>
      </c>
      <c r="C74" t="str">
        <f>VLOOKUP($A74,Customer_Data!$A$1:$R$161,4,TRUE)</f>
        <v>Brandon</v>
      </c>
      <c r="D74" t="str">
        <f>VLOOKUP($A74,Customer_Data!$A$1:$R$161,5,TRUE)</f>
        <v>MS</v>
      </c>
      <c r="E74">
        <f>VLOOKUP($A74,Customer_Data!$A$1:$R$161,6,TRUE)</f>
        <v>39042</v>
      </c>
      <c r="F74" s="207">
        <f>Applications!B55</f>
        <v>45871</v>
      </c>
      <c r="G74" s="207" t="str">
        <f>Applications!E55</f>
        <v>Matthew Stowers</v>
      </c>
      <c r="H74">
        <f>Applications!F55</f>
        <v>48160</v>
      </c>
      <c r="I74" s="207" t="str">
        <f>Applications!G55</f>
        <v>Fertilize</v>
      </c>
      <c r="J74">
        <f>Applications!H55</f>
        <v>1800</v>
      </c>
      <c r="L74" t="str">
        <f>Applications!J55</f>
        <v>Harrell's 34-0-5</v>
      </c>
      <c r="M74" t="str">
        <f>Applications!K55</f>
        <v>Nitrogen</v>
      </c>
      <c r="N74">
        <f>Applications!L55</f>
        <v>2.94</v>
      </c>
      <c r="O74">
        <f>Applications!M55</f>
        <v>0.12148760330578512</v>
      </c>
      <c r="P74" t="str">
        <f>Applications!N55</f>
        <v/>
      </c>
      <c r="Q74" t="e">
        <f>Applications!O55</f>
        <v>#N/A</v>
      </c>
      <c r="R74" t="e">
        <f>Applications!P55</f>
        <v>#N/A</v>
      </c>
      <c r="S74" t="e">
        <f>Applications!Q55</f>
        <v>#N/A</v>
      </c>
      <c r="T74" t="str">
        <f>Applications!R55</f>
        <v/>
      </c>
      <c r="U74" t="e">
        <f>Applications!S55</f>
        <v>#N/A</v>
      </c>
      <c r="V74" t="e">
        <f>Applications!T55</f>
        <v>#N/A</v>
      </c>
      <c r="W74" t="e">
        <f>Applications!U55</f>
        <v>#N/A</v>
      </c>
      <c r="X74" t="b">
        <f>Applications!V55</f>
        <v>0</v>
      </c>
      <c r="Y74" t="e">
        <f>Applications!W55</f>
        <v>#N/A</v>
      </c>
      <c r="Z74" t="e">
        <f>Applications!X55</f>
        <v>#N/A</v>
      </c>
      <c r="AA74" t="e">
        <f>Applications!Y55</f>
        <v>#N/A</v>
      </c>
      <c r="AB74">
        <f>Applications!Z55</f>
        <v>0</v>
      </c>
      <c r="AC74">
        <f>Applications!AA55</f>
        <v>0</v>
      </c>
      <c r="AD74">
        <f>Applications!AB55</f>
        <v>0</v>
      </c>
      <c r="AE74">
        <f>Applications!AC55</f>
        <v>0</v>
      </c>
    </row>
    <row r="75" spans="1:31" hidden="1">
      <c r="A75" t="str">
        <f>Applications!A58</f>
        <v>Luther Holmes</v>
      </c>
      <c r="B75" t="str">
        <f>VLOOKUP($A75,Customer_Data!$A$1:$R$161,3,TRUE)</f>
        <v>5481 Kaywood Drive</v>
      </c>
      <c r="C75" t="str">
        <f>VLOOKUP($A75,Customer_Data!$A$1:$R$161,4,TRUE)</f>
        <v>Jackson</v>
      </c>
      <c r="D75" t="str">
        <f>VLOOKUP($A75,Customer_Data!$A$1:$R$161,5,TRUE)</f>
        <v>MS</v>
      </c>
      <c r="E75">
        <f>VLOOKUP($A75,Customer_Data!$A$1:$R$161,6,TRUE)</f>
        <v>39211</v>
      </c>
      <c r="F75" s="207">
        <f>Applications!B58</f>
        <v>45871</v>
      </c>
      <c r="G75" s="207" t="str">
        <f>Applications!E58</f>
        <v>Luther Stowers</v>
      </c>
      <c r="H75">
        <f>Applications!F58</f>
        <v>48182</v>
      </c>
      <c r="I75" s="207" t="str">
        <f>Applications!G58</f>
        <v>Fertilize</v>
      </c>
      <c r="J75">
        <f>Applications!H58</f>
        <v>3687</v>
      </c>
      <c r="L75" t="str">
        <f>Applications!J58</f>
        <v>Harrell's 34-0-5</v>
      </c>
      <c r="M75" t="str">
        <f>Applications!K58</f>
        <v>Nitrogen</v>
      </c>
      <c r="N75">
        <f>Applications!L58</f>
        <v>2.94</v>
      </c>
      <c r="O75">
        <f>Applications!M58</f>
        <v>0.24884710743801652</v>
      </c>
      <c r="P75" t="str">
        <f>Applications!N58</f>
        <v/>
      </c>
      <c r="Q75" t="e">
        <f>Applications!O58</f>
        <v>#N/A</v>
      </c>
      <c r="R75" t="e">
        <f>Applications!P58</f>
        <v>#N/A</v>
      </c>
      <c r="S75" t="e">
        <f>Applications!Q58</f>
        <v>#N/A</v>
      </c>
      <c r="T75" t="str">
        <f>Applications!R58</f>
        <v/>
      </c>
      <c r="U75" t="e">
        <f>Applications!S58</f>
        <v>#N/A</v>
      </c>
      <c r="V75" t="e">
        <f>Applications!T58</f>
        <v>#N/A</v>
      </c>
      <c r="W75" t="e">
        <f>Applications!U58</f>
        <v>#N/A</v>
      </c>
      <c r="X75" t="b">
        <f>Applications!V58</f>
        <v>0</v>
      </c>
      <c r="Y75" t="e">
        <f>Applications!W58</f>
        <v>#N/A</v>
      </c>
      <c r="Z75" t="e">
        <f>Applications!X58</f>
        <v>#N/A</v>
      </c>
      <c r="AA75" t="e">
        <f>Applications!Y58</f>
        <v>#N/A</v>
      </c>
      <c r="AB75">
        <f>Applications!Z58</f>
        <v>0</v>
      </c>
      <c r="AC75">
        <f>Applications!AA58</f>
        <v>0</v>
      </c>
      <c r="AD75">
        <f>Applications!AB58</f>
        <v>0</v>
      </c>
      <c r="AE75">
        <f>Applications!AC58</f>
        <v>0</v>
      </c>
    </row>
    <row r="76" spans="1:31" hidden="1">
      <c r="A76" t="str">
        <f>Applications!A56</f>
        <v>Dot Stuart</v>
      </c>
      <c r="B76" t="str">
        <f>VLOOKUP($A76,Customer_Data!$A$1:$R$161,3,TRUE)</f>
        <v>414 Providence Drive</v>
      </c>
      <c r="C76" t="str">
        <f>VLOOKUP($A76,Customer_Data!$A$1:$R$161,4,TRUE)</f>
        <v>Brandon</v>
      </c>
      <c r="D76" t="str">
        <f>VLOOKUP($A76,Customer_Data!$A$1:$R$161,5,TRUE)</f>
        <v>MS</v>
      </c>
      <c r="E76">
        <f>VLOOKUP($A76,Customer_Data!$A$1:$R$161,6,TRUE)</f>
        <v>39042</v>
      </c>
      <c r="F76" s="207">
        <f>Applications!B56</f>
        <v>45948</v>
      </c>
      <c r="G76" s="207" t="str">
        <f>Applications!E56</f>
        <v>Matthew Stowers</v>
      </c>
      <c r="H76">
        <f>Applications!F56</f>
        <v>48160</v>
      </c>
      <c r="I76" s="207" t="str">
        <f>Applications!G56</f>
        <v>Fall (pre/post emerge)</v>
      </c>
      <c r="J76">
        <f>Applications!H56</f>
        <v>1800</v>
      </c>
      <c r="L76" t="str">
        <f>Applications!J56</f>
        <v>Princep Liquid (100-526)</v>
      </c>
      <c r="M76" t="str">
        <f>Applications!K56</f>
        <v>Simazine</v>
      </c>
      <c r="N76">
        <f>Applications!L56</f>
        <v>32</v>
      </c>
      <c r="O76">
        <f>Applications!M56</f>
        <v>1.3223140495867769</v>
      </c>
      <c r="P76" t="str">
        <f>Applications!N56</f>
        <v>Triplet SF (3-Way) 228-312</v>
      </c>
      <c r="Q76" t="str">
        <f>Applications!O56</f>
        <v>2,4-D, dimethylamine salt; Dicamba, dimethylamine salt;Mecoprop-p (MCPP-p), dimethylamine salt</v>
      </c>
      <c r="R76">
        <f>Applications!P56</f>
        <v>24</v>
      </c>
      <c r="S76">
        <f>Applications!Q56</f>
        <v>0.99173553719008267</v>
      </c>
      <c r="T76" t="str">
        <f>Applications!R56</f>
        <v>Resolute 4Fl (100-1139)</v>
      </c>
      <c r="U76" t="str">
        <f>Applications!S56</f>
        <v>Prodiamine</v>
      </c>
      <c r="V76">
        <f>Applications!T56</f>
        <v>16</v>
      </c>
      <c r="W76">
        <f>Applications!U56</f>
        <v>0.66115702479338845</v>
      </c>
      <c r="X76" t="b">
        <f>Applications!V56</f>
        <v>0</v>
      </c>
      <c r="Y76" t="e">
        <f>Applications!W56</f>
        <v>#N/A</v>
      </c>
      <c r="Z76" t="e">
        <f>Applications!X56</f>
        <v>#N/A</v>
      </c>
      <c r="AA76" t="e">
        <f>Applications!Y56</f>
        <v>#N/A</v>
      </c>
      <c r="AB76">
        <f>Applications!Z56</f>
        <v>0</v>
      </c>
      <c r="AC76">
        <f>Applications!AA56</f>
        <v>0</v>
      </c>
      <c r="AD76">
        <f>Applications!AB56</f>
        <v>0</v>
      </c>
      <c r="AE76">
        <f>Applications!AC56</f>
        <v>0</v>
      </c>
    </row>
    <row r="77" spans="1:31" hidden="1">
      <c r="A77" t="str">
        <f>Applications!A59</f>
        <v>Luther Holmes</v>
      </c>
      <c r="B77" t="str">
        <f>VLOOKUP($A77,Customer_Data!$A$1:$R$161,3,TRUE)</f>
        <v>5481 Kaywood Drive</v>
      </c>
      <c r="C77" t="str">
        <f>VLOOKUP($A77,Customer_Data!$A$1:$R$161,4,TRUE)</f>
        <v>Jackson</v>
      </c>
      <c r="D77" t="str">
        <f>VLOOKUP($A77,Customer_Data!$A$1:$R$161,5,TRUE)</f>
        <v>MS</v>
      </c>
      <c r="E77">
        <f>VLOOKUP($A77,Customer_Data!$A$1:$R$161,6,TRUE)</f>
        <v>39211</v>
      </c>
      <c r="F77" s="207">
        <f>Applications!B59</f>
        <v>45948</v>
      </c>
      <c r="G77" s="207" t="str">
        <f>Applications!E59</f>
        <v>Matthew Stowers</v>
      </c>
      <c r="H77">
        <f>Applications!F59</f>
        <v>48160</v>
      </c>
      <c r="I77" s="207" t="str">
        <f>Applications!G59</f>
        <v>Fall (pre/post emerge)</v>
      </c>
      <c r="J77">
        <f>Applications!H59</f>
        <v>3687</v>
      </c>
      <c r="L77" t="str">
        <f>Applications!J59</f>
        <v>Princep Liquid (100-526)</v>
      </c>
      <c r="M77" t="str">
        <f>Applications!K59</f>
        <v>Simazine</v>
      </c>
      <c r="N77">
        <f>Applications!L59</f>
        <v>32</v>
      </c>
      <c r="O77">
        <f>Applications!M59</f>
        <v>2.7085399449035812</v>
      </c>
      <c r="P77" t="str">
        <f>Applications!N59</f>
        <v>Triplet SF (3-Way) 228-312</v>
      </c>
      <c r="Q77" t="str">
        <f>Applications!O59</f>
        <v>2,4-D, dimethylamine salt; Dicamba, dimethylamine salt;Mecoprop-p (MCPP-p), dimethylamine salt</v>
      </c>
      <c r="R77">
        <f>Applications!P59</f>
        <v>24</v>
      </c>
      <c r="S77">
        <f>Applications!Q59</f>
        <v>2.0314049586776859</v>
      </c>
      <c r="T77" t="str">
        <f>Applications!R59</f>
        <v>Resolute 4Fl (100-1139)</v>
      </c>
      <c r="U77" t="str">
        <f>Applications!S59</f>
        <v>Prodiamine</v>
      </c>
      <c r="V77">
        <f>Applications!T59</f>
        <v>16</v>
      </c>
      <c r="W77">
        <f>Applications!U59</f>
        <v>1.3542699724517906</v>
      </c>
      <c r="X77" t="b">
        <f>Applications!V59</f>
        <v>0</v>
      </c>
      <c r="Y77" t="e">
        <f>Applications!W59</f>
        <v>#N/A</v>
      </c>
      <c r="Z77" t="e">
        <f>Applications!X59</f>
        <v>#N/A</v>
      </c>
      <c r="AA77" t="e">
        <f>Applications!Y59</f>
        <v>#N/A</v>
      </c>
      <c r="AB77">
        <f>Applications!Z59</f>
        <v>0</v>
      </c>
      <c r="AC77">
        <f>Applications!AA59</f>
        <v>0</v>
      </c>
      <c r="AD77">
        <f>Applications!AB59</f>
        <v>0</v>
      </c>
      <c r="AE77">
        <f>Applications!AC59</f>
        <v>0</v>
      </c>
    </row>
    <row r="78" spans="1:31" hidden="1">
      <c r="A78" t="str">
        <f>Applications!A61</f>
        <v>Matt Runner</v>
      </c>
      <c r="B78" t="str">
        <f>VLOOKUP($A78,Customer_Data!$A$1:$R$161,3,TRUE)</f>
        <v>528 Acadian Ct.</v>
      </c>
      <c r="C78" t="str">
        <f>VLOOKUP($A78,Customer_Data!$A$1:$R$161,4,TRUE)</f>
        <v>Brandon</v>
      </c>
      <c r="D78" t="str">
        <f>VLOOKUP($A78,Customer_Data!$A$1:$R$161,5,TRUE)</f>
        <v>MS</v>
      </c>
      <c r="E78">
        <f>VLOOKUP($A78,Customer_Data!$A$1:$R$161,6,TRUE)</f>
        <v>39042</v>
      </c>
      <c r="F78" s="207">
        <f>Applications!B61</f>
        <v>45948</v>
      </c>
      <c r="G78" s="207" t="str">
        <f>Applications!E61</f>
        <v>Matthew Stowers</v>
      </c>
      <c r="H78">
        <f>Applications!F61</f>
        <v>48160</v>
      </c>
      <c r="I78" s="207" t="str">
        <f>Applications!G61</f>
        <v>Fall (pre/post emerge)</v>
      </c>
      <c r="J78">
        <f>Applications!H61</f>
        <v>2000</v>
      </c>
      <c r="L78" t="str">
        <f>Applications!J61</f>
        <v>Princep Liquid (100-526)</v>
      </c>
      <c r="M78" t="str">
        <f>Applications!K61</f>
        <v>Simazine</v>
      </c>
      <c r="N78">
        <f>Applications!L61</f>
        <v>32</v>
      </c>
      <c r="O78">
        <f>Applications!M61</f>
        <v>1.4692378328741964</v>
      </c>
      <c r="P78" t="str">
        <f>Applications!N61</f>
        <v>Triplet SF (3-Way) 228-312</v>
      </c>
      <c r="Q78" t="str">
        <f>Applications!O61</f>
        <v>2,4-D, dimethylamine salt; Dicamba, dimethylamine salt;Mecoprop-p (MCPP-p), dimethylamine salt</v>
      </c>
      <c r="R78">
        <f>Applications!P61</f>
        <v>24</v>
      </c>
      <c r="S78">
        <f>Applications!Q61</f>
        <v>1.1019283746556474</v>
      </c>
      <c r="T78" t="str">
        <f>Applications!R61</f>
        <v>Resolute 4Fl (100-1139)</v>
      </c>
      <c r="U78" t="str">
        <f>Applications!S61</f>
        <v>Prodiamine</v>
      </c>
      <c r="V78">
        <f>Applications!T61</f>
        <v>16</v>
      </c>
      <c r="W78">
        <f>Applications!U61</f>
        <v>0.7346189164370982</v>
      </c>
      <c r="X78" t="b">
        <f>Applications!V61</f>
        <v>0</v>
      </c>
      <c r="Y78" t="e">
        <f>Applications!W61</f>
        <v>#N/A</v>
      </c>
      <c r="Z78" t="e">
        <f>Applications!X61</f>
        <v>#N/A</v>
      </c>
      <c r="AA78" t="e">
        <f>Applications!Y61</f>
        <v>#N/A</v>
      </c>
      <c r="AB78">
        <f>Applications!Z61</f>
        <v>0</v>
      </c>
      <c r="AC78">
        <f>Applications!AA61</f>
        <v>0</v>
      </c>
      <c r="AD78">
        <f>Applications!AB61</f>
        <v>0</v>
      </c>
      <c r="AE78">
        <f>Applications!AC61</f>
        <v>0</v>
      </c>
    </row>
    <row r="79" spans="1:31" hidden="1">
      <c r="A79" t="str">
        <f>Applications!A63</f>
        <v>David Fatheree</v>
      </c>
      <c r="B79" t="str">
        <f>VLOOKUP($A79,Customer_Data!$A$1:$R$161,3,TRUE)</f>
        <v>706 Ivywood Court</v>
      </c>
      <c r="C79" t="str">
        <f>VLOOKUP($A79,Customer_Data!$A$1:$R$161,4,TRUE)</f>
        <v>Madison</v>
      </c>
      <c r="D79" t="str">
        <f>VLOOKUP($A79,Customer_Data!$A$1:$R$161,5,TRUE)</f>
        <v>MS</v>
      </c>
      <c r="E79">
        <f>VLOOKUP($A79,Customer_Data!$A$1:$R$161,6,TRUE)</f>
        <v>39110</v>
      </c>
      <c r="F79" s="207">
        <f>Applications!B63</f>
        <v>45948</v>
      </c>
      <c r="G79" s="207" t="str">
        <f>Applications!E63</f>
        <v>Matthew Stowers</v>
      </c>
      <c r="H79">
        <f>Applications!F63</f>
        <v>48160</v>
      </c>
      <c r="I79" s="207" t="str">
        <f>Applications!G63</f>
        <v>Fall (pre/post emerge)</v>
      </c>
      <c r="J79">
        <f>Applications!H63</f>
        <v>8910</v>
      </c>
      <c r="L79" t="str">
        <f>Applications!J63</f>
        <v>Princep Liquid (100-526)</v>
      </c>
      <c r="M79" t="str">
        <f>Applications!K63</f>
        <v>Simazine</v>
      </c>
      <c r="N79">
        <f>Applications!L63</f>
        <v>32</v>
      </c>
      <c r="O79">
        <f>Applications!M63</f>
        <v>6.5454545454545459</v>
      </c>
      <c r="P79" t="str">
        <f>Applications!N63</f>
        <v>Triplet SF (3-Way) 228-312</v>
      </c>
      <c r="Q79" t="str">
        <f>Applications!O63</f>
        <v>2,4-D, dimethylamine salt; Dicamba, dimethylamine salt;Mecoprop-p (MCPP-p), dimethylamine salt</v>
      </c>
      <c r="R79">
        <f>Applications!P63</f>
        <v>24</v>
      </c>
      <c r="S79">
        <f>Applications!Q63</f>
        <v>4.9090909090909092</v>
      </c>
      <c r="T79" t="str">
        <f>Applications!R63</f>
        <v>Resolute 4Fl (100-1139)</v>
      </c>
      <c r="U79" t="str">
        <f>Applications!S63</f>
        <v>Prodiamine</v>
      </c>
      <c r="V79">
        <f>Applications!T63</f>
        <v>16</v>
      </c>
      <c r="W79">
        <f>Applications!U63</f>
        <v>3.2727272727272729</v>
      </c>
      <c r="X79" t="b">
        <f>Applications!V63</f>
        <v>0</v>
      </c>
      <c r="Y79" t="e">
        <f>Applications!W63</f>
        <v>#N/A</v>
      </c>
      <c r="Z79" t="e">
        <f>Applications!X63</f>
        <v>#N/A</v>
      </c>
      <c r="AA79" t="e">
        <f>Applications!Y63</f>
        <v>#N/A</v>
      </c>
      <c r="AB79">
        <f>Applications!Z63</f>
        <v>0</v>
      </c>
      <c r="AC79">
        <f>Applications!AA63</f>
        <v>0</v>
      </c>
      <c r="AD79">
        <f>Applications!AB63</f>
        <v>0</v>
      </c>
      <c r="AE79">
        <f>Applications!AC63</f>
        <v>0</v>
      </c>
    </row>
    <row r="80" spans="1:31" hidden="1">
      <c r="A80" t="str">
        <f>Applications!A65</f>
        <v>Bo Whatley</v>
      </c>
      <c r="B80" t="str">
        <f>VLOOKUP($A80,Customer_Data!$A$1:$R$161,3,TRUE)</f>
        <v>126 Cypress Ridge Drive</v>
      </c>
      <c r="C80" t="str">
        <f>VLOOKUP($A80,Customer_Data!$A$1:$R$161,4,TRUE)</f>
        <v>Brandon</v>
      </c>
      <c r="D80" t="str">
        <f>VLOOKUP($A80,Customer_Data!$A$1:$R$161,5,TRUE)</f>
        <v>MS</v>
      </c>
      <c r="E80">
        <f>VLOOKUP($A80,Customer_Data!$A$1:$R$161,6,TRUE)</f>
        <v>39042</v>
      </c>
      <c r="F80" s="207">
        <f>Applications!B65</f>
        <v>45948</v>
      </c>
      <c r="G80" s="207" t="str">
        <f>Applications!E65</f>
        <v>Matthew Stowers</v>
      </c>
      <c r="H80">
        <f>Applications!F65</f>
        <v>48160</v>
      </c>
      <c r="I80" s="207" t="str">
        <f>Applications!G65</f>
        <v>Fall (pre/post emerge)</v>
      </c>
      <c r="J80">
        <f>Applications!H65</f>
        <v>2750</v>
      </c>
      <c r="L80" t="str">
        <f>Applications!J65</f>
        <v>Princep Liquid (100-526)</v>
      </c>
      <c r="M80" t="str">
        <f>Applications!K65</f>
        <v>Simazine</v>
      </c>
      <c r="N80">
        <f>Applications!L65</f>
        <v>32</v>
      </c>
      <c r="O80">
        <f>Applications!M65</f>
        <v>2.0202020202020203</v>
      </c>
      <c r="P80" t="str">
        <f>Applications!N65</f>
        <v>Triplet SF (3-Way) 228-312</v>
      </c>
      <c r="Q80" t="str">
        <f>Applications!O65</f>
        <v>2,4-D, dimethylamine salt; Dicamba, dimethylamine salt;Mecoprop-p (MCPP-p), dimethylamine salt</v>
      </c>
      <c r="R80">
        <f>Applications!P65</f>
        <v>24</v>
      </c>
      <c r="S80">
        <f>Applications!Q65</f>
        <v>1.5151515151515151</v>
      </c>
      <c r="T80" t="str">
        <f>Applications!R65</f>
        <v>Resolute 4Fl (100-1139)</v>
      </c>
      <c r="U80" t="str">
        <f>Applications!S65</f>
        <v>Prodiamine</v>
      </c>
      <c r="V80">
        <f>Applications!T65</f>
        <v>16</v>
      </c>
      <c r="W80">
        <f>Applications!U65</f>
        <v>1.0101010101010102</v>
      </c>
      <c r="X80" t="b">
        <f>Applications!V65</f>
        <v>0</v>
      </c>
      <c r="Y80" t="e">
        <f>Applications!W65</f>
        <v>#N/A</v>
      </c>
      <c r="Z80" t="e">
        <f>Applications!X65</f>
        <v>#N/A</v>
      </c>
      <c r="AA80" t="e">
        <f>Applications!Y65</f>
        <v>#N/A</v>
      </c>
      <c r="AB80">
        <f>Applications!Z65</f>
        <v>0</v>
      </c>
      <c r="AC80">
        <f>Applications!AA65</f>
        <v>0</v>
      </c>
      <c r="AD80">
        <f>Applications!AB65</f>
        <v>0</v>
      </c>
      <c r="AE80">
        <f>Applications!AC65</f>
        <v>0</v>
      </c>
    </row>
    <row r="81" spans="1:31" hidden="1">
      <c r="A81" t="str">
        <f>Applications!A67</f>
        <v>Riley Bennett</v>
      </c>
      <c r="B81" t="str">
        <f>VLOOKUP($A81,Customer_Data!$A$1:$R$161,3,TRUE)</f>
        <v>417 Edgewood Crossing</v>
      </c>
      <c r="C81" t="str">
        <f>VLOOKUP($A81,Customer_Data!$A$1:$R$161,4,TRUE)</f>
        <v>Brandon</v>
      </c>
      <c r="D81" t="str">
        <f>VLOOKUP($A81,Customer_Data!$A$1:$R$161,5,TRUE)</f>
        <v>MS</v>
      </c>
      <c r="E81">
        <f>VLOOKUP($A81,Customer_Data!$A$1:$R$161,6,TRUE)</f>
        <v>39042</v>
      </c>
      <c r="F81" s="207">
        <f>Applications!B67</f>
        <v>45948</v>
      </c>
      <c r="G81" s="207" t="str">
        <f>Applications!E67</f>
        <v>Luther Stowers</v>
      </c>
      <c r="H81">
        <f>Applications!F67</f>
        <v>48182</v>
      </c>
      <c r="I81" s="207" t="str">
        <f>Applications!G67</f>
        <v>Fall (pre/post emerge)</v>
      </c>
      <c r="J81">
        <f>Applications!H67</f>
        <v>7500</v>
      </c>
      <c r="L81" t="str">
        <f>Applications!J67</f>
        <v>Princep Liquid (100-526)</v>
      </c>
      <c r="M81" t="str">
        <f>Applications!K67</f>
        <v>Simazine</v>
      </c>
      <c r="N81">
        <f>Applications!L67</f>
        <v>32</v>
      </c>
      <c r="O81">
        <f>Applications!M67</f>
        <v>5.5096418732782366</v>
      </c>
      <c r="P81" t="str">
        <f>Applications!N67</f>
        <v>Triplet SF (3-Way) 228-312</v>
      </c>
      <c r="Q81" t="str">
        <f>Applications!O67</f>
        <v>2,4-D, dimethylamine salt; Dicamba, dimethylamine salt;Mecoprop-p (MCPP-p), dimethylamine salt</v>
      </c>
      <c r="R81">
        <f>Applications!P67</f>
        <v>24</v>
      </c>
      <c r="S81">
        <f>Applications!Q67</f>
        <v>4.1322314049586772</v>
      </c>
      <c r="T81" t="str">
        <f>Applications!R67</f>
        <v>Resolute 4Fl (100-1139)</v>
      </c>
      <c r="U81" t="str">
        <f>Applications!S67</f>
        <v>Prodiamine</v>
      </c>
      <c r="V81">
        <f>Applications!T67</f>
        <v>16</v>
      </c>
      <c r="W81">
        <f>Applications!U67</f>
        <v>2.7548209366391183</v>
      </c>
      <c r="X81" t="b">
        <f>Applications!V67</f>
        <v>0</v>
      </c>
      <c r="Y81" t="e">
        <f>Applications!W67</f>
        <v>#N/A</v>
      </c>
      <c r="Z81" t="e">
        <f>Applications!X67</f>
        <v>#N/A</v>
      </c>
      <c r="AA81" t="e">
        <f>Applications!Y67</f>
        <v>#N/A</v>
      </c>
      <c r="AB81">
        <f>Applications!Z67</f>
        <v>0</v>
      </c>
      <c r="AC81">
        <f>Applications!AA67</f>
        <v>0</v>
      </c>
      <c r="AD81">
        <f>Applications!AB67</f>
        <v>0</v>
      </c>
      <c r="AE81">
        <f>Applications!AC67</f>
        <v>0</v>
      </c>
    </row>
    <row r="82" spans="1:31" hidden="1">
      <c r="A82" t="str">
        <f>Applications!A69</f>
        <v>Max Brian</v>
      </c>
      <c r="B82" t="str">
        <f>VLOOKUP($A82,Customer_Data!$A$1:$R$161,3,TRUE)</f>
        <v>121 Meadow Creek Drive</v>
      </c>
      <c r="C82" t="str">
        <f>VLOOKUP($A82,Customer_Data!$A$1:$R$161,4,TRUE)</f>
        <v>Brandon</v>
      </c>
      <c r="D82" t="str">
        <f>VLOOKUP($A82,Customer_Data!$A$1:$R$161,5,TRUE)</f>
        <v>MS</v>
      </c>
      <c r="E82">
        <f>VLOOKUP($A82,Customer_Data!$A$1:$R$161,6,TRUE)</f>
        <v>39042</v>
      </c>
      <c r="F82" s="207">
        <f>Applications!B69</f>
        <v>45948</v>
      </c>
      <c r="G82" s="207" t="str">
        <f>Applications!E69</f>
        <v>Matthew Stowers</v>
      </c>
      <c r="H82">
        <f>Applications!F69</f>
        <v>48160</v>
      </c>
      <c r="I82" s="207" t="str">
        <f>Applications!G69</f>
        <v>Fall (pre/post emerge)</v>
      </c>
      <c r="J82">
        <f>Applications!H69</f>
        <v>4670</v>
      </c>
      <c r="L82" t="str">
        <f>Applications!J69</f>
        <v>Princep Liquid (100-526)</v>
      </c>
      <c r="M82" t="str">
        <f>Applications!K69</f>
        <v>Simazine</v>
      </c>
      <c r="N82">
        <f>Applications!L69</f>
        <v>32</v>
      </c>
      <c r="O82">
        <f>Applications!M69</f>
        <v>3.430670339761249</v>
      </c>
      <c r="P82" t="str">
        <f>Applications!N69</f>
        <v>Triplet SF (3-Way) 228-312</v>
      </c>
      <c r="Q82" t="str">
        <f>Applications!O69</f>
        <v>2,4-D, dimethylamine salt; Dicamba, dimethylamine salt;Mecoprop-p (MCPP-p), dimethylamine salt</v>
      </c>
      <c r="R82">
        <f>Applications!P69</f>
        <v>24</v>
      </c>
      <c r="S82">
        <f>Applications!Q69</f>
        <v>2.5730027548209367</v>
      </c>
      <c r="T82" t="str">
        <f>Applications!R69</f>
        <v>Resolute 4Fl (100-1139)</v>
      </c>
      <c r="U82" t="str">
        <f>Applications!S69</f>
        <v>Prodiamine</v>
      </c>
      <c r="V82">
        <f>Applications!T69</f>
        <v>16</v>
      </c>
      <c r="W82">
        <f>Applications!U69</f>
        <v>1.7153351698806245</v>
      </c>
      <c r="X82" t="b">
        <f>Applications!V69</f>
        <v>0</v>
      </c>
      <c r="Y82" t="e">
        <f>Applications!W69</f>
        <v>#N/A</v>
      </c>
      <c r="Z82" t="e">
        <f>Applications!X69</f>
        <v>#N/A</v>
      </c>
      <c r="AA82" t="e">
        <f>Applications!Y69</f>
        <v>#N/A</v>
      </c>
      <c r="AB82">
        <f>Applications!Z69</f>
        <v>0</v>
      </c>
      <c r="AC82">
        <f>Applications!AA69</f>
        <v>0</v>
      </c>
      <c r="AD82">
        <f>Applications!AB69</f>
        <v>0</v>
      </c>
      <c r="AE82">
        <f>Applications!AC69</f>
        <v>0</v>
      </c>
    </row>
    <row r="83" spans="1:31" hidden="1">
      <c r="A83" t="str">
        <f>Applications!A71</f>
        <v>Brandon Bergold</v>
      </c>
      <c r="B83" t="str">
        <f>VLOOKUP($A83,Customer_Data!$A$1:$R$161,3,TRUE)</f>
        <v>3 Glensview Court</v>
      </c>
      <c r="C83" t="str">
        <f>VLOOKUP($A83,Customer_Data!$A$1:$R$161,4,TRUE)</f>
        <v>Brandon</v>
      </c>
      <c r="D83" t="str">
        <f>VLOOKUP($A83,Customer_Data!$A$1:$R$161,5,TRUE)</f>
        <v>MS</v>
      </c>
      <c r="E83">
        <f>VLOOKUP($A83,Customer_Data!$A$1:$R$161,6,TRUE)</f>
        <v>39042</v>
      </c>
      <c r="F83" s="207">
        <f>Applications!B71</f>
        <v>45948</v>
      </c>
      <c r="G83" s="207" t="str">
        <f>Applications!E71</f>
        <v>Matthew Stowers</v>
      </c>
      <c r="H83">
        <f>Applications!F71</f>
        <v>48160</v>
      </c>
      <c r="I83" s="207" t="str">
        <f>Applications!G71</f>
        <v>Fall (pre/post emerge)</v>
      </c>
      <c r="J83">
        <f>Applications!H71</f>
        <v>5670</v>
      </c>
      <c r="L83" t="str">
        <f>Applications!J71</f>
        <v>Princep Liquid (100-526)</v>
      </c>
      <c r="M83" t="str">
        <f>Applications!K71</f>
        <v>Simazine</v>
      </c>
      <c r="N83">
        <f>Applications!L71</f>
        <v>32</v>
      </c>
      <c r="O83">
        <f>Applications!M71</f>
        <v>4.1652892561983474</v>
      </c>
      <c r="P83" t="str">
        <f>Applications!N71</f>
        <v>Triplet SF (3-Way) 228-312</v>
      </c>
      <c r="Q83" t="str">
        <f>Applications!O71</f>
        <v>2,4-D, dimethylamine salt; Dicamba, dimethylamine salt;Mecoprop-p (MCPP-p), dimethylamine salt</v>
      </c>
      <c r="R83">
        <f>Applications!P71</f>
        <v>24</v>
      </c>
      <c r="S83">
        <f>Applications!Q71</f>
        <v>3.1239669421487606</v>
      </c>
      <c r="T83" t="str">
        <f>Applications!R71</f>
        <v>Resolute 4Fl (100-1139)</v>
      </c>
      <c r="U83" t="str">
        <f>Applications!S71</f>
        <v>Prodiamine</v>
      </c>
      <c r="V83">
        <f>Applications!T71</f>
        <v>16</v>
      </c>
      <c r="W83">
        <f>Applications!U71</f>
        <v>2.0826446280991737</v>
      </c>
      <c r="X83" t="b">
        <f>Applications!V71</f>
        <v>0</v>
      </c>
      <c r="Y83" t="e">
        <f>Applications!W71</f>
        <v>#N/A</v>
      </c>
      <c r="Z83" t="e">
        <f>Applications!X71</f>
        <v>#N/A</v>
      </c>
      <c r="AA83" t="e">
        <f>Applications!Y71</f>
        <v>#N/A</v>
      </c>
      <c r="AB83">
        <f>Applications!Z71</f>
        <v>0</v>
      </c>
      <c r="AC83">
        <f>Applications!AA71</f>
        <v>0</v>
      </c>
      <c r="AD83">
        <f>Applications!AB71</f>
        <v>0</v>
      </c>
      <c r="AE83">
        <f>Applications!AC71</f>
        <v>0</v>
      </c>
    </row>
    <row r="84" spans="1:31" hidden="1">
      <c r="A84" t="str">
        <f>Applications!A75</f>
        <v>Thomas Wilson</v>
      </c>
      <c r="B84" t="str">
        <f>VLOOKUP($A84,Customer_Data!$A$1:$R$161,3,TRUE)</f>
        <v>213 Westfield Road</v>
      </c>
      <c r="C84" t="str">
        <f>VLOOKUP($A84,Customer_Data!$A$1:$R$161,4,TRUE)</f>
        <v>Ridgeland</v>
      </c>
      <c r="D84" t="str">
        <f>VLOOKUP($A84,Customer_Data!$A$1:$R$161,5,TRUE)</f>
        <v>MS</v>
      </c>
      <c r="E84">
        <f>VLOOKUP($A84,Customer_Data!$A$1:$R$161,6,TRUE)</f>
        <v>39157</v>
      </c>
      <c r="F84" s="207">
        <f>Applications!B75</f>
        <v>45948</v>
      </c>
      <c r="G84" s="207" t="str">
        <f>Applications!E75</f>
        <v>Matthew Stowers</v>
      </c>
      <c r="H84">
        <f>Applications!F75</f>
        <v>48160</v>
      </c>
      <c r="I84" s="207" t="str">
        <f>Applications!G75</f>
        <v>Fall (pre/post emerge)</v>
      </c>
      <c r="J84">
        <f>Applications!H75</f>
        <v>3875</v>
      </c>
      <c r="L84" t="str">
        <f>Applications!J75</f>
        <v>Princep Liquid (100-526)</v>
      </c>
      <c r="M84" t="str">
        <f>Applications!K75</f>
        <v>Simazine</v>
      </c>
      <c r="N84">
        <f>Applications!L75</f>
        <v>32</v>
      </c>
      <c r="O84">
        <f>Applications!M75</f>
        <v>2.8466483011937558</v>
      </c>
      <c r="P84" t="str">
        <f>Applications!N75</f>
        <v>Triplet SF (3-Way) 228-312</v>
      </c>
      <c r="Q84" t="str">
        <f>Applications!O75</f>
        <v>2,4-D, dimethylamine salt; Dicamba, dimethylamine salt;Mecoprop-p (MCPP-p), dimethylamine salt</v>
      </c>
      <c r="R84">
        <f>Applications!P75</f>
        <v>24</v>
      </c>
      <c r="S84">
        <f>Applications!Q75</f>
        <v>2.1349862258953167</v>
      </c>
      <c r="T84" t="str">
        <f>Applications!R75</f>
        <v>Resolute 4Fl (100-1139)</v>
      </c>
      <c r="U84" t="str">
        <f>Applications!S75</f>
        <v>Prodiamine</v>
      </c>
      <c r="V84">
        <f>Applications!T75</f>
        <v>16</v>
      </c>
      <c r="W84">
        <f>Applications!U75</f>
        <v>1.4233241505968779</v>
      </c>
      <c r="X84" t="b">
        <f>Applications!V75</f>
        <v>0</v>
      </c>
      <c r="Y84" t="e">
        <f>Applications!W75</f>
        <v>#N/A</v>
      </c>
      <c r="Z84" t="e">
        <f>Applications!X75</f>
        <v>#N/A</v>
      </c>
      <c r="AA84" t="e">
        <f>Applications!Y75</f>
        <v>#N/A</v>
      </c>
      <c r="AB84">
        <f>Applications!Z75</f>
        <v>0</v>
      </c>
      <c r="AC84">
        <f>Applications!AA75</f>
        <v>0</v>
      </c>
      <c r="AD84">
        <f>Applications!AB75</f>
        <v>0</v>
      </c>
      <c r="AE84">
        <f>Applications!AC75</f>
        <v>0</v>
      </c>
    </row>
    <row r="85" spans="1:31" hidden="1">
      <c r="A85" t="str">
        <f>Applications!A82</f>
        <v>Steve Edwards</v>
      </c>
      <c r="B85" t="str">
        <f>VLOOKUP($A85,Customer_Data!$A$1:$R$161,3,TRUE)</f>
        <v>71 Saint Andrews Drive</v>
      </c>
      <c r="C85" t="str">
        <f>VLOOKUP($A85,Customer_Data!$A$1:$R$161,4,TRUE)</f>
        <v>Jackson</v>
      </c>
      <c r="D85" t="str">
        <f>VLOOKUP($A85,Customer_Data!$A$1:$R$161,5,TRUE)</f>
        <v>MS</v>
      </c>
      <c r="E85">
        <f>VLOOKUP($A85,Customer_Data!$A$1:$R$161,6,TRUE)</f>
        <v>39211</v>
      </c>
      <c r="F85" s="207">
        <f>Applications!B82</f>
        <v>45948</v>
      </c>
      <c r="G85" s="207" t="str">
        <f>Applications!E82</f>
        <v>Luther Stowers</v>
      </c>
      <c r="H85">
        <f>Applications!F82</f>
        <v>48182</v>
      </c>
      <c r="I85" s="207" t="str">
        <f>Applications!G82</f>
        <v>Fall (pre/post emerge)</v>
      </c>
      <c r="J85">
        <f>Applications!H82</f>
        <v>9000</v>
      </c>
      <c r="L85" t="str">
        <f>Applications!J82</f>
        <v>Princep Liquid (100-526)</v>
      </c>
      <c r="M85" t="str">
        <f>Applications!K82</f>
        <v>Simazine</v>
      </c>
      <c r="N85">
        <f>Applications!L82</f>
        <v>32</v>
      </c>
      <c r="O85">
        <f>Applications!M82</f>
        <v>6.6115702479338845</v>
      </c>
      <c r="P85" t="str">
        <f>Applications!N82</f>
        <v>Triplet SF (3-Way) 228-312</v>
      </c>
      <c r="Q85" t="str">
        <f>Applications!O82</f>
        <v>2,4-D, dimethylamine salt; Dicamba, dimethylamine salt;Mecoprop-p (MCPP-p), dimethylamine salt</v>
      </c>
      <c r="R85">
        <f>Applications!P82</f>
        <v>24</v>
      </c>
      <c r="S85">
        <f>Applications!Q82</f>
        <v>4.9586776859504136</v>
      </c>
      <c r="T85" t="str">
        <f>Applications!R82</f>
        <v>Resolute 4Fl (100-1139)</v>
      </c>
      <c r="U85" t="str">
        <f>Applications!S82</f>
        <v>Prodiamine</v>
      </c>
      <c r="V85">
        <f>Applications!T82</f>
        <v>16</v>
      </c>
      <c r="W85">
        <f>Applications!U82</f>
        <v>3.3057851239669422</v>
      </c>
      <c r="X85" t="b">
        <f>Applications!V82</f>
        <v>0</v>
      </c>
      <c r="Y85" t="e">
        <f>Applications!W82</f>
        <v>#N/A</v>
      </c>
      <c r="Z85" t="e">
        <f>Applications!X82</f>
        <v>#N/A</v>
      </c>
      <c r="AA85" t="e">
        <f>Applications!Y82</f>
        <v>#N/A</v>
      </c>
      <c r="AB85">
        <f>Applications!Z82</f>
        <v>0</v>
      </c>
      <c r="AC85">
        <f>Applications!AA82</f>
        <v>0</v>
      </c>
      <c r="AD85">
        <f>Applications!AB82</f>
        <v>0</v>
      </c>
      <c r="AE85">
        <f>Applications!AC82</f>
        <v>0</v>
      </c>
    </row>
    <row r="86" spans="1:31" hidden="1">
      <c r="A86" t="str">
        <f>Applications!A84</f>
        <v>Seth Simmons</v>
      </c>
      <c r="B86" t="str">
        <f>VLOOKUP($A86,Customer_Data!$A$1:$R$161,3,TRUE)</f>
        <v>202 Highland Garrison</v>
      </c>
      <c r="C86" t="str">
        <f>VLOOKUP($A86,Customer_Data!$A$1:$R$161,4,TRUE)</f>
        <v>Ridgeland</v>
      </c>
      <c r="D86" t="str">
        <f>VLOOKUP($A86,Customer_Data!$A$1:$R$161,5,TRUE)</f>
        <v>MS</v>
      </c>
      <c r="E86">
        <f>VLOOKUP($A86,Customer_Data!$A$1:$R$161,6,TRUE)</f>
        <v>39157</v>
      </c>
      <c r="F86" s="207">
        <f>Applications!B84</f>
        <v>45948</v>
      </c>
      <c r="G86" s="207" t="str">
        <f>Applications!E84</f>
        <v>Matthew Stowers</v>
      </c>
      <c r="H86">
        <f>Applications!F84</f>
        <v>48160</v>
      </c>
      <c r="I86" s="207" t="str">
        <f>Applications!G84</f>
        <v>Fall (pre/post emerge)</v>
      </c>
      <c r="J86">
        <f>Applications!H84</f>
        <v>6500</v>
      </c>
      <c r="L86" t="str">
        <f>Applications!J84</f>
        <v>Princep Liquid (100-526)</v>
      </c>
      <c r="M86" t="str">
        <f>Applications!K84</f>
        <v>Simazine</v>
      </c>
      <c r="N86">
        <f>Applications!L84</f>
        <v>32</v>
      </c>
      <c r="O86">
        <f>Applications!M84</f>
        <v>4.7750229568411386</v>
      </c>
      <c r="P86" t="str">
        <f>Applications!N84</f>
        <v>Triplet SF (3-Way) 228-312</v>
      </c>
      <c r="Q86" t="str">
        <f>Applications!O84</f>
        <v>2,4-D, dimethylamine salt; Dicamba, dimethylamine salt;Mecoprop-p (MCPP-p), dimethylamine salt</v>
      </c>
      <c r="R86">
        <f>Applications!P84</f>
        <v>24</v>
      </c>
      <c r="S86">
        <f>Applications!Q84</f>
        <v>3.5812672176308542</v>
      </c>
      <c r="T86" t="str">
        <f>Applications!R84</f>
        <v>Resolute 4Fl (100-1139)</v>
      </c>
      <c r="U86" t="str">
        <f>Applications!S84</f>
        <v>Prodiamine</v>
      </c>
      <c r="V86">
        <f>Applications!T84</f>
        <v>16</v>
      </c>
      <c r="W86">
        <f>Applications!U84</f>
        <v>2.3875114784205693</v>
      </c>
      <c r="X86" t="b">
        <f>Applications!V84</f>
        <v>0</v>
      </c>
      <c r="Y86" t="e">
        <f>Applications!W84</f>
        <v>#N/A</v>
      </c>
      <c r="Z86" t="e">
        <f>Applications!X84</f>
        <v>#N/A</v>
      </c>
      <c r="AA86" t="e">
        <f>Applications!Y84</f>
        <v>#N/A</v>
      </c>
      <c r="AB86">
        <f>Applications!Z84</f>
        <v>0</v>
      </c>
      <c r="AC86">
        <f>Applications!AA84</f>
        <v>0</v>
      </c>
      <c r="AD86">
        <f>Applications!AB84</f>
        <v>0</v>
      </c>
      <c r="AE86">
        <f>Applications!AC84</f>
        <v>0</v>
      </c>
    </row>
    <row r="87" spans="1:31" hidden="1">
      <c r="A87" t="str">
        <f>Applications!A88</f>
        <v>Browning Bergold</v>
      </c>
      <c r="B87" t="str">
        <f>VLOOKUP($A87,Customer_Data!$A$1:$R$161,3,TRUE)</f>
        <v>121 Hidden Hills Drive</v>
      </c>
      <c r="C87" t="str">
        <f>VLOOKUP($A87,Customer_Data!$A$1:$R$161,4,TRUE)</f>
        <v>Madison</v>
      </c>
      <c r="D87" t="str">
        <f>VLOOKUP($A87,Customer_Data!$A$1:$R$161,5,TRUE)</f>
        <v>MS</v>
      </c>
      <c r="E87">
        <f>VLOOKUP($A87,Customer_Data!$A$1:$R$161,6,TRUE)</f>
        <v>39110</v>
      </c>
      <c r="F87" s="207">
        <f>Applications!B88</f>
        <v>45948</v>
      </c>
      <c r="G87" s="207" t="str">
        <f>Applications!E88</f>
        <v>Matthew Stowers</v>
      </c>
      <c r="H87">
        <f>Applications!F88</f>
        <v>48160</v>
      </c>
      <c r="I87" s="207" t="str">
        <f>Applications!G88</f>
        <v>Fall (pre/post emerge)</v>
      </c>
      <c r="J87">
        <f>Applications!H88</f>
        <v>6400</v>
      </c>
      <c r="L87" t="str">
        <f>Applications!J88</f>
        <v>Princep Liquid (100-526)</v>
      </c>
      <c r="M87" t="str">
        <f>Applications!K88</f>
        <v>Simazine</v>
      </c>
      <c r="N87">
        <f>Applications!L88</f>
        <v>32</v>
      </c>
      <c r="O87">
        <f>Applications!M88</f>
        <v>4.7015610651974287</v>
      </c>
      <c r="P87" t="str">
        <f>Applications!N88</f>
        <v>Triplet SF (3-Way) 228-312</v>
      </c>
      <c r="Q87" t="str">
        <f>Applications!O88</f>
        <v>2,4-D, dimethylamine salt; Dicamba, dimethylamine salt;Mecoprop-p (MCPP-p), dimethylamine salt</v>
      </c>
      <c r="R87">
        <f>Applications!P88</f>
        <v>24</v>
      </c>
      <c r="S87">
        <f>Applications!Q88</f>
        <v>3.5261707988980717</v>
      </c>
      <c r="T87" t="str">
        <f>Applications!R88</f>
        <v>Resolute 4Fl (100-1139)</v>
      </c>
      <c r="U87" t="str">
        <f>Applications!S88</f>
        <v>Prodiamine</v>
      </c>
      <c r="V87">
        <f>Applications!T88</f>
        <v>16</v>
      </c>
      <c r="W87">
        <f>Applications!U88</f>
        <v>2.3507805325987143</v>
      </c>
      <c r="X87" t="b">
        <f>Applications!V88</f>
        <v>0</v>
      </c>
      <c r="Y87" t="e">
        <f>Applications!W88</f>
        <v>#N/A</v>
      </c>
      <c r="Z87" t="e">
        <f>Applications!X88</f>
        <v>#N/A</v>
      </c>
      <c r="AA87" t="e">
        <f>Applications!Y88</f>
        <v>#N/A</v>
      </c>
      <c r="AB87">
        <f>Applications!Z88</f>
        <v>0</v>
      </c>
      <c r="AC87">
        <f>Applications!AA88</f>
        <v>0</v>
      </c>
      <c r="AD87">
        <f>Applications!AB88</f>
        <v>0</v>
      </c>
      <c r="AE87">
        <f>Applications!AC88</f>
        <v>0</v>
      </c>
    </row>
    <row r="88" spans="1:31" hidden="1">
      <c r="A88" t="str">
        <f>Applications!A91</f>
        <v>Gene Henderson</v>
      </c>
      <c r="B88" t="str">
        <f>VLOOKUP($A88,Customer_Data!$A$1:$R$161,3,TRUE)</f>
        <v>104 East Sunset Drive</v>
      </c>
      <c r="C88" t="str">
        <f>VLOOKUP($A88,Customer_Data!$A$1:$R$161,4,TRUE)</f>
        <v>Brandon</v>
      </c>
      <c r="D88" t="str">
        <f>VLOOKUP($A88,Customer_Data!$A$1:$R$161,5,TRUE)</f>
        <v>MS</v>
      </c>
      <c r="E88">
        <f>VLOOKUP($A88,Customer_Data!$A$1:$R$161,6,TRUE)</f>
        <v>39042</v>
      </c>
      <c r="F88" s="207">
        <f>Applications!B91</f>
        <v>45948</v>
      </c>
      <c r="G88" s="207" t="str">
        <f>Applications!E91</f>
        <v>Matthew Stowers</v>
      </c>
      <c r="H88">
        <f>Applications!F91</f>
        <v>48160</v>
      </c>
      <c r="I88" s="207" t="str">
        <f>Applications!G91</f>
        <v>Fall (pre/post emerge)</v>
      </c>
      <c r="J88">
        <f>Applications!H91</f>
        <v>11000</v>
      </c>
      <c r="L88" t="str">
        <f>Applications!J91</f>
        <v>Princep Liquid (100-526)</v>
      </c>
      <c r="M88" t="str">
        <f>Applications!K91</f>
        <v>Simazine</v>
      </c>
      <c r="N88">
        <f>Applications!L91</f>
        <v>32</v>
      </c>
      <c r="O88">
        <f>Applications!M91</f>
        <v>8.0808080808080813</v>
      </c>
      <c r="P88" t="str">
        <f>Applications!N91</f>
        <v>Triplet SF (3-Way) 228-312</v>
      </c>
      <c r="Q88" t="str">
        <f>Applications!O91</f>
        <v>2,4-D, dimethylamine salt; Dicamba, dimethylamine salt;Mecoprop-p (MCPP-p), dimethylamine salt</v>
      </c>
      <c r="R88">
        <f>Applications!P91</f>
        <v>24</v>
      </c>
      <c r="S88">
        <f>Applications!Q91</f>
        <v>6.0606060606060606</v>
      </c>
      <c r="T88" t="str">
        <f>Applications!R91</f>
        <v>Resolute 4Fl (100-1139)</v>
      </c>
      <c r="U88" t="str">
        <f>Applications!S91</f>
        <v>Prodiamine</v>
      </c>
      <c r="V88">
        <f>Applications!T91</f>
        <v>16</v>
      </c>
      <c r="W88">
        <f>Applications!U91</f>
        <v>4.0404040404040407</v>
      </c>
      <c r="X88" t="b">
        <f>Applications!V91</f>
        <v>0</v>
      </c>
      <c r="Y88" t="e">
        <f>Applications!W91</f>
        <v>#N/A</v>
      </c>
      <c r="Z88" t="e">
        <f>Applications!X91</f>
        <v>#N/A</v>
      </c>
      <c r="AA88" t="e">
        <f>Applications!Y91</f>
        <v>#N/A</v>
      </c>
      <c r="AB88">
        <f>Applications!Z91</f>
        <v>0</v>
      </c>
      <c r="AC88">
        <f>Applications!AA91</f>
        <v>0</v>
      </c>
      <c r="AD88">
        <f>Applications!AB91</f>
        <v>0</v>
      </c>
      <c r="AE88">
        <f>Applications!AC91</f>
        <v>0</v>
      </c>
    </row>
    <row r="89" spans="1:31" hidden="1">
      <c r="A89" t="str">
        <f>Applications!A77</f>
        <v>Elliot Smith</v>
      </c>
      <c r="B89" t="str">
        <f>VLOOKUP($A89,Customer_Data!$A$1:$R$161,3,TRUE)</f>
        <v>103 Glenartney St.</v>
      </c>
      <c r="C89" t="str">
        <f>VLOOKUP($A89,Customer_Data!$A$1:$R$161,4,TRUE)</f>
        <v>Brandon</v>
      </c>
      <c r="D89" t="str">
        <f>VLOOKUP($A89,Customer_Data!$A$1:$R$161,5,TRUE)</f>
        <v>MS</v>
      </c>
      <c r="E89">
        <f>VLOOKUP($A89,Customer_Data!$A$1:$R$161,6,TRUE)</f>
        <v>39042</v>
      </c>
      <c r="F89" s="207">
        <f>Applications!B77</f>
        <v>45950</v>
      </c>
      <c r="G89" s="207" t="str">
        <f>Applications!E77</f>
        <v>Matthew Stowers</v>
      </c>
      <c r="H89">
        <f>Applications!F77</f>
        <v>48160</v>
      </c>
      <c r="I89" s="207" t="str">
        <f>Applications!G77</f>
        <v>Fall (pre/post emerge)</v>
      </c>
      <c r="J89">
        <f>Applications!H77</f>
        <v>13500</v>
      </c>
      <c r="L89" t="str">
        <f>Applications!J77</f>
        <v>Princep Liquid (100-526)</v>
      </c>
      <c r="M89" t="str">
        <f>Applications!K77</f>
        <v>Simazine</v>
      </c>
      <c r="N89">
        <f>Applications!L77</f>
        <v>32</v>
      </c>
      <c r="O89">
        <f>Applications!M77</f>
        <v>9.9173553719008272</v>
      </c>
      <c r="P89" t="str">
        <f>Applications!N77</f>
        <v>Triplet SF (3-Way) 228-312</v>
      </c>
      <c r="Q89" t="str">
        <f>Applications!O77</f>
        <v>2,4-D, dimethylamine salt; Dicamba, dimethylamine salt;Mecoprop-p (MCPP-p), dimethylamine salt</v>
      </c>
      <c r="R89">
        <f>Applications!P77</f>
        <v>24</v>
      </c>
      <c r="S89">
        <f>Applications!Q77</f>
        <v>7.4380165289256208</v>
      </c>
      <c r="T89" t="str">
        <f>Applications!R77</f>
        <v>Resolute 4Fl (100-1139)</v>
      </c>
      <c r="U89" t="str">
        <f>Applications!S77</f>
        <v>Prodiamine</v>
      </c>
      <c r="V89">
        <f>Applications!T77</f>
        <v>16</v>
      </c>
      <c r="W89">
        <f>Applications!U77</f>
        <v>4.9586776859504136</v>
      </c>
      <c r="X89" t="b">
        <f>Applications!V77</f>
        <v>0</v>
      </c>
      <c r="Y89" t="e">
        <f>Applications!W77</f>
        <v>#N/A</v>
      </c>
      <c r="Z89" t="e">
        <f>Applications!X77</f>
        <v>#N/A</v>
      </c>
      <c r="AA89" t="e">
        <f>Applications!Y77</f>
        <v>#N/A</v>
      </c>
      <c r="AB89">
        <f>Applications!Z77</f>
        <v>0</v>
      </c>
      <c r="AC89">
        <f>Applications!AA77</f>
        <v>0</v>
      </c>
      <c r="AD89">
        <f>Applications!AB77</f>
        <v>0</v>
      </c>
      <c r="AE89">
        <f>Applications!AC77</f>
        <v>0</v>
      </c>
    </row>
    <row r="90" spans="1:31" hidden="1">
      <c r="A90" t="str">
        <f>Applications!A86</f>
        <v>Gay Grantham</v>
      </c>
      <c r="B90" t="str">
        <f>VLOOKUP($A90,Customer_Data!$A$1:$R$161,3,TRUE)</f>
        <v>204 West Brandon Court</v>
      </c>
      <c r="C90" t="str">
        <f>VLOOKUP($A90,Customer_Data!$A$1:$R$161,4,TRUE)</f>
        <v>Brandon</v>
      </c>
      <c r="D90" t="str">
        <f>VLOOKUP($A90,Customer_Data!$A$1:$R$161,5,TRUE)</f>
        <v>MS</v>
      </c>
      <c r="E90">
        <f>VLOOKUP($A90,Customer_Data!$A$1:$R$161,6,TRUE)</f>
        <v>39042</v>
      </c>
      <c r="F90" s="207">
        <f>Applications!B86</f>
        <v>45950</v>
      </c>
      <c r="G90" s="207" t="str">
        <f>Applications!E86</f>
        <v>Matthew Stowers</v>
      </c>
      <c r="H90">
        <f>Applications!F86</f>
        <v>48160</v>
      </c>
      <c r="I90" s="207" t="str">
        <f>Applications!G86</f>
        <v>Fall (pre/post emerge)</v>
      </c>
      <c r="J90">
        <f>Applications!H86</f>
        <v>5900</v>
      </c>
      <c r="L90" t="str">
        <f>Applications!J86</f>
        <v>Princep Liquid (100-526)</v>
      </c>
      <c r="M90" t="str">
        <f>Applications!K86</f>
        <v>Simazine</v>
      </c>
      <c r="N90">
        <f>Applications!L86</f>
        <v>32</v>
      </c>
      <c r="O90">
        <f>Applications!M86</f>
        <v>4.3342516069788797</v>
      </c>
      <c r="P90" t="str">
        <f>Applications!N86</f>
        <v>Triplet SF (3-Way) 228-312</v>
      </c>
      <c r="Q90" t="str">
        <f>Applications!O86</f>
        <v>2,4-D, dimethylamine salt; Dicamba, dimethylamine salt;Mecoprop-p (MCPP-p), dimethylamine salt</v>
      </c>
      <c r="R90">
        <f>Applications!P86</f>
        <v>24</v>
      </c>
      <c r="S90">
        <f>Applications!Q86</f>
        <v>3.2506887052341598</v>
      </c>
      <c r="T90" t="str">
        <f>Applications!R86</f>
        <v>Resolute 4Fl (100-1139)</v>
      </c>
      <c r="U90" t="str">
        <f>Applications!S86</f>
        <v>Prodiamine</v>
      </c>
      <c r="V90">
        <f>Applications!T86</f>
        <v>16</v>
      </c>
      <c r="W90">
        <f>Applications!U86</f>
        <v>2.1671258034894398</v>
      </c>
      <c r="X90" t="b">
        <f>Applications!V86</f>
        <v>0</v>
      </c>
      <c r="Y90" t="e">
        <f>Applications!W86</f>
        <v>#N/A</v>
      </c>
      <c r="Z90" t="e">
        <f>Applications!X86</f>
        <v>#N/A</v>
      </c>
      <c r="AA90" t="e">
        <f>Applications!Y86</f>
        <v>#N/A</v>
      </c>
      <c r="AB90">
        <f>Applications!Z86</f>
        <v>0</v>
      </c>
      <c r="AC90">
        <f>Applications!AA86</f>
        <v>0</v>
      </c>
      <c r="AD90">
        <f>Applications!AB86</f>
        <v>0</v>
      </c>
      <c r="AE90">
        <f>Applications!AC86</f>
        <v>0</v>
      </c>
    </row>
    <row r="91" spans="1:31" hidden="1">
      <c r="A91" t="str">
        <f>Applications!A93</f>
        <v>Roe Grubbs</v>
      </c>
      <c r="B91" t="str">
        <f>VLOOKUP($A91,Customer_Data!$A$1:$R$161,3,TRUE)</f>
        <v>104 Glenartney Street</v>
      </c>
      <c r="C91" t="str">
        <f>VLOOKUP($A91,Customer_Data!$A$1:$R$161,4,TRUE)</f>
        <v>Brandon</v>
      </c>
      <c r="D91" t="str">
        <f>VLOOKUP($A91,Customer_Data!$A$1:$R$161,5,TRUE)</f>
        <v>MS</v>
      </c>
      <c r="E91">
        <f>VLOOKUP($A91,Customer_Data!$A$1:$R$161,6,TRUE)</f>
        <v>39042</v>
      </c>
      <c r="F91" s="207">
        <f>Applications!B93</f>
        <v>45950</v>
      </c>
      <c r="G91" s="207" t="str">
        <f>Applications!E93</f>
        <v>Matthew Stowers</v>
      </c>
      <c r="H91">
        <f>Applications!F93</f>
        <v>48160</v>
      </c>
      <c r="I91" s="207" t="str">
        <f>Applications!G93</f>
        <v>Fall (pre/post emerge)</v>
      </c>
      <c r="J91">
        <f>Applications!H93</f>
        <v>5000</v>
      </c>
      <c r="L91" t="str">
        <f>Applications!J93</f>
        <v>Princep Liquid (100-526)</v>
      </c>
      <c r="M91" t="str">
        <f>Applications!K93</f>
        <v>Simazine</v>
      </c>
      <c r="N91">
        <f>Applications!L93</f>
        <v>32</v>
      </c>
      <c r="O91">
        <f>Applications!M93</f>
        <v>3.6730945821854912</v>
      </c>
      <c r="P91" t="str">
        <f>Applications!N93</f>
        <v>Triplet SF (3-Way) 228-312</v>
      </c>
      <c r="Q91" t="str">
        <f>Applications!O93</f>
        <v>2,4-D, dimethylamine salt; Dicamba, dimethylamine salt;Mecoprop-p (MCPP-p), dimethylamine salt</v>
      </c>
      <c r="R91">
        <f>Applications!P93</f>
        <v>24</v>
      </c>
      <c r="S91">
        <f>Applications!Q93</f>
        <v>2.7548209366391183</v>
      </c>
      <c r="T91" t="str">
        <f>Applications!R93</f>
        <v>Resolute 4Fl (100-1139)</v>
      </c>
      <c r="U91" t="str">
        <f>Applications!S93</f>
        <v>Prodiamine</v>
      </c>
      <c r="V91">
        <f>Applications!T93</f>
        <v>16</v>
      </c>
      <c r="W91">
        <f>Applications!U93</f>
        <v>1.8365472910927456</v>
      </c>
      <c r="X91" t="b">
        <f>Applications!V93</f>
        <v>0</v>
      </c>
      <c r="Y91" t="e">
        <f>Applications!W93</f>
        <v>#N/A</v>
      </c>
      <c r="Z91" t="e">
        <f>Applications!X93</f>
        <v>#N/A</v>
      </c>
      <c r="AA91" t="e">
        <f>Applications!Y93</f>
        <v>#N/A</v>
      </c>
      <c r="AB91">
        <f>Applications!Z93</f>
        <v>0</v>
      </c>
      <c r="AC91">
        <f>Applications!AA93</f>
        <v>0</v>
      </c>
      <c r="AD91">
        <f>Applications!AB93</f>
        <v>0</v>
      </c>
      <c r="AE91">
        <f>Applications!AC93</f>
        <v>0</v>
      </c>
    </row>
    <row r="92" spans="1:31" hidden="1">
      <c r="A92" t="str">
        <f>Applications!A96</f>
        <v>Allen Barnes</v>
      </c>
      <c r="B92" t="str">
        <f>VLOOKUP($A92,Customer_Data!$A$1:$R$161,3,TRUE)</f>
        <v>631 Tucker Crossing</v>
      </c>
      <c r="C92" t="str">
        <f>VLOOKUP($A92,Customer_Data!$A$1:$R$161,4,TRUE)</f>
        <v>Brandon</v>
      </c>
      <c r="D92" t="str">
        <f>VLOOKUP($A92,Customer_Data!$A$1:$R$161,5,TRUE)</f>
        <v>MS</v>
      </c>
      <c r="E92">
        <f>VLOOKUP($A92,Customer_Data!$A$1:$R$161,6,TRUE)</f>
        <v>39042</v>
      </c>
      <c r="F92" s="207">
        <f>Applications!B96</f>
        <v>45950</v>
      </c>
      <c r="G92" s="207" t="str">
        <f>Applications!E96</f>
        <v>Matthew Stowers</v>
      </c>
      <c r="H92">
        <f>Applications!F96</f>
        <v>48160</v>
      </c>
      <c r="I92" s="207" t="str">
        <f>Applications!G96</f>
        <v>Fall (pre/post emerge)</v>
      </c>
      <c r="J92">
        <f>Applications!H96</f>
        <v>6600</v>
      </c>
      <c r="L92" t="str">
        <f>Applications!J96</f>
        <v>Princep Liquid (100-526)</v>
      </c>
      <c r="M92" t="str">
        <f>Applications!K96</f>
        <v>Simazine</v>
      </c>
      <c r="N92">
        <f>Applications!L96</f>
        <v>32</v>
      </c>
      <c r="O92">
        <f>Applications!M96</f>
        <v>4.8484848484848486</v>
      </c>
      <c r="P92" t="str">
        <f>Applications!N96</f>
        <v>Triplet SF (3-Way) 228-312</v>
      </c>
      <c r="Q92" t="str">
        <f>Applications!O96</f>
        <v>2,4-D, dimethylamine salt; Dicamba, dimethylamine salt;Mecoprop-p (MCPP-p), dimethylamine salt</v>
      </c>
      <c r="R92">
        <f>Applications!P96</f>
        <v>24</v>
      </c>
      <c r="S92">
        <f>Applications!Q96</f>
        <v>3.6363636363636367</v>
      </c>
      <c r="T92" t="str">
        <f>Applications!R96</f>
        <v>Resolute 4Fl (100-1139)</v>
      </c>
      <c r="U92" t="str">
        <f>Applications!S96</f>
        <v>Prodiamine</v>
      </c>
      <c r="V92">
        <f>Applications!T96</f>
        <v>16</v>
      </c>
      <c r="W92">
        <f>Applications!U96</f>
        <v>2.4242424242424243</v>
      </c>
      <c r="X92" t="b">
        <f>Applications!V96</f>
        <v>0</v>
      </c>
      <c r="Y92" t="e">
        <f>Applications!W96</f>
        <v>#N/A</v>
      </c>
      <c r="Z92" t="e">
        <f>Applications!X96</f>
        <v>#N/A</v>
      </c>
      <c r="AA92" t="e">
        <f>Applications!Y96</f>
        <v>#N/A</v>
      </c>
      <c r="AB92">
        <f>Applications!Z96</f>
        <v>0</v>
      </c>
      <c r="AC92">
        <f>Applications!AA96</f>
        <v>0</v>
      </c>
      <c r="AD92">
        <f>Applications!AB96</f>
        <v>0</v>
      </c>
      <c r="AE92">
        <f>Applications!AC96</f>
        <v>0</v>
      </c>
    </row>
    <row r="93" spans="1:31" hidden="1">
      <c r="A93" t="str">
        <f>Applications!A73</f>
        <v>Riley Cooper</v>
      </c>
      <c r="B93" t="str">
        <f>VLOOKUP($A93,Customer_Data!$A$1:$R$161,3,TRUE)</f>
        <v>227 Westfield Road</v>
      </c>
      <c r="C93" t="str">
        <f>VLOOKUP($A93,Customer_Data!$A$1:$R$161,4,TRUE)</f>
        <v>Ridgeland</v>
      </c>
      <c r="D93" t="str">
        <f>VLOOKUP($A93,Customer_Data!$A$1:$R$161,5,TRUE)</f>
        <v>MS</v>
      </c>
      <c r="E93">
        <f>VLOOKUP($A93,Customer_Data!$A$1:$R$161,6,TRUE)</f>
        <v>39157</v>
      </c>
      <c r="F93" s="207">
        <f>Applications!B73</f>
        <v>45952</v>
      </c>
      <c r="G93" s="207" t="str">
        <f>Applications!E73</f>
        <v>Matthew Stowers</v>
      </c>
      <c r="H93">
        <f>Applications!F73</f>
        <v>48160</v>
      </c>
      <c r="I93" s="207" t="str">
        <f>Applications!G73</f>
        <v>Fall (pre/post emerge)</v>
      </c>
      <c r="J93">
        <f>Applications!H73</f>
        <v>4150</v>
      </c>
      <c r="L93" t="str">
        <f>Applications!J73</f>
        <v>Princep Liquid (100-526)</v>
      </c>
      <c r="M93" t="str">
        <f>Applications!K73</f>
        <v>Simazine</v>
      </c>
      <c r="N93">
        <f>Applications!L73</f>
        <v>32</v>
      </c>
      <c r="O93">
        <f>Applications!M73</f>
        <v>3.0486685032139578</v>
      </c>
      <c r="P93" t="str">
        <f>Applications!N73</f>
        <v>Triplet SF (3-Way) 228-312</v>
      </c>
      <c r="Q93" t="str">
        <f>Applications!O73</f>
        <v>2,4-D, dimethylamine salt; Dicamba, dimethylamine salt;Mecoprop-p (MCPP-p), dimethylamine salt</v>
      </c>
      <c r="R93">
        <f>Applications!P73</f>
        <v>24</v>
      </c>
      <c r="S93">
        <f>Applications!Q73</f>
        <v>2.2865013774104685</v>
      </c>
      <c r="T93" t="str">
        <f>Applications!R73</f>
        <v>Resolute 4Fl (100-1139)</v>
      </c>
      <c r="U93" t="str">
        <f>Applications!S73</f>
        <v>Prodiamine</v>
      </c>
      <c r="V93">
        <f>Applications!T73</f>
        <v>16</v>
      </c>
      <c r="W93">
        <f>Applications!U73</f>
        <v>1.5243342516069789</v>
      </c>
      <c r="X93" t="b">
        <f>Applications!V73</f>
        <v>0</v>
      </c>
      <c r="Y93" t="e">
        <f>Applications!W73</f>
        <v>#N/A</v>
      </c>
      <c r="Z93" t="e">
        <f>Applications!X73</f>
        <v>#N/A</v>
      </c>
      <c r="AA93" t="e">
        <f>Applications!Y73</f>
        <v>#N/A</v>
      </c>
      <c r="AB93">
        <f>Applications!Z73</f>
        <v>0</v>
      </c>
      <c r="AC93">
        <f>Applications!AA73</f>
        <v>0</v>
      </c>
      <c r="AD93">
        <f>Applications!AB73</f>
        <v>0</v>
      </c>
      <c r="AE93">
        <f>Applications!AC73</f>
        <v>0</v>
      </c>
    </row>
    <row r="94" spans="1:31" hidden="1">
      <c r="A94" t="str">
        <f>Applications!A79</f>
        <v>Danny Cooper</v>
      </c>
      <c r="B94" t="str">
        <f>VLOOKUP($A94,Customer_Data!$A$1:$R$161,3,TRUE)</f>
        <v>129 Sawbridge Drive</v>
      </c>
      <c r="C94" t="str">
        <f>VLOOKUP($A94,Customer_Data!$A$1:$R$161,4,TRUE)</f>
        <v>Ridgeland</v>
      </c>
      <c r="D94" t="str">
        <f>VLOOKUP($A94,Customer_Data!$A$1:$R$161,5,TRUE)</f>
        <v>MS</v>
      </c>
      <c r="E94">
        <f>VLOOKUP($A94,Customer_Data!$A$1:$R$161,6,TRUE)</f>
        <v>39157</v>
      </c>
      <c r="F94" s="207">
        <f>Applications!B79</f>
        <v>45952</v>
      </c>
      <c r="G94" s="207" t="str">
        <f>Applications!E79</f>
        <v>Matthew Stowers</v>
      </c>
      <c r="H94">
        <f>Applications!F79</f>
        <v>48160</v>
      </c>
      <c r="I94" s="207" t="str">
        <f>Applications!G79</f>
        <v>Fall (pre/post emerge)</v>
      </c>
      <c r="J94">
        <f>Applications!H79</f>
        <v>7000</v>
      </c>
      <c r="L94" t="str">
        <f>Applications!J79</f>
        <v>Princep Liquid (100-526)</v>
      </c>
      <c r="M94" t="str">
        <f>Applications!K79</f>
        <v>Simazine</v>
      </c>
      <c r="N94">
        <f>Applications!L79</f>
        <v>32</v>
      </c>
      <c r="O94">
        <f>Applications!M79</f>
        <v>5.1423324150596876</v>
      </c>
      <c r="P94" t="str">
        <f>Applications!N79</f>
        <v>Triplet SF (3-Way) 228-312</v>
      </c>
      <c r="Q94" t="str">
        <f>Applications!O79</f>
        <v>2,4-D, dimethylamine salt; Dicamba, dimethylamine salt;Mecoprop-p (MCPP-p), dimethylamine salt</v>
      </c>
      <c r="R94">
        <f>Applications!P79</f>
        <v>24</v>
      </c>
      <c r="S94">
        <f>Applications!Q79</f>
        <v>3.8567493112947657</v>
      </c>
      <c r="T94" t="str">
        <f>Applications!R79</f>
        <v>Resolute 4Fl (100-1139)</v>
      </c>
      <c r="U94" t="str">
        <f>Applications!S79</f>
        <v>Prodiamine</v>
      </c>
      <c r="V94">
        <f>Applications!T79</f>
        <v>16</v>
      </c>
      <c r="W94">
        <f>Applications!U79</f>
        <v>2.5711662075298438</v>
      </c>
      <c r="X94" t="b">
        <f>Applications!V79</f>
        <v>0</v>
      </c>
      <c r="Y94" t="e">
        <f>Applications!W79</f>
        <v>#N/A</v>
      </c>
      <c r="Z94" t="e">
        <f>Applications!X79</f>
        <v>#N/A</v>
      </c>
      <c r="AA94" t="e">
        <f>Applications!Y79</f>
        <v>#N/A</v>
      </c>
      <c r="AB94">
        <f>Applications!Z79</f>
        <v>0</v>
      </c>
      <c r="AC94">
        <f>Applications!AA79</f>
        <v>0</v>
      </c>
      <c r="AD94">
        <f>Applications!AB79</f>
        <v>0</v>
      </c>
      <c r="AE94">
        <f>Applications!AC79</f>
        <v>0</v>
      </c>
    </row>
    <row r="95" spans="1:31" hidden="1">
      <c r="A95" t="str">
        <f>Applications!A97</f>
        <v>Gary Jordan</v>
      </c>
      <c r="B95" t="str">
        <f>VLOOKUP($A95,Customer_Data!$A$1:$R$161,3,TRUE)</f>
        <v>3342-MS 18</v>
      </c>
      <c r="C95" t="str">
        <f>VLOOKUP($A95,Customer_Data!$A$1:$R$161,4,TRUE)</f>
        <v>Brandon</v>
      </c>
      <c r="D95" t="str">
        <f>VLOOKUP($A95,Customer_Data!$A$1:$R$161,5,TRUE)</f>
        <v>MS</v>
      </c>
      <c r="E95">
        <f>VLOOKUP($A95,Customer_Data!$A$1:$R$161,6,TRUE)</f>
        <v>39042</v>
      </c>
      <c r="F95" s="207">
        <f>Applications!B97</f>
        <v>45952</v>
      </c>
      <c r="G95" s="207" t="str">
        <f>Applications!E97</f>
        <v>Matthew Stowers</v>
      </c>
      <c r="H95">
        <f>Applications!F97</f>
        <v>48160</v>
      </c>
      <c r="I95" s="207" t="str">
        <f>Applications!G97</f>
        <v>Fall (pre/post emerge)</v>
      </c>
      <c r="J95">
        <f>Applications!H97</f>
        <v>8000</v>
      </c>
      <c r="L95" t="str">
        <f>Applications!J97</f>
        <v>Princep Liquid (100-526)</v>
      </c>
      <c r="M95" t="str">
        <f>Applications!K97</f>
        <v>Simazine</v>
      </c>
      <c r="N95">
        <f>Applications!L97</f>
        <v>32</v>
      </c>
      <c r="O95">
        <f>Applications!M97</f>
        <v>5.8769513314967856</v>
      </c>
      <c r="P95" t="str">
        <f>Applications!N97</f>
        <v>Triplet SF (3-Way) 228-312</v>
      </c>
      <c r="Q95" t="str">
        <f>Applications!O97</f>
        <v>2,4-D, dimethylamine salt; Dicamba, dimethylamine salt;Mecoprop-p (MCPP-p), dimethylamine salt</v>
      </c>
      <c r="R95">
        <f>Applications!P97</f>
        <v>24</v>
      </c>
      <c r="S95">
        <f>Applications!Q97</f>
        <v>4.4077134986225897</v>
      </c>
      <c r="T95" t="str">
        <f>Applications!R97</f>
        <v>Resolute 4Fl (100-1139)</v>
      </c>
      <c r="U95" t="str">
        <f>Applications!S97</f>
        <v>Prodiamine</v>
      </c>
      <c r="V95">
        <f>Applications!T97</f>
        <v>16</v>
      </c>
      <c r="W95">
        <f>Applications!U97</f>
        <v>2.9384756657483928</v>
      </c>
      <c r="X95" t="b">
        <f>Applications!V97</f>
        <v>0</v>
      </c>
      <c r="Y95" t="e">
        <f>Applications!W97</f>
        <v>#N/A</v>
      </c>
      <c r="Z95" t="e">
        <f>Applications!X97</f>
        <v>#N/A</v>
      </c>
      <c r="AA95" t="e">
        <f>Applications!Y97</f>
        <v>#N/A</v>
      </c>
      <c r="AB95">
        <f>Applications!Z97</f>
        <v>0</v>
      </c>
      <c r="AC95">
        <f>Applications!AA97</f>
        <v>0</v>
      </c>
      <c r="AD95">
        <f>Applications!AB97</f>
        <v>0</v>
      </c>
      <c r="AE95">
        <f>Applications!AC97</f>
        <v>0</v>
      </c>
    </row>
    <row r="96" spans="1:31" hidden="1">
      <c r="A96" t="str">
        <f>Applications!A53</f>
        <v>Max Miller</v>
      </c>
      <c r="B96" t="str">
        <f>VLOOKUP($A96,Customer_Data!$A$1:$R$161,3,TRUE)</f>
        <v>1021 Cumberland Dr.</v>
      </c>
      <c r="C96" t="str">
        <f>VLOOKUP($A96,Customer_Data!$A$1:$R$161,4,TRUE)</f>
        <v>Brandon</v>
      </c>
      <c r="D96" t="str">
        <f>VLOOKUP($A96,Customer_Data!$A$1:$R$161,5,TRUE)</f>
        <v>MS</v>
      </c>
      <c r="E96">
        <f>VLOOKUP($A96,Customer_Data!$A$1:$R$161,6,TRUE)</f>
        <v>39047</v>
      </c>
      <c r="F96" s="207">
        <f>Applications!B53</f>
        <v>45956</v>
      </c>
      <c r="G96" s="207" t="str">
        <f>Applications!E53</f>
        <v>Matthew Stowers</v>
      </c>
      <c r="H96">
        <f>Applications!F53</f>
        <v>48160</v>
      </c>
      <c r="I96" s="207" t="str">
        <f>Applications!G53</f>
        <v>Fall (pre/post emerge)</v>
      </c>
      <c r="J96">
        <f>Applications!H53</f>
        <v>3100</v>
      </c>
      <c r="L96" t="str">
        <f>Applications!J53</f>
        <v>Princep Liquid (100-526)</v>
      </c>
      <c r="M96" t="str">
        <f>Applications!K53</f>
        <v>Simazine</v>
      </c>
      <c r="N96">
        <f>Applications!L53</f>
        <v>32</v>
      </c>
      <c r="O96">
        <f>Applications!M53</f>
        <v>2.2773186409550048</v>
      </c>
      <c r="P96" t="str">
        <f>Applications!N53</f>
        <v>Triplet SF (3-Way) 228-312</v>
      </c>
      <c r="Q96" t="str">
        <f>Applications!O53</f>
        <v>2,4-D, dimethylamine salt; Dicamba, dimethylamine salt;Mecoprop-p (MCPP-p), dimethylamine salt</v>
      </c>
      <c r="R96">
        <f>Applications!P53</f>
        <v>24</v>
      </c>
      <c r="S96">
        <f>Applications!Q53</f>
        <v>1.7079889807162536</v>
      </c>
      <c r="T96" t="str">
        <f>Applications!R53</f>
        <v>Resolute 4Fl (100-1139)</v>
      </c>
      <c r="U96" t="str">
        <f>Applications!S53</f>
        <v>Prodiamine</v>
      </c>
      <c r="V96">
        <f>Applications!T53</f>
        <v>16</v>
      </c>
      <c r="W96">
        <f>Applications!U53</f>
        <v>1.1386593204775024</v>
      </c>
      <c r="X96" t="b">
        <f>Applications!V53</f>
        <v>0</v>
      </c>
      <c r="Y96" t="e">
        <f>Applications!W53</f>
        <v>#N/A</v>
      </c>
      <c r="Z96" t="e">
        <f>Applications!X53</f>
        <v>#N/A</v>
      </c>
      <c r="AA96" t="e">
        <f>Applications!Y53</f>
        <v>#N/A</v>
      </c>
      <c r="AB96">
        <f>Applications!Z53</f>
        <v>0</v>
      </c>
      <c r="AC96">
        <f>Applications!AA53</f>
        <v>0</v>
      </c>
      <c r="AD96">
        <f>Applications!AB53</f>
        <v>0</v>
      </c>
      <c r="AE96">
        <f>Applications!AC53</f>
        <v>0</v>
      </c>
    </row>
    <row r="97" spans="1:31">
      <c r="A97" t="str">
        <f>Applications!A98</f>
        <v>Luther Holmes</v>
      </c>
      <c r="B97" t="str">
        <f>VLOOKUP($A97,Customer_Data!$A$1:$R$161,3,TRUE)</f>
        <v>5481 Kaywood Drive</v>
      </c>
      <c r="C97" t="str">
        <f>VLOOKUP($A97,Customer_Data!$A$1:$R$161,4,TRUE)</f>
        <v>Jackson</v>
      </c>
      <c r="D97" t="str">
        <f>VLOOKUP($A97,Customer_Data!$A$1:$R$161,5,TRUE)</f>
        <v>MS</v>
      </c>
      <c r="E97">
        <f>VLOOKUP($A97,Customer_Data!$A$1:$R$161,6,TRUE)</f>
        <v>39211</v>
      </c>
      <c r="F97" s="207">
        <f>Applications!B98</f>
        <v>46074</v>
      </c>
      <c r="G97" s="207" t="str">
        <f>Applications!E98</f>
        <v>Matthew Stowers</v>
      </c>
      <c r="H97">
        <f>Applications!F98</f>
        <v>48160</v>
      </c>
      <c r="I97" s="207" t="str">
        <f>Applications!G98</f>
        <v>Spring Preemerge (Jan)</v>
      </c>
      <c r="J97">
        <f>Applications!H98</f>
        <v>3687</v>
      </c>
      <c r="L97" t="str">
        <f>Applications!J98</f>
        <v/>
      </c>
      <c r="M97" t="e">
        <f>Applications!K98</f>
        <v>#N/A</v>
      </c>
      <c r="N97" t="e">
        <f>Applications!L98</f>
        <v>#N/A</v>
      </c>
      <c r="O97" t="e">
        <f>Applications!M98</f>
        <v>#N/A</v>
      </c>
      <c r="P97" t="str">
        <f>Applications!N98</f>
        <v>Triplet SF (3-Way) 228-312</v>
      </c>
      <c r="Q97" t="str">
        <f>Applications!O98</f>
        <v>2,4-D, dimethylamine salt; Dicamba, dimethylamine salt;Mecoprop-p (MCPP-p), dimethylamine salt</v>
      </c>
      <c r="R97">
        <f>Applications!P98</f>
        <v>24</v>
      </c>
      <c r="S97">
        <f>Applications!Q98</f>
        <v>2.0314049586776859</v>
      </c>
      <c r="T97" t="str">
        <f>Applications!R98</f>
        <v>Resolute 4Fl (100-1139)</v>
      </c>
      <c r="U97" t="str">
        <f>Applications!S98</f>
        <v>Prodiamine</v>
      </c>
      <c r="V97">
        <f>Applications!T98</f>
        <v>16</v>
      </c>
      <c r="W97">
        <f>Applications!U98</f>
        <v>1.3542699724517906</v>
      </c>
      <c r="X97" t="b">
        <f>Applications!V98</f>
        <v>0</v>
      </c>
      <c r="Y97" t="e">
        <f>Applications!W98</f>
        <v>#N/A</v>
      </c>
      <c r="Z97" t="e">
        <f>Applications!X98</f>
        <v>#N/A</v>
      </c>
      <c r="AA97" t="e">
        <f>Applications!Y98</f>
        <v>#N/A</v>
      </c>
      <c r="AB97">
        <f>Applications!Z98</f>
        <v>0</v>
      </c>
      <c r="AC97">
        <f>Applications!AA98</f>
        <v>0</v>
      </c>
      <c r="AD97">
        <f>Applications!AB98</f>
        <v>0</v>
      </c>
      <c r="AE97">
        <f>Applications!AC98</f>
        <v>0</v>
      </c>
    </row>
    <row r="98" spans="1:31">
      <c r="A98" t="str">
        <f>Applications!A99</f>
        <v>Riley Cooper</v>
      </c>
      <c r="B98" t="str">
        <f>VLOOKUP($A98,Customer_Data!$A$1:$R$161,3,TRUE)</f>
        <v>227 Westfield Road</v>
      </c>
      <c r="C98" t="str">
        <f>VLOOKUP($A98,Customer_Data!$A$1:$R$161,4,TRUE)</f>
        <v>Ridgeland</v>
      </c>
      <c r="D98" t="str">
        <f>VLOOKUP($A98,Customer_Data!$A$1:$R$161,5,TRUE)</f>
        <v>MS</v>
      </c>
      <c r="E98">
        <f>VLOOKUP($A98,Customer_Data!$A$1:$R$161,6,TRUE)</f>
        <v>39157</v>
      </c>
      <c r="F98" s="207">
        <f>Applications!B99</f>
        <v>46074</v>
      </c>
      <c r="G98" s="207" t="str">
        <f>Applications!E99</f>
        <v>Matthew Stowers</v>
      </c>
      <c r="H98">
        <f>Applications!F99</f>
        <v>48160</v>
      </c>
      <c r="I98" s="207" t="str">
        <f>Applications!G99</f>
        <v>Spring Preemerge (Jan)</v>
      </c>
      <c r="J98">
        <f>Applications!H99</f>
        <v>4150</v>
      </c>
      <c r="L98" t="str">
        <f>Applications!J99</f>
        <v/>
      </c>
      <c r="M98" t="e">
        <f>Applications!K99</f>
        <v>#N/A</v>
      </c>
      <c r="N98" t="e">
        <f>Applications!L99</f>
        <v>#N/A</v>
      </c>
      <c r="O98" t="e">
        <f>Applications!M99</f>
        <v>#N/A</v>
      </c>
      <c r="P98" t="str">
        <f>Applications!N99</f>
        <v>Triplet SF (3-Way) 228-312</v>
      </c>
      <c r="Q98" t="str">
        <f>Applications!O99</f>
        <v>2,4-D, dimethylamine salt; Dicamba, dimethylamine salt;Mecoprop-p (MCPP-p), dimethylamine salt</v>
      </c>
      <c r="R98">
        <f>Applications!P99</f>
        <v>24</v>
      </c>
      <c r="S98">
        <f>Applications!Q99</f>
        <v>2.2865013774104685</v>
      </c>
      <c r="T98" t="str">
        <f>Applications!R99</f>
        <v>Resolute 4Fl (100-1139)</v>
      </c>
      <c r="U98" t="str">
        <f>Applications!S99</f>
        <v>Prodiamine</v>
      </c>
      <c r="V98">
        <f>Applications!T99</f>
        <v>16</v>
      </c>
      <c r="W98">
        <f>Applications!U99</f>
        <v>1.5243342516069789</v>
      </c>
      <c r="X98" t="b">
        <f>Applications!V99</f>
        <v>0</v>
      </c>
      <c r="Y98" t="e">
        <f>Applications!W99</f>
        <v>#N/A</v>
      </c>
      <c r="Z98" t="e">
        <f>Applications!X99</f>
        <v>#N/A</v>
      </c>
      <c r="AA98" t="e">
        <f>Applications!Y99</f>
        <v>#N/A</v>
      </c>
      <c r="AB98">
        <f>Applications!Z99</f>
        <v>0</v>
      </c>
      <c r="AC98">
        <f>Applications!AA99</f>
        <v>0</v>
      </c>
      <c r="AD98">
        <f>Applications!AB99</f>
        <v>0</v>
      </c>
      <c r="AE98">
        <f>Applications!AC99</f>
        <v>0</v>
      </c>
    </row>
    <row r="99" spans="1:31">
      <c r="A99" t="str">
        <f>Applications!A100</f>
        <v>Thomas Wilson</v>
      </c>
      <c r="B99" t="str">
        <f>VLOOKUP($A99,Customer_Data!$A$1:$R$161,3,TRUE)</f>
        <v>213 Westfield Road</v>
      </c>
      <c r="C99" t="str">
        <f>VLOOKUP($A99,Customer_Data!$A$1:$R$161,4,TRUE)</f>
        <v>Ridgeland</v>
      </c>
      <c r="D99" t="str">
        <f>VLOOKUP($A99,Customer_Data!$A$1:$R$161,5,TRUE)</f>
        <v>MS</v>
      </c>
      <c r="E99">
        <f>VLOOKUP($A99,Customer_Data!$A$1:$R$161,6,TRUE)</f>
        <v>39157</v>
      </c>
      <c r="F99" s="207">
        <f>Applications!B100</f>
        <v>46074</v>
      </c>
      <c r="G99" s="207" t="str">
        <f>Applications!E100</f>
        <v>Matthew Stowers</v>
      </c>
      <c r="H99">
        <f>Applications!F100</f>
        <v>48160</v>
      </c>
      <c r="I99" s="207" t="str">
        <f>Applications!G100</f>
        <v>Spring Preemerge (Jan)</v>
      </c>
      <c r="J99">
        <f>Applications!H100</f>
        <v>3875</v>
      </c>
      <c r="L99" t="str">
        <f>Applications!J100</f>
        <v/>
      </c>
      <c r="M99" t="e">
        <f>Applications!K100</f>
        <v>#N/A</v>
      </c>
      <c r="N99" t="e">
        <f>Applications!L100</f>
        <v>#N/A</v>
      </c>
      <c r="O99" t="e">
        <f>Applications!M100</f>
        <v>#N/A</v>
      </c>
      <c r="P99" t="str">
        <f>Applications!N100</f>
        <v>Triplet SF (3-Way) 228-312</v>
      </c>
      <c r="Q99" t="str">
        <f>Applications!O100</f>
        <v>2,4-D, dimethylamine salt; Dicamba, dimethylamine salt;Mecoprop-p (MCPP-p), dimethylamine salt</v>
      </c>
      <c r="R99">
        <f>Applications!P100</f>
        <v>24</v>
      </c>
      <c r="S99">
        <f>Applications!Q100</f>
        <v>2.1349862258953167</v>
      </c>
      <c r="T99" t="str">
        <f>Applications!R100</f>
        <v>Resolute 4Fl (100-1139)</v>
      </c>
      <c r="U99" t="str">
        <f>Applications!S100</f>
        <v>Prodiamine</v>
      </c>
      <c r="V99">
        <f>Applications!T100</f>
        <v>16</v>
      </c>
      <c r="W99">
        <f>Applications!U100</f>
        <v>1.4233241505968779</v>
      </c>
      <c r="X99" t="b">
        <f>Applications!V100</f>
        <v>0</v>
      </c>
      <c r="Y99" t="e">
        <f>Applications!W100</f>
        <v>#N/A</v>
      </c>
      <c r="Z99" t="e">
        <f>Applications!X100</f>
        <v>#N/A</v>
      </c>
      <c r="AA99" t="e">
        <f>Applications!Y100</f>
        <v>#N/A</v>
      </c>
      <c r="AB99">
        <f>Applications!Z100</f>
        <v>0</v>
      </c>
      <c r="AC99">
        <f>Applications!AA100</f>
        <v>0</v>
      </c>
      <c r="AD99">
        <f>Applications!AB100</f>
        <v>0</v>
      </c>
      <c r="AE99">
        <f>Applications!AC100</f>
        <v>0</v>
      </c>
    </row>
    <row r="100" spans="1:31">
      <c r="A100" t="str">
        <f>Applications!A101</f>
        <v>Steve Edwards</v>
      </c>
      <c r="B100" t="str">
        <f>VLOOKUP($A100,Customer_Data!$A$1:$R$161,3,TRUE)</f>
        <v>71 Saint Andrews Drive</v>
      </c>
      <c r="C100" t="str">
        <f>VLOOKUP($A100,Customer_Data!$A$1:$R$161,4,TRUE)</f>
        <v>Jackson</v>
      </c>
      <c r="D100" t="str">
        <f>VLOOKUP($A100,Customer_Data!$A$1:$R$161,5,TRUE)</f>
        <v>MS</v>
      </c>
      <c r="E100">
        <f>VLOOKUP($A100,Customer_Data!$A$1:$R$161,6,TRUE)</f>
        <v>39211</v>
      </c>
      <c r="F100" s="207">
        <f>Applications!B101</f>
        <v>46074</v>
      </c>
      <c r="G100" s="207" t="str">
        <f>Applications!E101</f>
        <v>Matthew Stowers</v>
      </c>
      <c r="H100">
        <f>Applications!F101</f>
        <v>48160</v>
      </c>
      <c r="I100" s="207" t="str">
        <f>Applications!G101</f>
        <v>Spring Preemerge (Jan)</v>
      </c>
      <c r="J100">
        <f>Applications!H101</f>
        <v>9000</v>
      </c>
      <c r="L100" t="str">
        <f>Applications!J101</f>
        <v/>
      </c>
      <c r="M100" t="e">
        <f>Applications!K101</f>
        <v>#N/A</v>
      </c>
      <c r="N100" t="e">
        <f>Applications!L101</f>
        <v>#N/A</v>
      </c>
      <c r="O100" t="e">
        <f>Applications!M101</f>
        <v>#N/A</v>
      </c>
      <c r="P100" t="str">
        <f>Applications!N101</f>
        <v>Triplet SF (3-Way) 228-312</v>
      </c>
      <c r="Q100" t="str">
        <f>Applications!O101</f>
        <v>2,4-D, dimethylamine salt; Dicamba, dimethylamine salt;Mecoprop-p (MCPP-p), dimethylamine salt</v>
      </c>
      <c r="R100">
        <f>Applications!P101</f>
        <v>24</v>
      </c>
      <c r="S100">
        <f>Applications!Q101</f>
        <v>4.9586776859504136</v>
      </c>
      <c r="T100" t="str">
        <f>Applications!R101</f>
        <v>Resolute 4Fl (100-1139)</v>
      </c>
      <c r="U100" t="str">
        <f>Applications!S101</f>
        <v>Prodiamine</v>
      </c>
      <c r="V100">
        <f>Applications!T101</f>
        <v>16</v>
      </c>
      <c r="W100">
        <f>Applications!U101</f>
        <v>3.3057851239669422</v>
      </c>
      <c r="X100" t="b">
        <f>Applications!V101</f>
        <v>0</v>
      </c>
      <c r="Y100" t="e">
        <f>Applications!W101</f>
        <v>#N/A</v>
      </c>
      <c r="Z100" t="e">
        <f>Applications!X101</f>
        <v>#N/A</v>
      </c>
      <c r="AA100" t="e">
        <f>Applications!Y101</f>
        <v>#N/A</v>
      </c>
      <c r="AB100">
        <f>Applications!Z101</f>
        <v>0</v>
      </c>
      <c r="AC100">
        <f>Applications!AA101</f>
        <v>0</v>
      </c>
      <c r="AD100">
        <f>Applications!AB101</f>
        <v>0</v>
      </c>
      <c r="AE100">
        <f>Applications!AC101</f>
        <v>0</v>
      </c>
    </row>
    <row r="101" spans="1:31">
      <c r="A101" t="str">
        <f>Applications!A102</f>
        <v>Browning Bergold</v>
      </c>
      <c r="B101" t="str">
        <f>VLOOKUP($A101,Customer_Data!$A$1:$R$161,3,TRUE)</f>
        <v>121 Hidden Hills Drive</v>
      </c>
      <c r="C101" t="str">
        <f>VLOOKUP($A101,Customer_Data!$A$1:$R$161,4,TRUE)</f>
        <v>Madison</v>
      </c>
      <c r="D101" t="str">
        <f>VLOOKUP($A101,Customer_Data!$A$1:$R$161,5,TRUE)</f>
        <v>MS</v>
      </c>
      <c r="E101">
        <f>VLOOKUP($A101,Customer_Data!$A$1:$R$161,6,TRUE)</f>
        <v>39110</v>
      </c>
      <c r="F101" s="207">
        <f>Applications!B102</f>
        <v>46074</v>
      </c>
      <c r="G101" s="207" t="str">
        <f>Applications!E102</f>
        <v>Matthew Stowers</v>
      </c>
      <c r="H101">
        <f>Applications!F102</f>
        <v>48160</v>
      </c>
      <c r="I101" s="207" t="str">
        <f>Applications!G102</f>
        <v>Spring Preemerge (Jan)</v>
      </c>
      <c r="J101">
        <f>Applications!H102</f>
        <v>6400</v>
      </c>
      <c r="L101" t="str">
        <f>Applications!J102</f>
        <v/>
      </c>
      <c r="M101" t="e">
        <f>Applications!K102</f>
        <v>#N/A</v>
      </c>
      <c r="N101" t="e">
        <f>Applications!L102</f>
        <v>#N/A</v>
      </c>
      <c r="O101" t="e">
        <f>Applications!M102</f>
        <v>#N/A</v>
      </c>
      <c r="P101" t="str">
        <f>Applications!N102</f>
        <v>Triplet SF (3-Way) 228-312</v>
      </c>
      <c r="Q101" t="str">
        <f>Applications!O102</f>
        <v>2,4-D, dimethylamine salt; Dicamba, dimethylamine salt;Mecoprop-p (MCPP-p), dimethylamine salt</v>
      </c>
      <c r="R101">
        <f>Applications!P102</f>
        <v>24</v>
      </c>
      <c r="S101">
        <f>Applications!Q102</f>
        <v>3.5261707988980717</v>
      </c>
      <c r="T101" t="str">
        <f>Applications!R102</f>
        <v>Resolute 4Fl (100-1139)</v>
      </c>
      <c r="U101" t="str">
        <f>Applications!S102</f>
        <v>Prodiamine</v>
      </c>
      <c r="V101">
        <f>Applications!T102</f>
        <v>16</v>
      </c>
      <c r="W101">
        <f>Applications!U102</f>
        <v>2.3507805325987143</v>
      </c>
      <c r="X101" t="b">
        <f>Applications!V102</f>
        <v>0</v>
      </c>
      <c r="Y101" t="e">
        <f>Applications!W102</f>
        <v>#N/A</v>
      </c>
      <c r="Z101" t="e">
        <f>Applications!X102</f>
        <v>#N/A</v>
      </c>
      <c r="AA101" t="e">
        <f>Applications!Y102</f>
        <v>#N/A</v>
      </c>
      <c r="AB101">
        <f>Applications!Z102</f>
        <v>0</v>
      </c>
      <c r="AC101">
        <f>Applications!AA102</f>
        <v>0</v>
      </c>
      <c r="AD101">
        <f>Applications!AB102</f>
        <v>0</v>
      </c>
      <c r="AE101">
        <f>Applications!AC102</f>
        <v>0</v>
      </c>
    </row>
    <row r="102" spans="1:31">
      <c r="A102" t="str">
        <f>Applications!A103</f>
        <v>Dot Stuart</v>
      </c>
      <c r="B102" t="str">
        <f>VLOOKUP($A102,Customer_Data!$A$1:$R$161,3,TRUE)</f>
        <v>414 Providence Drive</v>
      </c>
      <c r="C102" t="str">
        <f>VLOOKUP($A102,Customer_Data!$A$1:$R$161,4,TRUE)</f>
        <v>Brandon</v>
      </c>
      <c r="D102" t="str">
        <f>VLOOKUP($A102,Customer_Data!$A$1:$R$161,5,TRUE)</f>
        <v>MS</v>
      </c>
      <c r="E102">
        <f>VLOOKUP($A102,Customer_Data!$A$1:$R$161,6,TRUE)</f>
        <v>39042</v>
      </c>
      <c r="F102" s="207">
        <f>Applications!B103</f>
        <v>46081</v>
      </c>
      <c r="G102" s="207" t="str">
        <f>Applications!E103</f>
        <v>Matthew Stowers</v>
      </c>
      <c r="H102">
        <f>Applications!F103</f>
        <v>48160</v>
      </c>
      <c r="I102" s="207" t="str">
        <f>Applications!G103</f>
        <v>Spring Preemerge (Jan)</v>
      </c>
      <c r="J102">
        <f>Applications!H103</f>
        <v>1800</v>
      </c>
      <c r="L102" t="str">
        <f>Applications!J103</f>
        <v/>
      </c>
      <c r="M102" t="e">
        <f>Applications!K103</f>
        <v>#N/A</v>
      </c>
      <c r="N102" t="e">
        <f>Applications!L103</f>
        <v>#N/A</v>
      </c>
      <c r="O102" t="e">
        <f>Applications!M103</f>
        <v>#N/A</v>
      </c>
      <c r="P102" t="str">
        <f>Applications!N103</f>
        <v>Triplet SF (3-Way) 228-312</v>
      </c>
      <c r="Q102" t="str">
        <f>Applications!O103</f>
        <v>2,4-D, dimethylamine salt; Dicamba, dimethylamine salt;Mecoprop-p (MCPP-p), dimethylamine salt</v>
      </c>
      <c r="R102">
        <f>Applications!P103</f>
        <v>24</v>
      </c>
      <c r="S102">
        <f>Applications!Q103</f>
        <v>0.99173553719008267</v>
      </c>
      <c r="T102" t="str">
        <f>Applications!R103</f>
        <v>Resolute 4Fl (100-1139)</v>
      </c>
      <c r="U102" t="str">
        <f>Applications!S103</f>
        <v>Prodiamine</v>
      </c>
      <c r="V102">
        <f>Applications!T103</f>
        <v>16</v>
      </c>
      <c r="W102">
        <f>Applications!U103</f>
        <v>0.66115702479338845</v>
      </c>
      <c r="X102" t="b">
        <f>Applications!V103</f>
        <v>0</v>
      </c>
      <c r="Y102" t="e">
        <f>Applications!W103</f>
        <v>#N/A</v>
      </c>
      <c r="Z102" t="e">
        <f>Applications!X103</f>
        <v>#N/A</v>
      </c>
      <c r="AA102" t="e">
        <f>Applications!Y103</f>
        <v>#N/A</v>
      </c>
      <c r="AB102">
        <f>Applications!Z103</f>
        <v>0</v>
      </c>
      <c r="AC102">
        <f>Applications!AA103</f>
        <v>0</v>
      </c>
      <c r="AD102">
        <f>Applications!AB103</f>
        <v>0</v>
      </c>
      <c r="AE102">
        <f>Applications!AC103</f>
        <v>0</v>
      </c>
    </row>
    <row r="103" spans="1:31">
      <c r="A103" t="str">
        <f>Applications!A104</f>
        <v>Matt Runner</v>
      </c>
      <c r="B103" t="str">
        <f>VLOOKUP($A103,Customer_Data!$A$1:$R$161,3,TRUE)</f>
        <v>528 Acadian Ct.</v>
      </c>
      <c r="C103" t="str">
        <f>VLOOKUP($A103,Customer_Data!$A$1:$R$161,4,TRUE)</f>
        <v>Brandon</v>
      </c>
      <c r="D103" t="str">
        <f>VLOOKUP($A103,Customer_Data!$A$1:$R$161,5,TRUE)</f>
        <v>MS</v>
      </c>
      <c r="E103">
        <f>VLOOKUP($A103,Customer_Data!$A$1:$R$161,6,TRUE)</f>
        <v>39042</v>
      </c>
      <c r="F103" s="207">
        <f>Applications!B104</f>
        <v>46081</v>
      </c>
      <c r="G103" s="207" t="str">
        <f>Applications!E104</f>
        <v>Matthew Stowers</v>
      </c>
      <c r="H103">
        <f>Applications!F104</f>
        <v>48160</v>
      </c>
      <c r="I103" s="207" t="str">
        <f>Applications!G104</f>
        <v>Spring Preemerge (Jan)</v>
      </c>
      <c r="J103">
        <f>Applications!H104</f>
        <v>2000</v>
      </c>
      <c r="L103" t="str">
        <f>Applications!J104</f>
        <v/>
      </c>
      <c r="M103" t="e">
        <f>Applications!K104</f>
        <v>#N/A</v>
      </c>
      <c r="N103" t="e">
        <f>Applications!L104</f>
        <v>#N/A</v>
      </c>
      <c r="O103" t="e">
        <f>Applications!M104</f>
        <v>#N/A</v>
      </c>
      <c r="P103" t="str">
        <f>Applications!N104</f>
        <v>Triplet SF (3-Way) 228-312</v>
      </c>
      <c r="Q103" t="str">
        <f>Applications!O104</f>
        <v>2,4-D, dimethylamine salt; Dicamba, dimethylamine salt;Mecoprop-p (MCPP-p), dimethylamine salt</v>
      </c>
      <c r="R103">
        <f>Applications!P104</f>
        <v>24</v>
      </c>
      <c r="S103">
        <f>Applications!Q104</f>
        <v>1.1019283746556474</v>
      </c>
      <c r="T103" t="str">
        <f>Applications!R104</f>
        <v>Resolute 4Fl (100-1139)</v>
      </c>
      <c r="U103" t="str">
        <f>Applications!S104</f>
        <v>Prodiamine</v>
      </c>
      <c r="V103">
        <f>Applications!T104</f>
        <v>16</v>
      </c>
      <c r="W103">
        <f>Applications!U104</f>
        <v>0.7346189164370982</v>
      </c>
      <c r="X103" t="b">
        <f>Applications!V104</f>
        <v>0</v>
      </c>
      <c r="Y103" t="e">
        <f>Applications!W104</f>
        <v>#N/A</v>
      </c>
      <c r="Z103" t="e">
        <f>Applications!X104</f>
        <v>#N/A</v>
      </c>
      <c r="AA103" t="e">
        <f>Applications!Y104</f>
        <v>#N/A</v>
      </c>
      <c r="AB103">
        <f>Applications!Z104</f>
        <v>0</v>
      </c>
      <c r="AC103">
        <f>Applications!AA104</f>
        <v>0</v>
      </c>
      <c r="AD103">
        <f>Applications!AB104</f>
        <v>0</v>
      </c>
      <c r="AE103">
        <f>Applications!AC104</f>
        <v>0</v>
      </c>
    </row>
    <row r="104" spans="1:31">
      <c r="A104" t="str">
        <f>Applications!A105</f>
        <v>Bo Whatley</v>
      </c>
      <c r="B104" t="str">
        <f>VLOOKUP($A104,Customer_Data!$A$1:$R$161,3,TRUE)</f>
        <v>126 Cypress Ridge Drive</v>
      </c>
      <c r="C104" t="str">
        <f>VLOOKUP($A104,Customer_Data!$A$1:$R$161,4,TRUE)</f>
        <v>Brandon</v>
      </c>
      <c r="D104" t="str">
        <f>VLOOKUP($A104,Customer_Data!$A$1:$R$161,5,TRUE)</f>
        <v>MS</v>
      </c>
      <c r="E104">
        <f>VLOOKUP($A104,Customer_Data!$A$1:$R$161,6,TRUE)</f>
        <v>39042</v>
      </c>
      <c r="F104" s="207">
        <f>Applications!B105</f>
        <v>46081</v>
      </c>
      <c r="G104" s="207" t="str">
        <f>Applications!E105</f>
        <v>Matthew Stowers</v>
      </c>
      <c r="H104">
        <f>Applications!F105</f>
        <v>48160</v>
      </c>
      <c r="I104" s="207" t="str">
        <f>Applications!G105</f>
        <v>Spring Preemerge (Jan)</v>
      </c>
      <c r="J104">
        <f>Applications!H105</f>
        <v>2750</v>
      </c>
      <c r="L104" t="str">
        <f>Applications!J105</f>
        <v/>
      </c>
      <c r="M104" t="e">
        <f>Applications!K105</f>
        <v>#N/A</v>
      </c>
      <c r="N104" t="e">
        <f>Applications!L105</f>
        <v>#N/A</v>
      </c>
      <c r="O104" t="e">
        <f>Applications!M105</f>
        <v>#N/A</v>
      </c>
      <c r="P104" t="str">
        <f>Applications!N105</f>
        <v>Triplet SF (3-Way) 228-312</v>
      </c>
      <c r="Q104" t="str">
        <f>Applications!O105</f>
        <v>2,4-D, dimethylamine salt; Dicamba, dimethylamine salt;Mecoprop-p (MCPP-p), dimethylamine salt</v>
      </c>
      <c r="R104">
        <f>Applications!P105</f>
        <v>24</v>
      </c>
      <c r="S104">
        <f>Applications!Q105</f>
        <v>1.5151515151515151</v>
      </c>
      <c r="T104" t="str">
        <f>Applications!R105</f>
        <v>Resolute 4Fl (100-1139)</v>
      </c>
      <c r="U104" t="str">
        <f>Applications!S105</f>
        <v>Prodiamine</v>
      </c>
      <c r="V104">
        <f>Applications!T105</f>
        <v>16</v>
      </c>
      <c r="W104">
        <f>Applications!U105</f>
        <v>1.0101010101010102</v>
      </c>
      <c r="X104" t="b">
        <f>Applications!V105</f>
        <v>0</v>
      </c>
      <c r="Y104" t="e">
        <f>Applications!W105</f>
        <v>#N/A</v>
      </c>
      <c r="Z104" t="e">
        <f>Applications!X105</f>
        <v>#N/A</v>
      </c>
      <c r="AA104" t="e">
        <f>Applications!Y105</f>
        <v>#N/A</v>
      </c>
      <c r="AB104">
        <f>Applications!Z105</f>
        <v>0</v>
      </c>
      <c r="AC104">
        <f>Applications!AA105</f>
        <v>0</v>
      </c>
      <c r="AD104">
        <f>Applications!AB105</f>
        <v>0</v>
      </c>
      <c r="AE104">
        <f>Applications!AC105</f>
        <v>0</v>
      </c>
    </row>
    <row r="105" spans="1:31">
      <c r="A105" t="str">
        <f>Applications!A106</f>
        <v>Max Brian</v>
      </c>
      <c r="B105" t="str">
        <f>VLOOKUP($A105,Customer_Data!$A$1:$R$161,3,TRUE)</f>
        <v>121 Meadow Creek Drive</v>
      </c>
      <c r="C105" t="str">
        <f>VLOOKUP($A105,Customer_Data!$A$1:$R$161,4,TRUE)</f>
        <v>Brandon</v>
      </c>
      <c r="D105" t="str">
        <f>VLOOKUP($A105,Customer_Data!$A$1:$R$161,5,TRUE)</f>
        <v>MS</v>
      </c>
      <c r="E105">
        <f>VLOOKUP($A105,Customer_Data!$A$1:$R$161,6,TRUE)</f>
        <v>39042</v>
      </c>
      <c r="F105" s="207">
        <f>Applications!B106</f>
        <v>46081</v>
      </c>
      <c r="G105" s="207" t="str">
        <f>Applications!E106</f>
        <v>Matthew Stowers</v>
      </c>
      <c r="H105">
        <f>Applications!F106</f>
        <v>48160</v>
      </c>
      <c r="I105" s="207" t="str">
        <f>Applications!G106</f>
        <v>Spring Preemerge (Jan)</v>
      </c>
      <c r="J105">
        <f>Applications!H106</f>
        <v>4670</v>
      </c>
      <c r="L105" t="str">
        <f>Applications!J106</f>
        <v/>
      </c>
      <c r="M105" t="e">
        <f>Applications!K106</f>
        <v>#N/A</v>
      </c>
      <c r="N105" t="e">
        <f>Applications!L106</f>
        <v>#N/A</v>
      </c>
      <c r="O105" t="e">
        <f>Applications!M106</f>
        <v>#N/A</v>
      </c>
      <c r="P105" t="str">
        <f>Applications!N106</f>
        <v>Triplet SF (3-Way) 228-312</v>
      </c>
      <c r="Q105" t="str">
        <f>Applications!O106</f>
        <v>2,4-D, dimethylamine salt; Dicamba, dimethylamine salt;Mecoprop-p (MCPP-p), dimethylamine salt</v>
      </c>
      <c r="R105">
        <f>Applications!P106</f>
        <v>24</v>
      </c>
      <c r="S105">
        <f>Applications!Q106</f>
        <v>2.5730027548209367</v>
      </c>
      <c r="T105" t="str">
        <f>Applications!R106</f>
        <v>Resolute 4Fl (100-1139)</v>
      </c>
      <c r="U105" t="str">
        <f>Applications!S106</f>
        <v>Prodiamine</v>
      </c>
      <c r="V105">
        <f>Applications!T106</f>
        <v>16</v>
      </c>
      <c r="W105">
        <f>Applications!U106</f>
        <v>1.7153351698806245</v>
      </c>
      <c r="X105" t="b">
        <f>Applications!V106</f>
        <v>0</v>
      </c>
      <c r="Y105" t="e">
        <f>Applications!W106</f>
        <v>#N/A</v>
      </c>
      <c r="Z105" t="e">
        <f>Applications!X106</f>
        <v>#N/A</v>
      </c>
      <c r="AA105" t="e">
        <f>Applications!Y106</f>
        <v>#N/A</v>
      </c>
      <c r="AB105">
        <f>Applications!Z106</f>
        <v>0</v>
      </c>
      <c r="AC105">
        <f>Applications!AA106</f>
        <v>0</v>
      </c>
      <c r="AD105">
        <f>Applications!AB106</f>
        <v>0</v>
      </c>
      <c r="AE105">
        <f>Applications!AC106</f>
        <v>0</v>
      </c>
    </row>
    <row r="106" spans="1:31">
      <c r="A106" t="str">
        <f>Applications!A107</f>
        <v>Elliot Smith</v>
      </c>
      <c r="B106" t="str">
        <f>VLOOKUP($A106,Customer_Data!$A$1:$R$161,3,TRUE)</f>
        <v>103 Glenartney St.</v>
      </c>
      <c r="C106" t="str">
        <f>VLOOKUP($A106,Customer_Data!$A$1:$R$161,4,TRUE)</f>
        <v>Brandon</v>
      </c>
      <c r="D106" t="str">
        <f>VLOOKUP($A106,Customer_Data!$A$1:$R$161,5,TRUE)</f>
        <v>MS</v>
      </c>
      <c r="E106">
        <f>VLOOKUP($A106,Customer_Data!$A$1:$R$161,6,TRUE)</f>
        <v>39042</v>
      </c>
      <c r="F106" s="207">
        <f>Applications!B107</f>
        <v>46081</v>
      </c>
      <c r="G106" s="207" t="str">
        <f>Applications!E107</f>
        <v>Matthew Stowers</v>
      </c>
      <c r="H106">
        <f>Applications!F107</f>
        <v>48160</v>
      </c>
      <c r="I106" s="207" t="str">
        <f>Applications!G107</f>
        <v>Spring Preemerge (Jan)</v>
      </c>
      <c r="J106">
        <f>Applications!H107</f>
        <v>13500</v>
      </c>
      <c r="L106" t="str">
        <f>Applications!J107</f>
        <v/>
      </c>
      <c r="M106" t="e">
        <f>Applications!K107</f>
        <v>#N/A</v>
      </c>
      <c r="N106" t="e">
        <f>Applications!L107</f>
        <v>#N/A</v>
      </c>
      <c r="O106" t="e">
        <f>Applications!M107</f>
        <v>#N/A</v>
      </c>
      <c r="P106" t="str">
        <f>Applications!N107</f>
        <v>Triplet SF (3-Way) 228-312</v>
      </c>
      <c r="Q106" t="str">
        <f>Applications!O107</f>
        <v>2,4-D, dimethylamine salt; Dicamba, dimethylamine salt;Mecoprop-p (MCPP-p), dimethylamine salt</v>
      </c>
      <c r="R106">
        <f>Applications!P107</f>
        <v>24</v>
      </c>
      <c r="S106">
        <f>Applications!Q107</f>
        <v>7.4380165289256208</v>
      </c>
      <c r="T106" t="str">
        <f>Applications!R107</f>
        <v>Resolute 4Fl (100-1139)</v>
      </c>
      <c r="U106" t="str">
        <f>Applications!S107</f>
        <v>Prodiamine</v>
      </c>
      <c r="V106">
        <f>Applications!T107</f>
        <v>16</v>
      </c>
      <c r="W106">
        <f>Applications!U107</f>
        <v>4.9586776859504136</v>
      </c>
      <c r="X106" t="b">
        <f>Applications!V107</f>
        <v>0</v>
      </c>
      <c r="Y106" t="e">
        <f>Applications!W107</f>
        <v>#N/A</v>
      </c>
      <c r="Z106" t="e">
        <f>Applications!X107</f>
        <v>#N/A</v>
      </c>
      <c r="AA106" t="e">
        <f>Applications!Y107</f>
        <v>#N/A</v>
      </c>
      <c r="AB106">
        <f>Applications!Z107</f>
        <v>0</v>
      </c>
      <c r="AC106">
        <f>Applications!AA107</f>
        <v>0</v>
      </c>
      <c r="AD106">
        <f>Applications!AB107</f>
        <v>0</v>
      </c>
      <c r="AE106">
        <f>Applications!AC107</f>
        <v>0</v>
      </c>
    </row>
    <row r="107" spans="1:31">
      <c r="A107" t="str">
        <f>Applications!A108</f>
        <v>Troy Stokes</v>
      </c>
      <c r="B107" t="str">
        <f>VLOOKUP($A107,Customer_Data!$A$1:$R$161,3,TRUE)</f>
        <v>100 Spring Valley Drive</v>
      </c>
      <c r="C107" t="str">
        <f>VLOOKUP($A107,Customer_Data!$A$1:$R$161,4,TRUE)</f>
        <v>Brandon</v>
      </c>
      <c r="D107" t="str">
        <f>VLOOKUP($A107,Customer_Data!$A$1:$R$161,5,TRUE)</f>
        <v>MS</v>
      </c>
      <c r="E107">
        <f>VLOOKUP($A107,Customer_Data!$A$1:$R$161,6,TRUE)</f>
        <v>39042</v>
      </c>
      <c r="F107" s="207">
        <f>Applications!B108</f>
        <v>46081</v>
      </c>
      <c r="G107" s="207" t="str">
        <f>Applications!E108</f>
        <v>Matthew Stowers</v>
      </c>
      <c r="H107">
        <f>Applications!F108</f>
        <v>48160</v>
      </c>
      <c r="I107" s="207" t="str">
        <f>Applications!G108</f>
        <v>Spring Preemerge (Jan)</v>
      </c>
      <c r="J107">
        <f>Applications!H108</f>
        <v>9000</v>
      </c>
      <c r="L107" t="str">
        <f>Applications!J108</f>
        <v/>
      </c>
      <c r="M107" t="e">
        <f>Applications!K108</f>
        <v>#N/A</v>
      </c>
      <c r="N107" t="e">
        <f>Applications!L108</f>
        <v>#N/A</v>
      </c>
      <c r="O107" t="e">
        <f>Applications!M108</f>
        <v>#N/A</v>
      </c>
      <c r="P107" t="str">
        <f>Applications!N108</f>
        <v>Triplet SF (3-Way) 228-312</v>
      </c>
      <c r="Q107" t="str">
        <f>Applications!O108</f>
        <v>2,4-D, dimethylamine salt; Dicamba, dimethylamine salt;Mecoprop-p (MCPP-p), dimethylamine salt</v>
      </c>
      <c r="R107">
        <f>Applications!P108</f>
        <v>24</v>
      </c>
      <c r="S107">
        <f>Applications!Q108</f>
        <v>4.9586776859504136</v>
      </c>
      <c r="T107" t="str">
        <f>Applications!R108</f>
        <v>Resolute 4Fl (100-1139)</v>
      </c>
      <c r="U107" t="str">
        <f>Applications!S108</f>
        <v>Prodiamine</v>
      </c>
      <c r="V107">
        <f>Applications!T108</f>
        <v>16</v>
      </c>
      <c r="W107">
        <f>Applications!U108</f>
        <v>3.3057851239669422</v>
      </c>
      <c r="X107" t="b">
        <f>Applications!V108</f>
        <v>0</v>
      </c>
      <c r="Y107" t="e">
        <f>Applications!W108</f>
        <v>#N/A</v>
      </c>
      <c r="Z107" t="e">
        <f>Applications!X108</f>
        <v>#N/A</v>
      </c>
      <c r="AA107" t="e">
        <f>Applications!Y108</f>
        <v>#N/A</v>
      </c>
      <c r="AB107">
        <f>Applications!Z108</f>
        <v>0</v>
      </c>
      <c r="AC107">
        <f>Applications!AA108</f>
        <v>0</v>
      </c>
      <c r="AD107">
        <f>Applications!AB108</f>
        <v>0</v>
      </c>
      <c r="AE107">
        <f>Applications!AC108</f>
        <v>0</v>
      </c>
    </row>
    <row r="108" spans="1:31">
      <c r="A108" t="str">
        <f>Applications!A109</f>
        <v>Gay Grantham</v>
      </c>
      <c r="B108" t="str">
        <f>VLOOKUP($A108,Customer_Data!$A$1:$R$161,3,TRUE)</f>
        <v>204 West Brandon Court</v>
      </c>
      <c r="C108" t="str">
        <f>VLOOKUP($A108,Customer_Data!$A$1:$R$161,4,TRUE)</f>
        <v>Brandon</v>
      </c>
      <c r="D108" t="str">
        <f>VLOOKUP($A108,Customer_Data!$A$1:$R$161,5,TRUE)</f>
        <v>MS</v>
      </c>
      <c r="E108">
        <f>VLOOKUP($A108,Customer_Data!$A$1:$R$161,6,TRUE)</f>
        <v>39042</v>
      </c>
      <c r="F108" s="207">
        <f>Applications!B109</f>
        <v>46081</v>
      </c>
      <c r="G108" s="207" t="str">
        <f>Applications!E109</f>
        <v>Matthew Stowers</v>
      </c>
      <c r="H108">
        <f>Applications!F109</f>
        <v>48160</v>
      </c>
      <c r="I108" s="207" t="str">
        <f>Applications!G109</f>
        <v>Spring Preemerge (Jan)</v>
      </c>
      <c r="J108">
        <f>Applications!H109</f>
        <v>5900</v>
      </c>
      <c r="L108" t="str">
        <f>Applications!J109</f>
        <v/>
      </c>
      <c r="M108" t="e">
        <f>Applications!K109</f>
        <v>#N/A</v>
      </c>
      <c r="N108" t="e">
        <f>Applications!L109</f>
        <v>#N/A</v>
      </c>
      <c r="O108" t="e">
        <f>Applications!M109</f>
        <v>#N/A</v>
      </c>
      <c r="P108" t="str">
        <f>Applications!N109</f>
        <v>Triplet SF (3-Way) 228-312</v>
      </c>
      <c r="Q108" t="str">
        <f>Applications!O109</f>
        <v>2,4-D, dimethylamine salt; Dicamba, dimethylamine salt;Mecoprop-p (MCPP-p), dimethylamine salt</v>
      </c>
      <c r="R108">
        <f>Applications!P109</f>
        <v>24</v>
      </c>
      <c r="S108">
        <f>Applications!Q109</f>
        <v>3.2506887052341598</v>
      </c>
      <c r="T108" t="str">
        <f>Applications!R109</f>
        <v>Resolute 4Fl (100-1139)</v>
      </c>
      <c r="U108" t="str">
        <f>Applications!S109</f>
        <v>Prodiamine</v>
      </c>
      <c r="V108">
        <f>Applications!T109</f>
        <v>16</v>
      </c>
      <c r="W108">
        <f>Applications!U109</f>
        <v>2.1671258034894398</v>
      </c>
      <c r="X108" t="b">
        <f>Applications!V109</f>
        <v>0</v>
      </c>
      <c r="Y108" t="e">
        <f>Applications!W109</f>
        <v>#N/A</v>
      </c>
      <c r="Z108" t="e">
        <f>Applications!X109</f>
        <v>#N/A</v>
      </c>
      <c r="AA108" t="e">
        <f>Applications!Y109</f>
        <v>#N/A</v>
      </c>
      <c r="AB108">
        <f>Applications!Z109</f>
        <v>0</v>
      </c>
      <c r="AC108">
        <f>Applications!AA109</f>
        <v>0</v>
      </c>
      <c r="AD108">
        <f>Applications!AB109</f>
        <v>0</v>
      </c>
      <c r="AE108">
        <f>Applications!AC109</f>
        <v>0</v>
      </c>
    </row>
    <row r="109" spans="1:31">
      <c r="A109" t="str">
        <f>Applications!A110</f>
        <v>Gene Henderson</v>
      </c>
      <c r="B109" t="str">
        <f>VLOOKUP($A109,Customer_Data!$A$1:$R$161,3,TRUE)</f>
        <v>104 East Sunset Drive</v>
      </c>
      <c r="C109" t="str">
        <f>VLOOKUP($A109,Customer_Data!$A$1:$R$161,4,TRUE)</f>
        <v>Brandon</v>
      </c>
      <c r="D109" t="str">
        <f>VLOOKUP($A109,Customer_Data!$A$1:$R$161,5,TRUE)</f>
        <v>MS</v>
      </c>
      <c r="E109">
        <f>VLOOKUP($A109,Customer_Data!$A$1:$R$161,6,TRUE)</f>
        <v>39042</v>
      </c>
      <c r="F109" s="207">
        <f>Applications!B110</f>
        <v>46081</v>
      </c>
      <c r="G109" s="207" t="str">
        <f>Applications!E110</f>
        <v>Matthew Stowers</v>
      </c>
      <c r="H109">
        <f>Applications!F110</f>
        <v>48160</v>
      </c>
      <c r="I109" s="207" t="str">
        <f>Applications!G110</f>
        <v>Spring Preemerge (Jan)</v>
      </c>
      <c r="J109">
        <f>Applications!H110</f>
        <v>11000</v>
      </c>
      <c r="L109" t="str">
        <f>Applications!J110</f>
        <v/>
      </c>
      <c r="M109" t="e">
        <f>Applications!K110</f>
        <v>#N/A</v>
      </c>
      <c r="N109" t="e">
        <f>Applications!L110</f>
        <v>#N/A</v>
      </c>
      <c r="O109" t="e">
        <f>Applications!M110</f>
        <v>#N/A</v>
      </c>
      <c r="P109" t="str">
        <f>Applications!N110</f>
        <v>Triplet SF (3-Way) 228-312</v>
      </c>
      <c r="Q109" t="str">
        <f>Applications!O110</f>
        <v>2,4-D, dimethylamine salt; Dicamba, dimethylamine salt;Mecoprop-p (MCPP-p), dimethylamine salt</v>
      </c>
      <c r="R109">
        <f>Applications!P110</f>
        <v>24</v>
      </c>
      <c r="S109">
        <f>Applications!Q110</f>
        <v>6.0606060606060606</v>
      </c>
      <c r="T109" t="str">
        <f>Applications!R110</f>
        <v>Resolute 4Fl (100-1139)</v>
      </c>
      <c r="U109" t="str">
        <f>Applications!S110</f>
        <v>Prodiamine</v>
      </c>
      <c r="V109">
        <f>Applications!T110</f>
        <v>16</v>
      </c>
      <c r="W109">
        <f>Applications!U110</f>
        <v>4.0404040404040407</v>
      </c>
      <c r="X109" t="b">
        <f>Applications!V110</f>
        <v>0</v>
      </c>
      <c r="Y109" t="e">
        <f>Applications!W110</f>
        <v>#N/A</v>
      </c>
      <c r="Z109" t="e">
        <f>Applications!X110</f>
        <v>#N/A</v>
      </c>
      <c r="AA109" t="e">
        <f>Applications!Y110</f>
        <v>#N/A</v>
      </c>
      <c r="AB109">
        <f>Applications!Z110</f>
        <v>0</v>
      </c>
      <c r="AC109">
        <f>Applications!AA110</f>
        <v>0</v>
      </c>
      <c r="AD109">
        <f>Applications!AB110</f>
        <v>0</v>
      </c>
      <c r="AE109">
        <f>Applications!AC110</f>
        <v>0</v>
      </c>
    </row>
    <row r="110" spans="1:31">
      <c r="A110" t="str">
        <f>Applications!A111</f>
        <v>Roe Grubbs</v>
      </c>
      <c r="B110" t="str">
        <f>VLOOKUP($A110,Customer_Data!$A$1:$R$161,3,TRUE)</f>
        <v>104 Glenartney Street</v>
      </c>
      <c r="C110" t="str">
        <f>VLOOKUP($A110,Customer_Data!$A$1:$R$161,4,TRUE)</f>
        <v>Brandon</v>
      </c>
      <c r="D110" t="str">
        <f>VLOOKUP($A110,Customer_Data!$A$1:$R$161,5,TRUE)</f>
        <v>MS</v>
      </c>
      <c r="E110">
        <f>VLOOKUP($A110,Customer_Data!$A$1:$R$161,6,TRUE)</f>
        <v>39042</v>
      </c>
      <c r="F110" s="207">
        <f>Applications!B111</f>
        <v>46081</v>
      </c>
      <c r="G110" s="207" t="str">
        <f>Applications!E111</f>
        <v>Matthew Stowers</v>
      </c>
      <c r="H110">
        <f>Applications!F111</f>
        <v>48160</v>
      </c>
      <c r="I110" s="207" t="str">
        <f>Applications!G111</f>
        <v>Spring Preemerge (Jan)</v>
      </c>
      <c r="J110">
        <f>Applications!H111</f>
        <v>5000</v>
      </c>
      <c r="L110" t="str">
        <f>Applications!J111</f>
        <v/>
      </c>
      <c r="M110" t="e">
        <f>Applications!K111</f>
        <v>#N/A</v>
      </c>
      <c r="N110" t="e">
        <f>Applications!L111</f>
        <v>#N/A</v>
      </c>
      <c r="O110" t="e">
        <f>Applications!M111</f>
        <v>#N/A</v>
      </c>
      <c r="P110" t="str">
        <f>Applications!N111</f>
        <v>Triplet SF (3-Way) 228-312</v>
      </c>
      <c r="Q110" t="str">
        <f>Applications!O111</f>
        <v>2,4-D, dimethylamine salt; Dicamba, dimethylamine salt;Mecoprop-p (MCPP-p), dimethylamine salt</v>
      </c>
      <c r="R110">
        <f>Applications!P111</f>
        <v>24</v>
      </c>
      <c r="S110">
        <f>Applications!Q111</f>
        <v>2.7548209366391183</v>
      </c>
      <c r="T110" t="str">
        <f>Applications!R111</f>
        <v>Resolute 4Fl (100-1139)</v>
      </c>
      <c r="U110" t="str">
        <f>Applications!S111</f>
        <v>Prodiamine</v>
      </c>
      <c r="V110">
        <f>Applications!T111</f>
        <v>16</v>
      </c>
      <c r="W110">
        <f>Applications!U111</f>
        <v>1.8365472910927456</v>
      </c>
      <c r="X110" t="b">
        <f>Applications!V111</f>
        <v>0</v>
      </c>
      <c r="Y110" t="e">
        <f>Applications!W111</f>
        <v>#N/A</v>
      </c>
      <c r="Z110" t="e">
        <f>Applications!X111</f>
        <v>#N/A</v>
      </c>
      <c r="AA110" t="e">
        <f>Applications!Y111</f>
        <v>#N/A</v>
      </c>
      <c r="AB110">
        <f>Applications!Z111</f>
        <v>0</v>
      </c>
      <c r="AC110">
        <f>Applications!AA111</f>
        <v>0</v>
      </c>
      <c r="AD110">
        <f>Applications!AB111</f>
        <v>0</v>
      </c>
      <c r="AE110">
        <f>Applications!AC111</f>
        <v>0</v>
      </c>
    </row>
    <row r="111" spans="1:31">
      <c r="A111" t="str">
        <f>Applications!A112</f>
        <v>Allen Barnes</v>
      </c>
      <c r="B111" t="str">
        <f>VLOOKUP($A111,Customer_Data!$A$1:$R$161,3,TRUE)</f>
        <v>631 Tucker Crossing</v>
      </c>
      <c r="C111" t="str">
        <f>VLOOKUP($A111,Customer_Data!$A$1:$R$161,4,TRUE)</f>
        <v>Brandon</v>
      </c>
      <c r="D111" t="str">
        <f>VLOOKUP($A111,Customer_Data!$A$1:$R$161,5,TRUE)</f>
        <v>MS</v>
      </c>
      <c r="E111">
        <f>VLOOKUP($A111,Customer_Data!$A$1:$R$161,6,TRUE)</f>
        <v>39042</v>
      </c>
      <c r="F111" s="207">
        <f>Applications!B112</f>
        <v>46081</v>
      </c>
      <c r="G111" s="207" t="str">
        <f>Applications!E112</f>
        <v>Matthew Stowers</v>
      </c>
      <c r="H111">
        <f>Applications!F112</f>
        <v>48160</v>
      </c>
      <c r="I111" s="207" t="str">
        <f>Applications!G112</f>
        <v>Spring Preemerge (Jan)</v>
      </c>
      <c r="J111">
        <f>Applications!H112</f>
        <v>0</v>
      </c>
      <c r="L111" t="str">
        <f>Applications!J112</f>
        <v/>
      </c>
      <c r="M111" t="e">
        <f>Applications!K112</f>
        <v>#N/A</v>
      </c>
      <c r="N111" t="e">
        <f>Applications!L112</f>
        <v>#N/A</v>
      </c>
      <c r="O111" t="e">
        <f>Applications!M112</f>
        <v>#N/A</v>
      </c>
      <c r="P111" t="str">
        <f>Applications!N112</f>
        <v>Triplet SF (3-Way) 228-312</v>
      </c>
      <c r="Q111" t="str">
        <f>Applications!O112</f>
        <v>2,4-D, dimethylamine salt; Dicamba, dimethylamine salt;Mecoprop-p (MCPP-p), dimethylamine salt</v>
      </c>
      <c r="R111">
        <f>Applications!P112</f>
        <v>24</v>
      </c>
      <c r="S111">
        <f>Applications!Q112</f>
        <v>0</v>
      </c>
      <c r="T111" t="str">
        <f>Applications!R112</f>
        <v>Resolute 4Fl (100-1139)</v>
      </c>
      <c r="U111" t="str">
        <f>Applications!S112</f>
        <v>Prodiamine</v>
      </c>
      <c r="V111">
        <f>Applications!T112</f>
        <v>16</v>
      </c>
      <c r="W111">
        <f>Applications!U112</f>
        <v>0</v>
      </c>
      <c r="X111" t="b">
        <f>Applications!V112</f>
        <v>0</v>
      </c>
      <c r="Y111" t="e">
        <f>Applications!W112</f>
        <v>#N/A</v>
      </c>
      <c r="Z111" t="e">
        <f>Applications!X112</f>
        <v>#N/A</v>
      </c>
      <c r="AA111" t="e">
        <f>Applications!Y112</f>
        <v>#N/A</v>
      </c>
      <c r="AB111">
        <f>Applications!Z112</f>
        <v>0</v>
      </c>
      <c r="AC111">
        <f>Applications!AA112</f>
        <v>0</v>
      </c>
      <c r="AD111">
        <f>Applications!AB112</f>
        <v>0</v>
      </c>
      <c r="AE111">
        <f>Applications!AC112</f>
        <v>0</v>
      </c>
    </row>
    <row r="112" spans="1:31">
      <c r="A112" t="str">
        <f>Applications!A113</f>
        <v>Gary Jordan</v>
      </c>
      <c r="B112" t="str">
        <f>VLOOKUP($A112,Customer_Data!$A$1:$R$161,3,TRUE)</f>
        <v>3342-MS 18</v>
      </c>
      <c r="C112" t="str">
        <f>VLOOKUP($A112,Customer_Data!$A$1:$R$161,4,TRUE)</f>
        <v>Brandon</v>
      </c>
      <c r="D112" t="str">
        <f>VLOOKUP($A112,Customer_Data!$A$1:$R$161,5,TRUE)</f>
        <v>MS</v>
      </c>
      <c r="E112">
        <f>VLOOKUP($A112,Customer_Data!$A$1:$R$161,6,TRUE)</f>
        <v>39042</v>
      </c>
      <c r="F112" s="207">
        <f>Applications!B113</f>
        <v>46081</v>
      </c>
      <c r="G112" s="207" t="str">
        <f>Applications!E113</f>
        <v>Matthew Stowers</v>
      </c>
      <c r="H112">
        <f>Applications!F113</f>
        <v>48160</v>
      </c>
      <c r="I112" s="207" t="str">
        <f>Applications!G113</f>
        <v>Spring Preemerge (Jan)</v>
      </c>
      <c r="J112">
        <f>Applications!H113</f>
        <v>8000</v>
      </c>
      <c r="L112" t="str">
        <f>Applications!J113</f>
        <v/>
      </c>
      <c r="M112" t="e">
        <f>Applications!K113</f>
        <v>#N/A</v>
      </c>
      <c r="N112" t="e">
        <f>Applications!L113</f>
        <v>#N/A</v>
      </c>
      <c r="O112" t="e">
        <f>Applications!M113</f>
        <v>#N/A</v>
      </c>
      <c r="P112" t="str">
        <f>Applications!N113</f>
        <v>Triplet SF (3-Way) 228-312</v>
      </c>
      <c r="Q112" t="str">
        <f>Applications!O113</f>
        <v>2,4-D, dimethylamine salt; Dicamba, dimethylamine salt;Mecoprop-p (MCPP-p), dimethylamine salt</v>
      </c>
      <c r="R112">
        <f>Applications!P113</f>
        <v>24</v>
      </c>
      <c r="S112">
        <f>Applications!Q113</f>
        <v>4.4077134986225897</v>
      </c>
      <c r="T112" t="str">
        <f>Applications!R113</f>
        <v>Resolute 4Fl (100-1139)</v>
      </c>
      <c r="U112" t="str">
        <f>Applications!S113</f>
        <v>Prodiamine</v>
      </c>
      <c r="V112">
        <f>Applications!T113</f>
        <v>16</v>
      </c>
      <c r="W112">
        <f>Applications!U113</f>
        <v>2.9384756657483928</v>
      </c>
      <c r="X112" t="b">
        <f>Applications!V113</f>
        <v>0</v>
      </c>
      <c r="Y112" t="e">
        <f>Applications!W113</f>
        <v>#N/A</v>
      </c>
      <c r="Z112" t="e">
        <f>Applications!X113</f>
        <v>#N/A</v>
      </c>
      <c r="AA112" t="e">
        <f>Applications!Y113</f>
        <v>#N/A</v>
      </c>
      <c r="AB112">
        <f>Applications!Z113</f>
        <v>0</v>
      </c>
      <c r="AC112">
        <f>Applications!AA113</f>
        <v>0</v>
      </c>
      <c r="AD112">
        <f>Applications!AB113</f>
        <v>0</v>
      </c>
      <c r="AE112">
        <f>Applications!AC113</f>
        <v>0</v>
      </c>
    </row>
    <row r="113" spans="1:31">
      <c r="A113" t="str">
        <f>Applications!A114</f>
        <v>Kyle Hansen</v>
      </c>
      <c r="B113" t="str">
        <f>VLOOKUP($A113,Customer_Data!$A$1:$R$161,3,TRUE)</f>
        <v>109 Meadow Creek Drive</v>
      </c>
      <c r="C113" t="str">
        <f>VLOOKUP($A113,Customer_Data!$A$1:$R$161,4,TRUE)</f>
        <v>Brandon</v>
      </c>
      <c r="D113" t="str">
        <f>VLOOKUP($A113,Customer_Data!$A$1:$R$161,5,TRUE)</f>
        <v>MS</v>
      </c>
      <c r="E113">
        <f>VLOOKUP($A113,Customer_Data!$A$1:$R$161,6,TRUE)</f>
        <v>39042</v>
      </c>
      <c r="F113" s="207">
        <f>Applications!B114</f>
        <v>46081</v>
      </c>
      <c r="G113" s="207" t="str">
        <f>Applications!E114</f>
        <v>Matthew Stowers</v>
      </c>
      <c r="H113">
        <f>Applications!F114</f>
        <v>48160</v>
      </c>
      <c r="I113" s="207" t="str">
        <f>Applications!G114</f>
        <v>Spring Preemerge (Jan)</v>
      </c>
      <c r="J113">
        <f>Applications!H114</f>
        <v>5000</v>
      </c>
      <c r="L113" t="str">
        <f>Applications!J114</f>
        <v/>
      </c>
      <c r="M113" t="e">
        <f>Applications!K114</f>
        <v>#N/A</v>
      </c>
      <c r="N113" t="e">
        <f>Applications!L114</f>
        <v>#N/A</v>
      </c>
      <c r="O113" t="e">
        <f>Applications!M114</f>
        <v>#N/A</v>
      </c>
      <c r="P113" t="str">
        <f>Applications!N114</f>
        <v>Triplet SF (3-Way) 228-312</v>
      </c>
      <c r="Q113" t="str">
        <f>Applications!O114</f>
        <v>2,4-D, dimethylamine salt; Dicamba, dimethylamine salt;Mecoprop-p (MCPP-p), dimethylamine salt</v>
      </c>
      <c r="R113">
        <f>Applications!P114</f>
        <v>24</v>
      </c>
      <c r="S113">
        <f>Applications!Q114</f>
        <v>2.7548209366391183</v>
      </c>
      <c r="T113" t="str">
        <f>Applications!R114</f>
        <v>Resolute 4Fl (100-1139)</v>
      </c>
      <c r="U113" t="str">
        <f>Applications!S114</f>
        <v>Prodiamine</v>
      </c>
      <c r="V113">
        <f>Applications!T114</f>
        <v>16</v>
      </c>
      <c r="W113">
        <f>Applications!U114</f>
        <v>1.8365472910927456</v>
      </c>
      <c r="X113" t="b">
        <f>Applications!V114</f>
        <v>0</v>
      </c>
      <c r="Y113" t="e">
        <f>Applications!W114</f>
        <v>#N/A</v>
      </c>
      <c r="Z113" t="e">
        <f>Applications!X114</f>
        <v>#N/A</v>
      </c>
      <c r="AA113" t="e">
        <f>Applications!Y114</f>
        <v>#N/A</v>
      </c>
      <c r="AB113">
        <f>Applications!Z114</f>
        <v>0</v>
      </c>
      <c r="AC113">
        <f>Applications!AA114</f>
        <v>0</v>
      </c>
      <c r="AD113">
        <f>Applications!AB114</f>
        <v>0</v>
      </c>
      <c r="AE113">
        <f>Applications!AC114</f>
        <v>0</v>
      </c>
    </row>
    <row r="114" spans="1:31">
      <c r="A114" t="str">
        <f>Applications!A115</f>
        <v>Judy Rogers</v>
      </c>
      <c r="B114" t="str">
        <f>VLOOKUP($A114,Customer_Data!$A$1:$R$161,3,TRUE)</f>
        <v>315 Mary Ann Drive</v>
      </c>
      <c r="C114" t="str">
        <f>VLOOKUP($A114,Customer_Data!$A$1:$R$161,4,TRUE)</f>
        <v>Brandon</v>
      </c>
      <c r="D114" t="str">
        <f>VLOOKUP($A114,Customer_Data!$A$1:$R$161,5,TRUE)</f>
        <v>MS</v>
      </c>
      <c r="E114">
        <f>VLOOKUP($A114,Customer_Data!$A$1:$R$161,6,TRUE)</f>
        <v>39042</v>
      </c>
      <c r="F114" s="207">
        <f>Applications!B115</f>
        <v>46081</v>
      </c>
      <c r="G114" s="207" t="str">
        <f>Applications!E115</f>
        <v>Matthew Stowers</v>
      </c>
      <c r="H114">
        <f>Applications!F115</f>
        <v>48160</v>
      </c>
      <c r="I114" s="207" t="str">
        <f>Applications!G115</f>
        <v>Spring Preemerge (Jan)</v>
      </c>
      <c r="J114">
        <f>Applications!H115</f>
        <v>6000</v>
      </c>
      <c r="L114" t="str">
        <f>Applications!J115</f>
        <v/>
      </c>
      <c r="M114" t="e">
        <f>Applications!K115</f>
        <v>#N/A</v>
      </c>
      <c r="N114" t="e">
        <f>Applications!L115</f>
        <v>#N/A</v>
      </c>
      <c r="O114" t="e">
        <f>Applications!M115</f>
        <v>#N/A</v>
      </c>
      <c r="P114" t="str">
        <f>Applications!N115</f>
        <v>Triplet SF (3-Way) 228-312</v>
      </c>
      <c r="Q114" t="str">
        <f>Applications!O115</f>
        <v>2,4-D, dimethylamine salt; Dicamba, dimethylamine salt;Mecoprop-p (MCPP-p), dimethylamine salt</v>
      </c>
      <c r="R114">
        <f>Applications!P115</f>
        <v>24</v>
      </c>
      <c r="S114">
        <f>Applications!Q115</f>
        <v>3.3057851239669422</v>
      </c>
      <c r="T114" t="str">
        <f>Applications!R115</f>
        <v>Resolute 4Fl (100-1139)</v>
      </c>
      <c r="U114" t="str">
        <f>Applications!S115</f>
        <v>Prodiamine</v>
      </c>
      <c r="V114">
        <f>Applications!T115</f>
        <v>16</v>
      </c>
      <c r="W114">
        <f>Applications!U115</f>
        <v>2.2038567493112948</v>
      </c>
      <c r="X114" t="b">
        <f>Applications!V115</f>
        <v>0</v>
      </c>
      <c r="Y114" t="e">
        <f>Applications!W115</f>
        <v>#N/A</v>
      </c>
      <c r="Z114" t="e">
        <f>Applications!X115</f>
        <v>#N/A</v>
      </c>
      <c r="AA114" t="e">
        <f>Applications!Y115</f>
        <v>#N/A</v>
      </c>
      <c r="AB114">
        <f>Applications!Z115</f>
        <v>0</v>
      </c>
      <c r="AC114">
        <f>Applications!AA115</f>
        <v>0</v>
      </c>
      <c r="AD114">
        <f>Applications!AB115</f>
        <v>0</v>
      </c>
      <c r="AE114">
        <f>Applications!AC115</f>
        <v>0</v>
      </c>
    </row>
    <row r="115" spans="1:31">
      <c r="A115" t="str">
        <f>Applications!A116</f>
        <v>Marty Bryant</v>
      </c>
      <c r="B115" t="str">
        <f>VLOOKUP($A115,Customer_Data!$A$1:$R$161,3,TRUE)</f>
        <v>145 Virginia Valley Drive</v>
      </c>
      <c r="C115" t="str">
        <f>VLOOKUP($A115,Customer_Data!$A$1:$R$161,4,TRUE)</f>
        <v>Brandon</v>
      </c>
      <c r="D115" t="str">
        <f>VLOOKUP($A115,Customer_Data!$A$1:$R$161,5,TRUE)</f>
        <v>MS</v>
      </c>
      <c r="E115">
        <f>VLOOKUP($A115,Customer_Data!$A$1:$R$161,6,TRUE)</f>
        <v>39047</v>
      </c>
      <c r="F115" s="207">
        <f>Applications!B116</f>
        <v>46081</v>
      </c>
      <c r="G115" s="207" t="str">
        <f>Applications!E116</f>
        <v>Matthew Stowers</v>
      </c>
      <c r="H115">
        <f>Applications!F116</f>
        <v>48160</v>
      </c>
      <c r="I115" s="207" t="str">
        <f>Applications!G116</f>
        <v>Spring Preemerge (Jan)</v>
      </c>
      <c r="J115">
        <f>Applications!H116</f>
        <v>10000</v>
      </c>
      <c r="L115" t="str">
        <f>Applications!J116</f>
        <v/>
      </c>
      <c r="M115" t="e">
        <f>Applications!K116</f>
        <v>#N/A</v>
      </c>
      <c r="N115" t="e">
        <f>Applications!L116</f>
        <v>#N/A</v>
      </c>
      <c r="O115" t="e">
        <f>Applications!M116</f>
        <v>#N/A</v>
      </c>
      <c r="P115" t="str">
        <f>Applications!N116</f>
        <v>Triplet SF (3-Way) 228-312</v>
      </c>
      <c r="Q115" t="str">
        <f>Applications!O116</f>
        <v>2,4-D, dimethylamine salt; Dicamba, dimethylamine salt;Mecoprop-p (MCPP-p), dimethylamine salt</v>
      </c>
      <c r="R115">
        <f>Applications!P116</f>
        <v>24</v>
      </c>
      <c r="S115">
        <f>Applications!Q116</f>
        <v>5.5096418732782366</v>
      </c>
      <c r="T115" t="str">
        <f>Applications!R116</f>
        <v>Resolute 4Fl (100-1139)</v>
      </c>
      <c r="U115" t="str">
        <f>Applications!S116</f>
        <v>Prodiamine</v>
      </c>
      <c r="V115">
        <f>Applications!T116</f>
        <v>16</v>
      </c>
      <c r="W115">
        <f>Applications!U116</f>
        <v>3.6730945821854912</v>
      </c>
      <c r="X115" t="b">
        <f>Applications!V116</f>
        <v>0</v>
      </c>
      <c r="Y115" t="e">
        <f>Applications!W116</f>
        <v>#N/A</v>
      </c>
      <c r="Z115" t="e">
        <f>Applications!X116</f>
        <v>#N/A</v>
      </c>
      <c r="AA115" t="e">
        <f>Applications!Y116</f>
        <v>#N/A</v>
      </c>
      <c r="AB115">
        <f>Applications!Z116</f>
        <v>0</v>
      </c>
      <c r="AC115">
        <f>Applications!AA116</f>
        <v>0</v>
      </c>
      <c r="AD115">
        <f>Applications!AB116</f>
        <v>0</v>
      </c>
      <c r="AE115">
        <f>Applications!AC116</f>
        <v>0</v>
      </c>
    </row>
    <row r="116" spans="1:31">
      <c r="A116" t="str">
        <f>Applications!A117</f>
        <v>David Morrow</v>
      </c>
      <c r="B116" t="str">
        <f>VLOOKUP($A116,Customer_Data!$A$1:$R$161,3,TRUE)</f>
        <v>1403 Cassandra Place</v>
      </c>
      <c r="C116" t="str">
        <f>VLOOKUP($A116,Customer_Data!$A$1:$R$161,4,TRUE)</f>
        <v>Brandon</v>
      </c>
      <c r="D116" t="str">
        <f>VLOOKUP($A116,Customer_Data!$A$1:$R$161,5,TRUE)</f>
        <v>MS</v>
      </c>
      <c r="E116">
        <f>VLOOKUP($A116,Customer_Data!$A$1:$R$161,6,TRUE)</f>
        <v>39042</v>
      </c>
      <c r="F116" s="207">
        <f>Applications!B117</f>
        <v>46081</v>
      </c>
      <c r="G116" s="207" t="str">
        <f>Applications!E117</f>
        <v>Matthew Stowers</v>
      </c>
      <c r="H116">
        <f>Applications!F117</f>
        <v>48160</v>
      </c>
      <c r="I116" s="207" t="str">
        <f>Applications!G117</f>
        <v>Spring Preemerge (Jan)</v>
      </c>
      <c r="J116">
        <f>Applications!H117</f>
        <v>3200</v>
      </c>
      <c r="L116" t="str">
        <f>Applications!J117</f>
        <v/>
      </c>
      <c r="M116" t="e">
        <f>Applications!K117</f>
        <v>#N/A</v>
      </c>
      <c r="N116" t="e">
        <f>Applications!L117</f>
        <v>#N/A</v>
      </c>
      <c r="O116" t="e">
        <f>Applications!M117</f>
        <v>#N/A</v>
      </c>
      <c r="P116" t="str">
        <f>Applications!N117</f>
        <v>Triplet SF (3-Way) 228-312</v>
      </c>
      <c r="Q116" t="str">
        <f>Applications!O117</f>
        <v>2,4-D, dimethylamine salt; Dicamba, dimethylamine salt;Mecoprop-p (MCPP-p), dimethylamine salt</v>
      </c>
      <c r="R116">
        <f>Applications!P117</f>
        <v>24</v>
      </c>
      <c r="S116">
        <f>Applications!Q117</f>
        <v>1.7630853994490359</v>
      </c>
      <c r="T116" t="str">
        <f>Applications!R117</f>
        <v>Resolute 4Fl (100-1139)</v>
      </c>
      <c r="U116" t="str">
        <f>Applications!S117</f>
        <v>Prodiamine</v>
      </c>
      <c r="V116">
        <f>Applications!T117</f>
        <v>16</v>
      </c>
      <c r="W116">
        <f>Applications!U117</f>
        <v>1.1753902662993572</v>
      </c>
      <c r="X116" t="b">
        <f>Applications!V117</f>
        <v>0</v>
      </c>
      <c r="Y116" t="e">
        <f>Applications!W117</f>
        <v>#N/A</v>
      </c>
      <c r="Z116" t="e">
        <f>Applications!X117</f>
        <v>#N/A</v>
      </c>
      <c r="AA116" t="e">
        <f>Applications!Y117</f>
        <v>#N/A</v>
      </c>
      <c r="AB116">
        <f>Applications!Z117</f>
        <v>0</v>
      </c>
      <c r="AC116">
        <f>Applications!AA117</f>
        <v>0</v>
      </c>
      <c r="AD116">
        <f>Applications!AB117</f>
        <v>0</v>
      </c>
      <c r="AE116">
        <f>Applications!AC117</f>
        <v>0</v>
      </c>
    </row>
    <row r="117" spans="1:31">
      <c r="A117" t="str">
        <f>Applications!A118</f>
        <v>David Fatheree</v>
      </c>
      <c r="B117" t="str">
        <f>VLOOKUP($A117,Customer_Data!$A$1:$R$161,3,TRUE)</f>
        <v>706 Ivywood Court</v>
      </c>
      <c r="C117" t="str">
        <f>VLOOKUP($A117,Customer_Data!$A$1:$R$161,4,TRUE)</f>
        <v>Madison</v>
      </c>
      <c r="D117" t="str">
        <f>VLOOKUP($A117,Customer_Data!$A$1:$R$161,5,TRUE)</f>
        <v>MS</v>
      </c>
      <c r="E117">
        <f>VLOOKUP($A117,Customer_Data!$A$1:$R$161,6,TRUE)</f>
        <v>39110</v>
      </c>
      <c r="F117" s="207">
        <f>Applications!B118</f>
        <v>46086</v>
      </c>
      <c r="G117" s="207" t="str">
        <f>Applications!E118</f>
        <v>Matthew Stowers</v>
      </c>
      <c r="H117">
        <f>Applications!F118</f>
        <v>48160</v>
      </c>
      <c r="I117" s="207" t="str">
        <f>Applications!G118</f>
        <v>Spring Preemerge (Jan)</v>
      </c>
      <c r="J117">
        <f>Applications!H118</f>
        <v>8910</v>
      </c>
      <c r="L117" t="str">
        <f>Applications!J118</f>
        <v/>
      </c>
      <c r="M117" t="e">
        <f>Applications!K118</f>
        <v>#N/A</v>
      </c>
      <c r="N117" t="e">
        <f>Applications!L118</f>
        <v>#N/A</v>
      </c>
      <c r="O117" t="e">
        <f>Applications!M118</f>
        <v>#N/A</v>
      </c>
      <c r="P117" t="str">
        <f>Applications!N118</f>
        <v>Triplet SF (3-Way) 228-312</v>
      </c>
      <c r="Q117" t="str">
        <f>Applications!O118</f>
        <v>2,4-D, dimethylamine salt; Dicamba, dimethylamine salt;Mecoprop-p (MCPP-p), dimethylamine salt</v>
      </c>
      <c r="R117">
        <f>Applications!P118</f>
        <v>24</v>
      </c>
      <c r="S117">
        <f>Applications!Q118</f>
        <v>4.9090909090909092</v>
      </c>
      <c r="T117" t="str">
        <f>Applications!R118</f>
        <v>Resolute 4Fl (100-1139)</v>
      </c>
      <c r="U117" t="str">
        <f>Applications!S118</f>
        <v>Prodiamine</v>
      </c>
      <c r="V117">
        <f>Applications!T118</f>
        <v>16</v>
      </c>
      <c r="W117">
        <f>Applications!U118</f>
        <v>3.2727272727272729</v>
      </c>
      <c r="X117" t="b">
        <f>Applications!V118</f>
        <v>0</v>
      </c>
      <c r="Y117" t="e">
        <f>Applications!W118</f>
        <v>#N/A</v>
      </c>
      <c r="Z117" t="e">
        <f>Applications!X118</f>
        <v>#N/A</v>
      </c>
      <c r="AA117" t="e">
        <f>Applications!Y118</f>
        <v>#N/A</v>
      </c>
      <c r="AB117">
        <f>Applications!Z118</f>
        <v>0</v>
      </c>
      <c r="AC117">
        <f>Applications!AA118</f>
        <v>0</v>
      </c>
      <c r="AD117">
        <f>Applications!AB118</f>
        <v>0</v>
      </c>
      <c r="AE117">
        <f>Applications!AC118</f>
        <v>0</v>
      </c>
    </row>
    <row r="118" spans="1:31">
      <c r="A118" t="str">
        <f>Applications!A119</f>
        <v>Danny Cooper</v>
      </c>
      <c r="B118" t="str">
        <f>VLOOKUP($A118,Customer_Data!$A$1:$R$161,3,TRUE)</f>
        <v>129 Sawbridge Drive</v>
      </c>
      <c r="C118" t="str">
        <f>VLOOKUP($A118,Customer_Data!$A$1:$R$161,4,TRUE)</f>
        <v>Ridgeland</v>
      </c>
      <c r="D118" t="str">
        <f>VLOOKUP($A118,Customer_Data!$A$1:$R$161,5,TRUE)</f>
        <v>MS</v>
      </c>
      <c r="E118">
        <f>VLOOKUP($A118,Customer_Data!$A$1:$R$161,6,TRUE)</f>
        <v>39157</v>
      </c>
      <c r="F118" s="207">
        <f>Applications!B119</f>
        <v>46086</v>
      </c>
      <c r="G118" s="207" t="str">
        <f>Applications!E119</f>
        <v>Matthew Stowers</v>
      </c>
      <c r="H118">
        <f>Applications!F119</f>
        <v>48160</v>
      </c>
      <c r="I118" s="207" t="str">
        <f>Applications!G119</f>
        <v>Spring Preemerge (Jan)</v>
      </c>
      <c r="J118">
        <f>Applications!H119</f>
        <v>7000</v>
      </c>
      <c r="L118" t="str">
        <f>Applications!J119</f>
        <v/>
      </c>
      <c r="M118" t="e">
        <f>Applications!K119</f>
        <v>#N/A</v>
      </c>
      <c r="N118" t="e">
        <f>Applications!L119</f>
        <v>#N/A</v>
      </c>
      <c r="O118" t="e">
        <f>Applications!M119</f>
        <v>#N/A</v>
      </c>
      <c r="P118" t="str">
        <f>Applications!N119</f>
        <v>Triplet SF (3-Way) 228-312</v>
      </c>
      <c r="Q118" t="str">
        <f>Applications!O119</f>
        <v>2,4-D, dimethylamine salt; Dicamba, dimethylamine salt;Mecoprop-p (MCPP-p), dimethylamine salt</v>
      </c>
      <c r="R118">
        <f>Applications!P119</f>
        <v>24</v>
      </c>
      <c r="S118">
        <f>Applications!Q119</f>
        <v>3.8567493112947657</v>
      </c>
      <c r="T118" t="str">
        <f>Applications!R119</f>
        <v>Resolute 4Fl (100-1139)</v>
      </c>
      <c r="U118" t="str">
        <f>Applications!S119</f>
        <v>Prodiamine</v>
      </c>
      <c r="V118">
        <f>Applications!T119</f>
        <v>16</v>
      </c>
      <c r="W118">
        <f>Applications!U119</f>
        <v>2.5711662075298438</v>
      </c>
      <c r="X118" t="b">
        <f>Applications!V119</f>
        <v>0</v>
      </c>
      <c r="Y118" t="e">
        <f>Applications!W119</f>
        <v>#N/A</v>
      </c>
      <c r="Z118" t="e">
        <f>Applications!X119</f>
        <v>#N/A</v>
      </c>
      <c r="AA118" t="e">
        <f>Applications!Y119</f>
        <v>#N/A</v>
      </c>
      <c r="AB118">
        <f>Applications!Z119</f>
        <v>0</v>
      </c>
      <c r="AC118">
        <f>Applications!AA119</f>
        <v>0</v>
      </c>
      <c r="AD118">
        <f>Applications!AB119</f>
        <v>0</v>
      </c>
      <c r="AE118">
        <f>Applications!AC119</f>
        <v>0</v>
      </c>
    </row>
    <row r="119" spans="1:31">
      <c r="A119" t="str">
        <f>Applications!A120</f>
        <v>Seth Simmons</v>
      </c>
      <c r="B119" t="str">
        <f>VLOOKUP($A119,Customer_Data!$A$1:$R$161,3,TRUE)</f>
        <v>202 Highland Garrison</v>
      </c>
      <c r="C119" t="str">
        <f>VLOOKUP($A119,Customer_Data!$A$1:$R$161,4,TRUE)</f>
        <v>Ridgeland</v>
      </c>
      <c r="D119" t="str">
        <f>VLOOKUP($A119,Customer_Data!$A$1:$R$161,5,TRUE)</f>
        <v>MS</v>
      </c>
      <c r="E119">
        <f>VLOOKUP($A119,Customer_Data!$A$1:$R$161,6,TRUE)</f>
        <v>39157</v>
      </c>
      <c r="F119" s="207">
        <f>Applications!B120</f>
        <v>46086</v>
      </c>
      <c r="G119" s="207" t="str">
        <f>Applications!E120</f>
        <v>Matthew Stowers</v>
      </c>
      <c r="H119">
        <f>Applications!F120</f>
        <v>48160</v>
      </c>
      <c r="I119" s="207" t="str">
        <f>Applications!G120</f>
        <v>Spring Preemerge (Jan)</v>
      </c>
      <c r="J119">
        <f>Applications!H120</f>
        <v>6500</v>
      </c>
      <c r="L119" t="str">
        <f>Applications!J120</f>
        <v/>
      </c>
      <c r="M119" t="e">
        <f>Applications!K120</f>
        <v>#N/A</v>
      </c>
      <c r="N119" t="e">
        <f>Applications!L120</f>
        <v>#N/A</v>
      </c>
      <c r="O119" t="e">
        <f>Applications!M120</f>
        <v>#N/A</v>
      </c>
      <c r="P119" t="str">
        <f>Applications!N120</f>
        <v>Triplet SF (3-Way) 228-312</v>
      </c>
      <c r="Q119" t="str">
        <f>Applications!O120</f>
        <v>2,4-D, dimethylamine salt; Dicamba, dimethylamine salt;Mecoprop-p (MCPP-p), dimethylamine salt</v>
      </c>
      <c r="R119">
        <f>Applications!P120</f>
        <v>24</v>
      </c>
      <c r="S119">
        <f>Applications!Q120</f>
        <v>3.5812672176308542</v>
      </c>
      <c r="T119" t="str">
        <f>Applications!R120</f>
        <v>Resolute 4Fl (100-1139)</v>
      </c>
      <c r="U119" t="str">
        <f>Applications!S120</f>
        <v>Prodiamine</v>
      </c>
      <c r="V119">
        <f>Applications!T120</f>
        <v>16</v>
      </c>
      <c r="W119">
        <f>Applications!U120</f>
        <v>2.3875114784205693</v>
      </c>
      <c r="X119" t="b">
        <f>Applications!V120</f>
        <v>0</v>
      </c>
      <c r="Y119" t="e">
        <f>Applications!W120</f>
        <v>#N/A</v>
      </c>
      <c r="Z119" t="e">
        <f>Applications!X120</f>
        <v>#N/A</v>
      </c>
      <c r="AA119" t="e">
        <f>Applications!Y120</f>
        <v>#N/A</v>
      </c>
      <c r="AB119">
        <f>Applications!Z120</f>
        <v>0</v>
      </c>
      <c r="AC119">
        <f>Applications!AA120</f>
        <v>0</v>
      </c>
      <c r="AD119">
        <f>Applications!AB120</f>
        <v>0</v>
      </c>
      <c r="AE119">
        <f>Applications!AC120</f>
        <v>0</v>
      </c>
    </row>
    <row r="120" spans="1:31">
      <c r="A120" t="str">
        <f>Applications!A121</f>
        <v>Luther Holmes (mother-in-law)</v>
      </c>
      <c r="B120" t="str">
        <f>VLOOKUP($A120,Customer_Data!$A$1:$R$161,3,TRUE)</f>
        <v>1525 Kristen Drive</v>
      </c>
      <c r="C120" t="str">
        <f>VLOOKUP($A120,Customer_Data!$A$1:$R$161,4,TRUE)</f>
        <v>Jackson</v>
      </c>
      <c r="D120" t="str">
        <f>VLOOKUP($A120,Customer_Data!$A$1:$R$161,5,TRUE)</f>
        <v>MS</v>
      </c>
      <c r="E120">
        <f>VLOOKUP($A120,Customer_Data!$A$1:$R$161,6,TRUE)</f>
        <v>39211</v>
      </c>
      <c r="F120" s="207">
        <f>Applications!B121</f>
        <v>46086</v>
      </c>
      <c r="G120" s="207" t="str">
        <f>Applications!E121</f>
        <v>Matthew Stowers</v>
      </c>
      <c r="H120">
        <f>Applications!F121</f>
        <v>48160</v>
      </c>
      <c r="I120" s="207" t="str">
        <f>Applications!G121</f>
        <v>Spring Preemerge (Jan)</v>
      </c>
      <c r="J120">
        <f>Applications!H121</f>
        <v>3200</v>
      </c>
      <c r="L120" t="str">
        <f>Applications!J121</f>
        <v/>
      </c>
      <c r="M120" t="e">
        <f>Applications!K121</f>
        <v>#N/A</v>
      </c>
      <c r="N120" t="e">
        <f>Applications!L121</f>
        <v>#N/A</v>
      </c>
      <c r="O120" t="e">
        <f>Applications!M121</f>
        <v>#N/A</v>
      </c>
      <c r="P120" t="str">
        <f>Applications!N121</f>
        <v>Triplet SF (3-Way) 228-312</v>
      </c>
      <c r="Q120" t="str">
        <f>Applications!O121</f>
        <v>2,4-D, dimethylamine salt; Dicamba, dimethylamine salt;Mecoprop-p (MCPP-p), dimethylamine salt</v>
      </c>
      <c r="R120">
        <f>Applications!P121</f>
        <v>24</v>
      </c>
      <c r="S120">
        <f>Applications!Q121</f>
        <v>1.7630853994490359</v>
      </c>
      <c r="T120" t="str">
        <f>Applications!R121</f>
        <v>Resolute 4Fl (100-1139)</v>
      </c>
      <c r="U120" t="str">
        <f>Applications!S121</f>
        <v>Prodiamine</v>
      </c>
      <c r="V120">
        <f>Applications!T121</f>
        <v>16</v>
      </c>
      <c r="W120">
        <f>Applications!U121</f>
        <v>1.1753902662993572</v>
      </c>
      <c r="X120" t="b">
        <f>Applications!V121</f>
        <v>0</v>
      </c>
      <c r="Y120" t="e">
        <f>Applications!W121</f>
        <v>#N/A</v>
      </c>
      <c r="Z120" t="e">
        <f>Applications!X121</f>
        <v>#N/A</v>
      </c>
      <c r="AA120" t="e">
        <f>Applications!Y121</f>
        <v>#N/A</v>
      </c>
      <c r="AB120">
        <f>Applications!Z121</f>
        <v>0</v>
      </c>
      <c r="AC120">
        <f>Applications!AA121</f>
        <v>0</v>
      </c>
      <c r="AD120">
        <f>Applications!AB121</f>
        <v>0</v>
      </c>
      <c r="AE120">
        <f>Applications!AC121</f>
        <v>0</v>
      </c>
    </row>
    <row r="121" spans="1:31">
      <c r="A121" t="str">
        <f>Applications!A122</f>
        <v>Adam Noland</v>
      </c>
      <c r="B121" t="str">
        <f>VLOOKUP($A121,Customer_Data!$A$1:$R$161,3,TRUE)</f>
        <v>144 Seville Way</v>
      </c>
      <c r="C121" t="str">
        <f>VLOOKUP($A121,Customer_Data!$A$1:$R$161,4,TRUE)</f>
        <v>Madison</v>
      </c>
      <c r="D121" t="str">
        <f>VLOOKUP($A121,Customer_Data!$A$1:$R$161,5,TRUE)</f>
        <v>MS</v>
      </c>
      <c r="E121">
        <f>VLOOKUP($A121,Customer_Data!$A$1:$R$161,6,TRUE)</f>
        <v>39110</v>
      </c>
      <c r="F121" s="207">
        <f>Applications!B122</f>
        <v>46086</v>
      </c>
      <c r="G121" s="207" t="str">
        <f>Applications!E122</f>
        <v>Matthew Stowers</v>
      </c>
      <c r="H121">
        <f>Applications!F122</f>
        <v>48160</v>
      </c>
      <c r="I121" s="207" t="str">
        <f>Applications!G122</f>
        <v>Spring Preemerge (Jan)</v>
      </c>
      <c r="J121">
        <f>Applications!H122</f>
        <v>6000</v>
      </c>
      <c r="L121" t="str">
        <f>Applications!J122</f>
        <v/>
      </c>
      <c r="M121" t="e">
        <f>Applications!K122</f>
        <v>#N/A</v>
      </c>
      <c r="N121" t="e">
        <f>Applications!L122</f>
        <v>#N/A</v>
      </c>
      <c r="O121" t="e">
        <f>Applications!M122</f>
        <v>#N/A</v>
      </c>
      <c r="P121" t="str">
        <f>Applications!N122</f>
        <v>Triplet SF (3-Way) 228-312</v>
      </c>
      <c r="Q121" t="str">
        <f>Applications!O122</f>
        <v>2,4-D, dimethylamine salt; Dicamba, dimethylamine salt;Mecoprop-p (MCPP-p), dimethylamine salt</v>
      </c>
      <c r="R121">
        <f>Applications!P122</f>
        <v>24</v>
      </c>
      <c r="S121">
        <f>Applications!Q122</f>
        <v>3.3057851239669422</v>
      </c>
      <c r="T121" t="str">
        <f>Applications!R122</f>
        <v>Resolute 4Fl (100-1139)</v>
      </c>
      <c r="U121" t="str">
        <f>Applications!S122</f>
        <v>Prodiamine</v>
      </c>
      <c r="V121">
        <f>Applications!T122</f>
        <v>16</v>
      </c>
      <c r="W121">
        <f>Applications!U122</f>
        <v>2.2038567493112948</v>
      </c>
      <c r="X121" t="b">
        <f>Applications!V122</f>
        <v>0</v>
      </c>
      <c r="Y121" t="e">
        <f>Applications!W122</f>
        <v>#N/A</v>
      </c>
      <c r="Z121" t="e">
        <f>Applications!X122</f>
        <v>#N/A</v>
      </c>
      <c r="AA121" t="e">
        <f>Applications!Y122</f>
        <v>#N/A</v>
      </c>
      <c r="AB121">
        <f>Applications!Z122</f>
        <v>0</v>
      </c>
      <c r="AC121">
        <f>Applications!AA122</f>
        <v>0</v>
      </c>
      <c r="AD121">
        <f>Applications!AB122</f>
        <v>0</v>
      </c>
      <c r="AE121">
        <f>Applications!AC122</f>
        <v>0</v>
      </c>
    </row>
    <row r="122" spans="1:31">
      <c r="A122" t="str">
        <f>Applications!A123</f>
        <v>Headwaters, Inc.</v>
      </c>
      <c r="B122" t="str">
        <f>VLOOKUP($A122,Customer_Data!$A$1:$R$161,3,TRUE)</f>
        <v>167 Orchard Lane</v>
      </c>
      <c r="C122" t="str">
        <f>VLOOKUP($A122,Customer_Data!$A$1:$R$161,4,TRUE)</f>
        <v>Madison</v>
      </c>
      <c r="D122" t="str">
        <f>VLOOKUP($A122,Customer_Data!$A$1:$R$161,5,TRUE)</f>
        <v>MS</v>
      </c>
      <c r="E122">
        <f>VLOOKUP($A122,Customer_Data!$A$1:$R$161,6,TRUE)</f>
        <v>39110</v>
      </c>
      <c r="F122" s="207">
        <f>Applications!B123</f>
        <v>46086</v>
      </c>
      <c r="G122" s="207" t="str">
        <f>Applications!E123</f>
        <v>Matthew Stowers</v>
      </c>
      <c r="H122">
        <f>Applications!F123</f>
        <v>48160</v>
      </c>
      <c r="I122" s="207" t="str">
        <f>Applications!G123</f>
        <v>Spring Preemerge (Jan)</v>
      </c>
      <c r="J122">
        <f>Applications!H123</f>
        <v>12000</v>
      </c>
      <c r="L122" t="str">
        <f>Applications!J123</f>
        <v/>
      </c>
      <c r="M122" t="e">
        <f>Applications!K123</f>
        <v>#N/A</v>
      </c>
      <c r="N122" t="e">
        <f>Applications!L123</f>
        <v>#N/A</v>
      </c>
      <c r="O122" t="e">
        <f>Applications!M123</f>
        <v>#N/A</v>
      </c>
      <c r="P122" t="str">
        <f>Applications!N123</f>
        <v>Triplet SF (3-Way) 228-312</v>
      </c>
      <c r="Q122" t="str">
        <f>Applications!O123</f>
        <v>2,4-D, dimethylamine salt; Dicamba, dimethylamine salt;Mecoprop-p (MCPP-p), dimethylamine salt</v>
      </c>
      <c r="R122">
        <f>Applications!P123</f>
        <v>24</v>
      </c>
      <c r="S122">
        <f>Applications!Q123</f>
        <v>6.6115702479338845</v>
      </c>
      <c r="T122" t="str">
        <f>Applications!R123</f>
        <v>Resolute 4Fl (100-1139)</v>
      </c>
      <c r="U122" t="str">
        <f>Applications!S123</f>
        <v>Prodiamine</v>
      </c>
      <c r="V122">
        <f>Applications!T123</f>
        <v>16</v>
      </c>
      <c r="W122">
        <f>Applications!U123</f>
        <v>4.4077134986225897</v>
      </c>
      <c r="X122" t="b">
        <f>Applications!V123</f>
        <v>0</v>
      </c>
      <c r="Y122" t="e">
        <f>Applications!W123</f>
        <v>#N/A</v>
      </c>
      <c r="Z122" t="e">
        <f>Applications!X123</f>
        <v>#N/A</v>
      </c>
      <c r="AA122" t="e">
        <f>Applications!Y123</f>
        <v>#N/A</v>
      </c>
      <c r="AB122">
        <f>Applications!Z123</f>
        <v>0</v>
      </c>
      <c r="AC122">
        <f>Applications!AA123</f>
        <v>0</v>
      </c>
      <c r="AD122">
        <f>Applications!AB123</f>
        <v>0</v>
      </c>
      <c r="AE122">
        <f>Applications!AC123</f>
        <v>0</v>
      </c>
    </row>
    <row r="123" spans="1:31">
      <c r="A123" t="str">
        <f>Applications!A124</f>
        <v>Sam Goff</v>
      </c>
      <c r="B123" t="str">
        <f>VLOOKUP($A123,Customer_Data!$A$1:$R$161,3,TRUE)</f>
        <v>129 Meadowcreek Drive</v>
      </c>
      <c r="C123" t="str">
        <f>VLOOKUP($A123,Customer_Data!$A$1:$R$161,4,TRUE)</f>
        <v>Brandon</v>
      </c>
      <c r="D123" t="str">
        <f>VLOOKUP($A123,Customer_Data!$A$1:$R$161,5,TRUE)</f>
        <v xml:space="preserve">MS </v>
      </c>
      <c r="E123">
        <f>VLOOKUP($A123,Customer_Data!$A$1:$R$161,6,TRUE)</f>
        <v>39042</v>
      </c>
      <c r="F123" s="207">
        <f>Applications!B124</f>
        <v>46088</v>
      </c>
      <c r="G123" s="207" t="str">
        <f>Applications!E124</f>
        <v>Matthew Stowers</v>
      </c>
      <c r="H123">
        <f>Applications!F124</f>
        <v>48160</v>
      </c>
      <c r="I123" s="207" t="str">
        <f>Applications!G124</f>
        <v>Spring Preemerge (Jan)</v>
      </c>
      <c r="J123">
        <f>Applications!H124</f>
        <v>6000</v>
      </c>
      <c r="L123" t="str">
        <f>Applications!J124</f>
        <v/>
      </c>
      <c r="M123" t="e">
        <f>Applications!K124</f>
        <v>#N/A</v>
      </c>
      <c r="N123" t="e">
        <f>Applications!L124</f>
        <v>#N/A</v>
      </c>
      <c r="O123" t="e">
        <f>Applications!M124</f>
        <v>#N/A</v>
      </c>
      <c r="P123" t="str">
        <f>Applications!N124</f>
        <v>Triplet SF (3-Way) 228-312</v>
      </c>
      <c r="Q123" t="str">
        <f>Applications!O124</f>
        <v>2,4-D, dimethylamine salt; Dicamba, dimethylamine salt;Mecoprop-p (MCPP-p), dimethylamine salt</v>
      </c>
      <c r="R123">
        <f>Applications!P124</f>
        <v>24</v>
      </c>
      <c r="S123">
        <f>Applications!Q124</f>
        <v>3.3057851239669422</v>
      </c>
      <c r="T123" t="str">
        <f>Applications!R124</f>
        <v>Resolute 4Fl (100-1139)</v>
      </c>
      <c r="U123" t="str">
        <f>Applications!S124</f>
        <v>Prodiamine</v>
      </c>
      <c r="V123">
        <f>Applications!T124</f>
        <v>16</v>
      </c>
      <c r="W123">
        <f>Applications!U124</f>
        <v>2.2038567493112948</v>
      </c>
      <c r="X123" t="b">
        <f>Applications!V124</f>
        <v>0</v>
      </c>
      <c r="Y123" t="e">
        <f>Applications!W124</f>
        <v>#N/A</v>
      </c>
      <c r="Z123" t="e">
        <f>Applications!X124</f>
        <v>#N/A</v>
      </c>
      <c r="AA123" t="e">
        <f>Applications!Y124</f>
        <v>#N/A</v>
      </c>
      <c r="AB123">
        <f>Applications!Z124</f>
        <v>0</v>
      </c>
      <c r="AC123">
        <f>Applications!AA124</f>
        <v>0</v>
      </c>
      <c r="AD123">
        <f>Applications!AB124</f>
        <v>0</v>
      </c>
      <c r="AE123">
        <f>Applications!AC124</f>
        <v>0</v>
      </c>
    </row>
    <row r="124" spans="1:31">
      <c r="A124" t="str">
        <f>Applications!A130</f>
        <v>Riley Bennett</v>
      </c>
      <c r="B124" t="str">
        <f>VLOOKUP($A124,Customer_Data!$A$1:$R$161,3,TRUE)</f>
        <v>417 Edgewood Crossing</v>
      </c>
      <c r="C124" t="str">
        <f>VLOOKUP($A124,Customer_Data!$A$1:$R$161,4,TRUE)</f>
        <v>Brandon</v>
      </c>
      <c r="D124" t="str">
        <f>VLOOKUP($A124,Customer_Data!$A$1:$R$161,5,TRUE)</f>
        <v>MS</v>
      </c>
      <c r="E124">
        <f>VLOOKUP($A124,Customer_Data!$A$1:$R$161,6,TRUE)</f>
        <v>39042</v>
      </c>
      <c r="F124" s="207">
        <f>Applications!B130</f>
        <v>46156</v>
      </c>
      <c r="G124" s="207" t="str">
        <f>Applications!E130</f>
        <v>Matthew Stowers</v>
      </c>
      <c r="H124">
        <f>Applications!F130</f>
        <v>48160</v>
      </c>
      <c r="I124" s="207" t="str">
        <f>Applications!G130</f>
        <v>Spring Preemerge (Apr)</v>
      </c>
      <c r="J124">
        <f>Applications!H130</f>
        <v>7500</v>
      </c>
      <c r="L124" t="str">
        <f>Applications!J130</f>
        <v/>
      </c>
      <c r="M124" t="e">
        <f>Applications!K130</f>
        <v>#N/A</v>
      </c>
      <c r="N124" t="e">
        <f>Applications!L130</f>
        <v>#N/A</v>
      </c>
      <c r="O124" t="e">
        <f>Applications!M130</f>
        <v>#N/A</v>
      </c>
      <c r="P124" t="str">
        <f>Applications!N130</f>
        <v>Triplet SF (3-Way) 228-312</v>
      </c>
      <c r="Q124" t="str">
        <f>Applications!O130</f>
        <v>2,4-D, dimethylamine salt; Dicamba, dimethylamine salt;Mecoprop-p (MCPP-p), dimethylamine salt</v>
      </c>
      <c r="R124">
        <f>Applications!P130</f>
        <v>24</v>
      </c>
      <c r="S124">
        <f>Applications!Q130</f>
        <v>4.1322314049586772</v>
      </c>
      <c r="T124" t="str">
        <f>Applications!R130</f>
        <v>Certinty Turf 59639-226</v>
      </c>
      <c r="U124" t="str">
        <f>Applications!S130</f>
        <v>Sulfosulfuron</v>
      </c>
      <c r="V124">
        <f>Applications!T130</f>
        <v>0</v>
      </c>
      <c r="W124">
        <f>Applications!U130</f>
        <v>0</v>
      </c>
      <c r="X124" t="b">
        <f>Applications!V130</f>
        <v>0</v>
      </c>
      <c r="Y124" t="e">
        <f>Applications!W130</f>
        <v>#N/A</v>
      </c>
      <c r="Z124" t="e">
        <f>Applications!X130</f>
        <v>#N/A</v>
      </c>
      <c r="AA124" t="e">
        <f>Applications!Y130</f>
        <v>#N/A</v>
      </c>
      <c r="AB124">
        <f>Applications!Z130</f>
        <v>0</v>
      </c>
      <c r="AC124">
        <f>Applications!AA130</f>
        <v>0</v>
      </c>
      <c r="AD124">
        <f>Applications!AB130</f>
        <v>0</v>
      </c>
      <c r="AE124">
        <f>Applications!AC130</f>
        <v>0</v>
      </c>
    </row>
    <row r="125" spans="1:31">
      <c r="A125" t="str">
        <f>Applications!A153</f>
        <v>Andy Harrist</v>
      </c>
      <c r="B125" t="str">
        <f>VLOOKUP($A125,Customer_Data!$A$1:$R$161,3,TRUE)</f>
        <v>939 South College Street</v>
      </c>
      <c r="C125" t="str">
        <f>VLOOKUP($A125,Customer_Data!$A$1:$R$161,4,TRUE)</f>
        <v>Brandon</v>
      </c>
      <c r="D125" t="str">
        <f>VLOOKUP($A125,Customer_Data!$A$1:$R$161,5,TRUE)</f>
        <v>MS</v>
      </c>
      <c r="E125">
        <f>VLOOKUP($A125,Customer_Data!$A$1:$R$161,6,TRUE)</f>
        <v>39042</v>
      </c>
      <c r="F125" s="207">
        <f>Applications!B153</f>
        <v>46156</v>
      </c>
      <c r="G125" s="207" t="str">
        <f>Applications!E153</f>
        <v>Matthew Stowers</v>
      </c>
      <c r="H125">
        <f>Applications!F153</f>
        <v>48160</v>
      </c>
      <c r="I125" s="207" t="str">
        <f>Applications!G153</f>
        <v>Spring Preemerge (Apr)</v>
      </c>
      <c r="J125">
        <f>Applications!H153</f>
        <v>4000</v>
      </c>
      <c r="L125" t="str">
        <f>Applications!J153</f>
        <v/>
      </c>
      <c r="M125" t="e">
        <f>Applications!K153</f>
        <v>#N/A</v>
      </c>
      <c r="N125" t="e">
        <f>Applications!L153</f>
        <v>#N/A</v>
      </c>
      <c r="O125" t="e">
        <f>Applications!M153</f>
        <v>#N/A</v>
      </c>
      <c r="P125" t="str">
        <f>Applications!N153</f>
        <v>Triplet SF (3-Way) 228-312</v>
      </c>
      <c r="Q125" t="str">
        <f>Applications!O153</f>
        <v>2,4-D, dimethylamine salt; Dicamba, dimethylamine salt;Mecoprop-p (MCPP-p), dimethylamine salt</v>
      </c>
      <c r="R125">
        <f>Applications!P153</f>
        <v>24</v>
      </c>
      <c r="S125">
        <f>Applications!Q153</f>
        <v>2.2038567493112948</v>
      </c>
      <c r="T125" t="str">
        <f>Applications!R153</f>
        <v>Certinty Turf 59639-226</v>
      </c>
      <c r="U125" t="str">
        <f>Applications!S153</f>
        <v>Sulfosulfuron</v>
      </c>
      <c r="V125">
        <f>Applications!T153</f>
        <v>0</v>
      </c>
      <c r="W125">
        <f>Applications!U153</f>
        <v>0</v>
      </c>
      <c r="X125" t="b">
        <f>Applications!V153</f>
        <v>0</v>
      </c>
      <c r="Y125" t="e">
        <f>Applications!W153</f>
        <v>#N/A</v>
      </c>
      <c r="Z125" t="e">
        <f>Applications!X153</f>
        <v>#N/A</v>
      </c>
      <c r="AA125" t="e">
        <f>Applications!Y153</f>
        <v>#N/A</v>
      </c>
      <c r="AB125">
        <f>Applications!Z153</f>
        <v>0</v>
      </c>
      <c r="AC125">
        <f>Applications!AA153</f>
        <v>0</v>
      </c>
      <c r="AD125">
        <f>Applications!AB153</f>
        <v>0</v>
      </c>
      <c r="AE125">
        <f>Applications!AC153</f>
        <v>0</v>
      </c>
    </row>
    <row r="126" spans="1:31">
      <c r="A126" t="str">
        <f>Applications!A125</f>
        <v>Dot Stuart</v>
      </c>
      <c r="B126" t="str">
        <f>VLOOKUP($A126,Customer_Data!$A$1:$R$161,3,TRUE)</f>
        <v>414 Providence Drive</v>
      </c>
      <c r="C126" t="str">
        <f>VLOOKUP($A126,Customer_Data!$A$1:$R$161,4,TRUE)</f>
        <v>Brandon</v>
      </c>
      <c r="D126" t="str">
        <f>VLOOKUP($A126,Customer_Data!$A$1:$R$161,5,TRUE)</f>
        <v>MS</v>
      </c>
      <c r="E126">
        <f>VLOOKUP($A126,Customer_Data!$A$1:$R$161,6,TRUE)</f>
        <v>39042</v>
      </c>
      <c r="F126" s="207">
        <f>Applications!B125</f>
        <v>46158</v>
      </c>
      <c r="G126" s="207" t="str">
        <f>Applications!E125</f>
        <v>Matthew Stowers</v>
      </c>
      <c r="H126">
        <f>Applications!F125</f>
        <v>48160</v>
      </c>
      <c r="I126" s="207" t="str">
        <f>Applications!G125</f>
        <v>Spring Preemerge (Apr)</v>
      </c>
      <c r="J126">
        <f>Applications!H125</f>
        <v>1800</v>
      </c>
      <c r="L126" t="str">
        <f>Applications!J125</f>
        <v/>
      </c>
      <c r="M126" t="e">
        <f>Applications!K125</f>
        <v>#N/A</v>
      </c>
      <c r="N126" t="e">
        <f>Applications!L125</f>
        <v>#N/A</v>
      </c>
      <c r="O126" t="e">
        <f>Applications!M125</f>
        <v>#N/A</v>
      </c>
      <c r="P126" t="str">
        <f>Applications!N125</f>
        <v>Triplet SF (3-Way) 228-312</v>
      </c>
      <c r="Q126" t="str">
        <f>Applications!O125</f>
        <v>2,4-D, dimethylamine salt; Dicamba, dimethylamine salt;Mecoprop-p (MCPP-p), dimethylamine salt</v>
      </c>
      <c r="R126">
        <f>Applications!P125</f>
        <v>24</v>
      </c>
      <c r="S126">
        <f>Applications!Q125</f>
        <v>0.99173553719008267</v>
      </c>
      <c r="T126" t="str">
        <f>Applications!R125</f>
        <v>Certinty Turf 59639-226</v>
      </c>
      <c r="U126" t="str">
        <f>Applications!S125</f>
        <v>Sulfosulfuron</v>
      </c>
      <c r="V126">
        <f>Applications!T125</f>
        <v>0</v>
      </c>
      <c r="W126">
        <f>Applications!U125</f>
        <v>0</v>
      </c>
      <c r="X126" t="b">
        <f>Applications!V125</f>
        <v>0</v>
      </c>
      <c r="Y126" t="e">
        <f>Applications!W125</f>
        <v>#N/A</v>
      </c>
      <c r="Z126" t="e">
        <f>Applications!X125</f>
        <v>#N/A</v>
      </c>
      <c r="AA126" t="e">
        <f>Applications!Y125</f>
        <v>#N/A</v>
      </c>
      <c r="AB126">
        <f>Applications!Z125</f>
        <v>0</v>
      </c>
      <c r="AC126">
        <f>Applications!AA125</f>
        <v>0</v>
      </c>
      <c r="AD126">
        <f>Applications!AB125</f>
        <v>0</v>
      </c>
      <c r="AE126">
        <f>Applications!AC125</f>
        <v>0</v>
      </c>
    </row>
    <row r="127" spans="1:31">
      <c r="A127" t="str">
        <f>Applications!A127</f>
        <v>Matt Runner</v>
      </c>
      <c r="B127" t="str">
        <f>VLOOKUP($A127,Customer_Data!$A$1:$R$161,3,TRUE)</f>
        <v>528 Acadian Ct.</v>
      </c>
      <c r="C127" t="str">
        <f>VLOOKUP($A127,Customer_Data!$A$1:$R$161,4,TRUE)</f>
        <v>Brandon</v>
      </c>
      <c r="D127" t="str">
        <f>VLOOKUP($A127,Customer_Data!$A$1:$R$161,5,TRUE)</f>
        <v>MS</v>
      </c>
      <c r="E127">
        <f>VLOOKUP($A127,Customer_Data!$A$1:$R$161,6,TRUE)</f>
        <v>39042</v>
      </c>
      <c r="F127" s="207">
        <f>Applications!B127</f>
        <v>46158</v>
      </c>
      <c r="G127" s="207" t="str">
        <f>Applications!E127</f>
        <v>Matthew Stowers</v>
      </c>
      <c r="H127">
        <f>Applications!F127</f>
        <v>48160</v>
      </c>
      <c r="I127" s="207" t="str">
        <f>Applications!G127</f>
        <v>Spring Preemerge (Apr)</v>
      </c>
      <c r="J127">
        <f>Applications!H127</f>
        <v>2000</v>
      </c>
      <c r="L127" t="str">
        <f>Applications!J127</f>
        <v/>
      </c>
      <c r="M127" t="e">
        <f>Applications!K127</f>
        <v>#N/A</v>
      </c>
      <c r="N127" t="e">
        <f>Applications!L127</f>
        <v>#N/A</v>
      </c>
      <c r="O127" t="e">
        <f>Applications!M127</f>
        <v>#N/A</v>
      </c>
      <c r="P127" t="str">
        <f>Applications!N127</f>
        <v>Triplet SF (3-Way) 228-312</v>
      </c>
      <c r="Q127" t="str">
        <f>Applications!O127</f>
        <v>2,4-D, dimethylamine salt; Dicamba, dimethylamine salt;Mecoprop-p (MCPP-p), dimethylamine salt</v>
      </c>
      <c r="R127">
        <f>Applications!P127</f>
        <v>24</v>
      </c>
      <c r="S127">
        <f>Applications!Q127</f>
        <v>1.1019283746556474</v>
      </c>
      <c r="T127" t="str">
        <f>Applications!R127</f>
        <v>Certinty Turf 59639-226</v>
      </c>
      <c r="U127" t="str">
        <f>Applications!S127</f>
        <v>Sulfosulfuron</v>
      </c>
      <c r="V127">
        <f>Applications!T127</f>
        <v>0</v>
      </c>
      <c r="W127">
        <f>Applications!U127</f>
        <v>0</v>
      </c>
      <c r="X127" t="b">
        <f>Applications!V127</f>
        <v>0</v>
      </c>
      <c r="Y127" t="e">
        <f>Applications!W127</f>
        <v>#N/A</v>
      </c>
      <c r="Z127" t="e">
        <f>Applications!X127</f>
        <v>#N/A</v>
      </c>
      <c r="AA127" t="e">
        <f>Applications!Y127</f>
        <v>#N/A</v>
      </c>
      <c r="AB127">
        <f>Applications!Z127</f>
        <v>0</v>
      </c>
      <c r="AC127">
        <f>Applications!AA127</f>
        <v>0</v>
      </c>
      <c r="AD127">
        <f>Applications!AB127</f>
        <v>0</v>
      </c>
      <c r="AE127">
        <f>Applications!AC127</f>
        <v>0</v>
      </c>
    </row>
    <row r="128" spans="1:31">
      <c r="A128" t="str">
        <f>Applications!A129</f>
        <v>Bo Whatley</v>
      </c>
      <c r="B128" t="str">
        <f>VLOOKUP($A128,Customer_Data!$A$1:$R$161,3,TRUE)</f>
        <v>126 Cypress Ridge Drive</v>
      </c>
      <c r="C128" t="str">
        <f>VLOOKUP($A128,Customer_Data!$A$1:$R$161,4,TRUE)</f>
        <v>Brandon</v>
      </c>
      <c r="D128" t="str">
        <f>VLOOKUP($A128,Customer_Data!$A$1:$R$161,5,TRUE)</f>
        <v>MS</v>
      </c>
      <c r="E128">
        <f>VLOOKUP($A128,Customer_Data!$A$1:$R$161,6,TRUE)</f>
        <v>39042</v>
      </c>
      <c r="F128" s="207">
        <f>Applications!B129</f>
        <v>46158</v>
      </c>
      <c r="G128" s="207" t="str">
        <f>Applications!E129</f>
        <v>Luther Stowers</v>
      </c>
      <c r="H128">
        <f>Applications!F129</f>
        <v>48182</v>
      </c>
      <c r="I128" s="207" t="str">
        <f>Applications!G129</f>
        <v>Spring Preemerge (Apr)</v>
      </c>
      <c r="J128">
        <f>Applications!H129</f>
        <v>2750</v>
      </c>
      <c r="L128" t="str">
        <f>Applications!J129</f>
        <v/>
      </c>
      <c r="M128" t="e">
        <f>Applications!K129</f>
        <v>#N/A</v>
      </c>
      <c r="N128" t="e">
        <f>Applications!L129</f>
        <v>#N/A</v>
      </c>
      <c r="O128" t="e">
        <f>Applications!M129</f>
        <v>#N/A</v>
      </c>
      <c r="P128" t="str">
        <f>Applications!N129</f>
        <v>Triplet SF (3-Way) 228-312</v>
      </c>
      <c r="Q128" t="str">
        <f>Applications!O129</f>
        <v>2,4-D, dimethylamine salt; Dicamba, dimethylamine salt;Mecoprop-p (MCPP-p), dimethylamine salt</v>
      </c>
      <c r="R128">
        <f>Applications!P129</f>
        <v>24</v>
      </c>
      <c r="S128">
        <f>Applications!Q129</f>
        <v>1.5151515151515151</v>
      </c>
      <c r="T128" t="str">
        <f>Applications!R129</f>
        <v>Certinty Turf 59639-226</v>
      </c>
      <c r="U128" t="str">
        <f>Applications!S129</f>
        <v>Sulfosulfuron</v>
      </c>
      <c r="V128">
        <f>Applications!T129</f>
        <v>0</v>
      </c>
      <c r="W128">
        <f>Applications!U129</f>
        <v>0</v>
      </c>
      <c r="X128" t="b">
        <f>Applications!V129</f>
        <v>0</v>
      </c>
      <c r="Y128" t="e">
        <f>Applications!W129</f>
        <v>#N/A</v>
      </c>
      <c r="Z128" t="e">
        <f>Applications!X129</f>
        <v>#N/A</v>
      </c>
      <c r="AA128" t="e">
        <f>Applications!Y129</f>
        <v>#N/A</v>
      </c>
      <c r="AB128">
        <f>Applications!Z129</f>
        <v>0</v>
      </c>
      <c r="AC128">
        <f>Applications!AA129</f>
        <v>0</v>
      </c>
      <c r="AD128">
        <f>Applications!AB129</f>
        <v>0</v>
      </c>
      <c r="AE128">
        <f>Applications!AC129</f>
        <v>0</v>
      </c>
    </row>
    <row r="129" spans="1:31">
      <c r="A129" t="str">
        <f>Applications!A131</f>
        <v>Max Brian</v>
      </c>
      <c r="B129" t="str">
        <f>VLOOKUP($A129,Customer_Data!$A$1:$R$161,3,TRUE)</f>
        <v>121 Meadow Creek Drive</v>
      </c>
      <c r="C129" t="str">
        <f>VLOOKUP($A129,Customer_Data!$A$1:$R$161,4,TRUE)</f>
        <v>Brandon</v>
      </c>
      <c r="D129" t="str">
        <f>VLOOKUP($A129,Customer_Data!$A$1:$R$161,5,TRUE)</f>
        <v>MS</v>
      </c>
      <c r="E129">
        <f>VLOOKUP($A129,Customer_Data!$A$1:$R$161,6,TRUE)</f>
        <v>39042</v>
      </c>
      <c r="F129" s="207">
        <f>Applications!B131</f>
        <v>46158</v>
      </c>
      <c r="G129" s="207" t="str">
        <f>Applications!E131</f>
        <v>Matthew Stowers</v>
      </c>
      <c r="H129">
        <f>Applications!F131</f>
        <v>48160</v>
      </c>
      <c r="I129" s="207" t="str">
        <f>Applications!G131</f>
        <v>Spring Preemerge (Apr)</v>
      </c>
      <c r="J129">
        <f>Applications!H131</f>
        <v>4670</v>
      </c>
      <c r="L129" t="str">
        <f>Applications!J131</f>
        <v/>
      </c>
      <c r="M129" t="e">
        <f>Applications!K131</f>
        <v>#N/A</v>
      </c>
      <c r="N129" t="e">
        <f>Applications!L131</f>
        <v>#N/A</v>
      </c>
      <c r="O129" t="e">
        <f>Applications!M131</f>
        <v>#N/A</v>
      </c>
      <c r="P129" t="str">
        <f>Applications!N131</f>
        <v>Triplet SF (3-Way) 228-312</v>
      </c>
      <c r="Q129" t="str">
        <f>Applications!O131</f>
        <v>2,4-D, dimethylamine salt; Dicamba, dimethylamine salt;Mecoprop-p (MCPP-p), dimethylamine salt</v>
      </c>
      <c r="R129">
        <f>Applications!P131</f>
        <v>24</v>
      </c>
      <c r="S129">
        <f>Applications!Q131</f>
        <v>2.5730027548209367</v>
      </c>
      <c r="T129" t="str">
        <f>Applications!R131</f>
        <v>Certinty Turf 59639-226</v>
      </c>
      <c r="U129" t="str">
        <f>Applications!S131</f>
        <v>Sulfosulfuron</v>
      </c>
      <c r="V129">
        <f>Applications!T131</f>
        <v>0</v>
      </c>
      <c r="W129">
        <f>Applications!U131</f>
        <v>0</v>
      </c>
      <c r="X129" t="b">
        <f>Applications!V131</f>
        <v>0</v>
      </c>
      <c r="Y129" t="e">
        <f>Applications!W131</f>
        <v>#N/A</v>
      </c>
      <c r="Z129" t="e">
        <f>Applications!X131</f>
        <v>#N/A</v>
      </c>
      <c r="AA129" t="e">
        <f>Applications!Y131</f>
        <v>#N/A</v>
      </c>
      <c r="AB129">
        <f>Applications!Z131</f>
        <v>0</v>
      </c>
      <c r="AC129">
        <f>Applications!AA131</f>
        <v>0</v>
      </c>
      <c r="AD129">
        <f>Applications!AB131</f>
        <v>0</v>
      </c>
      <c r="AE129">
        <f>Applications!AC131</f>
        <v>0</v>
      </c>
    </row>
    <row r="130" spans="1:31">
      <c r="A130" t="str">
        <f>Applications!A134</f>
        <v>Elliot Smith</v>
      </c>
      <c r="B130" t="str">
        <f>VLOOKUP($A130,Customer_Data!$A$1:$R$161,3,TRUE)</f>
        <v>103 Glenartney St.</v>
      </c>
      <c r="C130" t="str">
        <f>VLOOKUP($A130,Customer_Data!$A$1:$R$161,4,TRUE)</f>
        <v>Brandon</v>
      </c>
      <c r="D130" t="str">
        <f>VLOOKUP($A130,Customer_Data!$A$1:$R$161,5,TRUE)</f>
        <v>MS</v>
      </c>
      <c r="E130">
        <f>VLOOKUP($A130,Customer_Data!$A$1:$R$161,6,TRUE)</f>
        <v>39042</v>
      </c>
      <c r="F130" s="207">
        <f>Applications!B134</f>
        <v>46158</v>
      </c>
      <c r="G130" s="207" t="str">
        <f>Applications!E134</f>
        <v>Matthew Stowers</v>
      </c>
      <c r="H130">
        <f>Applications!F134</f>
        <v>48160</v>
      </c>
      <c r="I130" s="207" t="str">
        <f>Applications!G134</f>
        <v>Spring Preemerge (Apr)</v>
      </c>
      <c r="J130">
        <f>Applications!H134</f>
        <v>13500</v>
      </c>
      <c r="L130" t="str">
        <f>Applications!J134</f>
        <v/>
      </c>
      <c r="M130" t="e">
        <f>Applications!K134</f>
        <v>#N/A</v>
      </c>
      <c r="N130" t="e">
        <f>Applications!L134</f>
        <v>#N/A</v>
      </c>
      <c r="O130" t="e">
        <f>Applications!M134</f>
        <v>#N/A</v>
      </c>
      <c r="P130" t="str">
        <f>Applications!N134</f>
        <v>Triplet SF (3-Way) 228-312</v>
      </c>
      <c r="Q130" t="str">
        <f>Applications!O134</f>
        <v>2,4-D, dimethylamine salt; Dicamba, dimethylamine salt;Mecoprop-p (MCPP-p), dimethylamine salt</v>
      </c>
      <c r="R130">
        <f>Applications!P134</f>
        <v>24</v>
      </c>
      <c r="S130">
        <f>Applications!Q134</f>
        <v>7.4380165289256208</v>
      </c>
      <c r="T130" t="str">
        <f>Applications!R134</f>
        <v>Certinty Turf 59639-226</v>
      </c>
      <c r="U130" t="str">
        <f>Applications!S134</f>
        <v>Sulfosulfuron</v>
      </c>
      <c r="V130">
        <f>Applications!T134</f>
        <v>0</v>
      </c>
      <c r="W130">
        <f>Applications!U134</f>
        <v>0</v>
      </c>
      <c r="X130" t="b">
        <f>Applications!V134</f>
        <v>0</v>
      </c>
      <c r="Y130" t="e">
        <f>Applications!W134</f>
        <v>#N/A</v>
      </c>
      <c r="Z130" t="e">
        <f>Applications!X134</f>
        <v>#N/A</v>
      </c>
      <c r="AA130" t="e">
        <f>Applications!Y134</f>
        <v>#N/A</v>
      </c>
      <c r="AB130">
        <f>Applications!Z134</f>
        <v>0</v>
      </c>
      <c r="AC130">
        <f>Applications!AA134</f>
        <v>0</v>
      </c>
      <c r="AD130">
        <f>Applications!AB134</f>
        <v>0</v>
      </c>
      <c r="AE130">
        <f>Applications!AC134</f>
        <v>0</v>
      </c>
    </row>
    <row r="131" spans="1:31">
      <c r="A131" t="str">
        <f>Applications!A136</f>
        <v>Troy Stokes</v>
      </c>
      <c r="B131" t="str">
        <f>VLOOKUP($A131,Customer_Data!$A$1:$R$161,3,TRUE)</f>
        <v>100 Spring Valley Drive</v>
      </c>
      <c r="C131" t="str">
        <f>VLOOKUP($A131,Customer_Data!$A$1:$R$161,4,TRUE)</f>
        <v>Brandon</v>
      </c>
      <c r="D131" t="str">
        <f>VLOOKUP($A131,Customer_Data!$A$1:$R$161,5,TRUE)</f>
        <v>MS</v>
      </c>
      <c r="E131">
        <f>VLOOKUP($A131,Customer_Data!$A$1:$R$161,6,TRUE)</f>
        <v>39042</v>
      </c>
      <c r="F131" s="207">
        <f>Applications!B136</f>
        <v>46158</v>
      </c>
      <c r="G131" s="207" t="str">
        <f>Applications!E136</f>
        <v>Matthew Stowers</v>
      </c>
      <c r="H131">
        <f>Applications!F136</f>
        <v>48160</v>
      </c>
      <c r="I131" s="207" t="str">
        <f>Applications!G136</f>
        <v>Spring Preemerge (Apr)</v>
      </c>
      <c r="J131">
        <f>Applications!H136</f>
        <v>9000</v>
      </c>
      <c r="L131" t="str">
        <f>Applications!J136</f>
        <v/>
      </c>
      <c r="M131" t="e">
        <f>Applications!K136</f>
        <v>#N/A</v>
      </c>
      <c r="N131" t="e">
        <f>Applications!L136</f>
        <v>#N/A</v>
      </c>
      <c r="O131" t="e">
        <f>Applications!M136</f>
        <v>#N/A</v>
      </c>
      <c r="P131" t="str">
        <f>Applications!N136</f>
        <v>Triplet SF (3-Way) 228-312</v>
      </c>
      <c r="Q131" t="str">
        <f>Applications!O136</f>
        <v>2,4-D, dimethylamine salt; Dicamba, dimethylamine salt;Mecoprop-p (MCPP-p), dimethylamine salt</v>
      </c>
      <c r="R131">
        <f>Applications!P136</f>
        <v>24</v>
      </c>
      <c r="S131">
        <f>Applications!Q136</f>
        <v>4.9586776859504136</v>
      </c>
      <c r="T131" t="str">
        <f>Applications!R136</f>
        <v>Certinty Turf 59639-226</v>
      </c>
      <c r="U131" t="str">
        <f>Applications!S136</f>
        <v>Sulfosulfuron</v>
      </c>
      <c r="V131">
        <f>Applications!T136</f>
        <v>0</v>
      </c>
      <c r="W131">
        <f>Applications!U136</f>
        <v>0</v>
      </c>
      <c r="X131" t="b">
        <f>Applications!V136</f>
        <v>0</v>
      </c>
      <c r="Y131" t="e">
        <f>Applications!W136</f>
        <v>#N/A</v>
      </c>
      <c r="Z131" t="e">
        <f>Applications!X136</f>
        <v>#N/A</v>
      </c>
      <c r="AA131" t="e">
        <f>Applications!Y136</f>
        <v>#N/A</v>
      </c>
      <c r="AB131">
        <f>Applications!Z136</f>
        <v>0</v>
      </c>
      <c r="AC131">
        <f>Applications!AA136</f>
        <v>0</v>
      </c>
      <c r="AD131">
        <f>Applications!AB136</f>
        <v>0</v>
      </c>
      <c r="AE131">
        <f>Applications!AC136</f>
        <v>0</v>
      </c>
    </row>
    <row r="132" spans="1:31">
      <c r="A132" t="str">
        <f>Applications!A139</f>
        <v>Gay Grantham</v>
      </c>
      <c r="B132" t="str">
        <f>VLOOKUP($A132,Customer_Data!$A$1:$R$161,3,TRUE)</f>
        <v>204 West Brandon Court</v>
      </c>
      <c r="C132" t="str">
        <f>VLOOKUP($A132,Customer_Data!$A$1:$R$161,4,TRUE)</f>
        <v>Brandon</v>
      </c>
      <c r="D132" t="str">
        <f>VLOOKUP($A132,Customer_Data!$A$1:$R$161,5,TRUE)</f>
        <v>MS</v>
      </c>
      <c r="E132">
        <f>VLOOKUP($A132,Customer_Data!$A$1:$R$161,6,TRUE)</f>
        <v>39042</v>
      </c>
      <c r="F132" s="207">
        <f>Applications!B139</f>
        <v>46158</v>
      </c>
      <c r="G132" s="207" t="str">
        <f>Applications!E139</f>
        <v>Matthew Stowers</v>
      </c>
      <c r="H132">
        <f>Applications!F139</f>
        <v>48160</v>
      </c>
      <c r="I132" s="207" t="str">
        <f>Applications!G139</f>
        <v>Spring Preemerge (Apr)</v>
      </c>
      <c r="J132">
        <f>Applications!H139</f>
        <v>5900</v>
      </c>
      <c r="L132" t="str">
        <f>Applications!J139</f>
        <v/>
      </c>
      <c r="M132" t="e">
        <f>Applications!K139</f>
        <v>#N/A</v>
      </c>
      <c r="N132" t="e">
        <f>Applications!L139</f>
        <v>#N/A</v>
      </c>
      <c r="O132" t="e">
        <f>Applications!M139</f>
        <v>#N/A</v>
      </c>
      <c r="P132" t="str">
        <f>Applications!N139</f>
        <v>Triplet SF (3-Way) 228-312</v>
      </c>
      <c r="Q132" t="str">
        <f>Applications!O139</f>
        <v>2,4-D, dimethylamine salt; Dicamba, dimethylamine salt;Mecoprop-p (MCPP-p), dimethylamine salt</v>
      </c>
      <c r="R132">
        <f>Applications!P139</f>
        <v>24</v>
      </c>
      <c r="S132">
        <f>Applications!Q139</f>
        <v>3.2506887052341598</v>
      </c>
      <c r="T132" t="str">
        <f>Applications!R139</f>
        <v>Certinty Turf 59639-226</v>
      </c>
      <c r="U132" t="str">
        <f>Applications!S139</f>
        <v>Sulfosulfuron</v>
      </c>
      <c r="V132">
        <f>Applications!T139</f>
        <v>0</v>
      </c>
      <c r="W132">
        <f>Applications!U139</f>
        <v>0</v>
      </c>
      <c r="X132" t="b">
        <f>Applications!V139</f>
        <v>0</v>
      </c>
      <c r="Y132" t="e">
        <f>Applications!W139</f>
        <v>#N/A</v>
      </c>
      <c r="Z132" t="e">
        <f>Applications!X139</f>
        <v>#N/A</v>
      </c>
      <c r="AA132" t="e">
        <f>Applications!Y139</f>
        <v>#N/A</v>
      </c>
      <c r="AB132">
        <f>Applications!Z139</f>
        <v>0</v>
      </c>
      <c r="AC132">
        <f>Applications!AA139</f>
        <v>0</v>
      </c>
      <c r="AD132">
        <f>Applications!AB139</f>
        <v>0</v>
      </c>
      <c r="AE132">
        <f>Applications!AC139</f>
        <v>0</v>
      </c>
    </row>
    <row r="133" spans="1:31">
      <c r="A133" t="str">
        <f>Applications!A140</f>
        <v>Gene Henderson</v>
      </c>
      <c r="B133" t="str">
        <f>VLOOKUP($A133,Customer_Data!$A$1:$R$161,3,TRUE)</f>
        <v>104 East Sunset Drive</v>
      </c>
      <c r="C133" t="str">
        <f>VLOOKUP($A133,Customer_Data!$A$1:$R$161,4,TRUE)</f>
        <v>Brandon</v>
      </c>
      <c r="D133" t="str">
        <f>VLOOKUP($A133,Customer_Data!$A$1:$R$161,5,TRUE)</f>
        <v>MS</v>
      </c>
      <c r="E133">
        <f>VLOOKUP($A133,Customer_Data!$A$1:$R$161,6,TRUE)</f>
        <v>39042</v>
      </c>
      <c r="F133" s="207">
        <f>Applications!B140</f>
        <v>46158</v>
      </c>
      <c r="G133" s="207" t="str">
        <f>Applications!E140</f>
        <v>Matthew Stowers</v>
      </c>
      <c r="H133">
        <f>Applications!F140</f>
        <v>48160</v>
      </c>
      <c r="I133" s="207" t="str">
        <f>Applications!G140</f>
        <v>Spring Preemerge (Apr)</v>
      </c>
      <c r="J133">
        <f>Applications!H140</f>
        <v>11000</v>
      </c>
      <c r="L133" t="str">
        <f>Applications!J140</f>
        <v/>
      </c>
      <c r="M133" t="e">
        <f>Applications!K140</f>
        <v>#N/A</v>
      </c>
      <c r="N133" t="e">
        <f>Applications!L140</f>
        <v>#N/A</v>
      </c>
      <c r="O133" t="e">
        <f>Applications!M140</f>
        <v>#N/A</v>
      </c>
      <c r="P133" t="str">
        <f>Applications!N140</f>
        <v>Triplet SF (3-Way) 228-312</v>
      </c>
      <c r="Q133" t="str">
        <f>Applications!O140</f>
        <v>2,4-D, dimethylamine salt; Dicamba, dimethylamine salt;Mecoprop-p (MCPP-p), dimethylamine salt</v>
      </c>
      <c r="R133">
        <f>Applications!P140</f>
        <v>24</v>
      </c>
      <c r="S133">
        <f>Applications!Q140</f>
        <v>6.0606060606060606</v>
      </c>
      <c r="T133" t="str">
        <f>Applications!R140</f>
        <v>Certinty Turf 59639-226</v>
      </c>
      <c r="U133" t="str">
        <f>Applications!S140</f>
        <v>Sulfosulfuron</v>
      </c>
      <c r="V133">
        <f>Applications!T140</f>
        <v>0</v>
      </c>
      <c r="W133">
        <f>Applications!U140</f>
        <v>0</v>
      </c>
      <c r="X133" t="b">
        <f>Applications!V140</f>
        <v>0</v>
      </c>
      <c r="Y133" t="e">
        <f>Applications!W140</f>
        <v>#N/A</v>
      </c>
      <c r="Z133" t="e">
        <f>Applications!X140</f>
        <v>#N/A</v>
      </c>
      <c r="AA133" t="e">
        <f>Applications!Y140</f>
        <v>#N/A</v>
      </c>
      <c r="AB133">
        <f>Applications!Z140</f>
        <v>0</v>
      </c>
      <c r="AC133">
        <f>Applications!AA140</f>
        <v>0</v>
      </c>
      <c r="AD133">
        <f>Applications!AB140</f>
        <v>0</v>
      </c>
      <c r="AE133">
        <f>Applications!AC140</f>
        <v>0</v>
      </c>
    </row>
    <row r="134" spans="1:31">
      <c r="A134" t="str">
        <f>Applications!A141</f>
        <v>Roe Grubbs</v>
      </c>
      <c r="B134" t="str">
        <f>VLOOKUP($A134,Customer_Data!$A$1:$R$161,3,TRUE)</f>
        <v>104 Glenartney Street</v>
      </c>
      <c r="C134" t="str">
        <f>VLOOKUP($A134,Customer_Data!$A$1:$R$161,4,TRUE)</f>
        <v>Brandon</v>
      </c>
      <c r="D134" t="str">
        <f>VLOOKUP($A134,Customer_Data!$A$1:$R$161,5,TRUE)</f>
        <v>MS</v>
      </c>
      <c r="E134">
        <f>VLOOKUP($A134,Customer_Data!$A$1:$R$161,6,TRUE)</f>
        <v>39042</v>
      </c>
      <c r="F134" s="207">
        <f>Applications!B141</f>
        <v>46158</v>
      </c>
      <c r="G134" s="207" t="str">
        <f>Applications!E141</f>
        <v>Matthew Stowers</v>
      </c>
      <c r="H134">
        <f>Applications!F141</f>
        <v>48160</v>
      </c>
      <c r="I134" s="207" t="str">
        <f>Applications!G141</f>
        <v>Spring Preemerge (Apr)</v>
      </c>
      <c r="J134">
        <f>Applications!H141</f>
        <v>5000</v>
      </c>
      <c r="L134" t="str">
        <f>Applications!J141</f>
        <v/>
      </c>
      <c r="M134" t="e">
        <f>Applications!K141</f>
        <v>#N/A</v>
      </c>
      <c r="N134" t="e">
        <f>Applications!L141</f>
        <v>#N/A</v>
      </c>
      <c r="O134" t="e">
        <f>Applications!M141</f>
        <v>#N/A</v>
      </c>
      <c r="P134" t="str">
        <f>Applications!N141</f>
        <v>Triplet SF (3-Way) 228-312</v>
      </c>
      <c r="Q134" t="str">
        <f>Applications!O141</f>
        <v>2,4-D, dimethylamine salt; Dicamba, dimethylamine salt;Mecoprop-p (MCPP-p), dimethylamine salt</v>
      </c>
      <c r="R134">
        <f>Applications!P141</f>
        <v>24</v>
      </c>
      <c r="S134">
        <f>Applications!Q141</f>
        <v>2.7548209366391183</v>
      </c>
      <c r="T134" t="str">
        <f>Applications!R141</f>
        <v>Certinty Turf 59639-226</v>
      </c>
      <c r="U134" t="str">
        <f>Applications!S141</f>
        <v>Sulfosulfuron</v>
      </c>
      <c r="V134">
        <f>Applications!T141</f>
        <v>0</v>
      </c>
      <c r="W134">
        <f>Applications!U141</f>
        <v>0</v>
      </c>
      <c r="X134" t="b">
        <f>Applications!V141</f>
        <v>0</v>
      </c>
      <c r="Y134" t="e">
        <f>Applications!W141</f>
        <v>#N/A</v>
      </c>
      <c r="Z134" t="e">
        <f>Applications!X141</f>
        <v>#N/A</v>
      </c>
      <c r="AA134" t="e">
        <f>Applications!Y141</f>
        <v>#N/A</v>
      </c>
      <c r="AB134">
        <f>Applications!Z141</f>
        <v>0</v>
      </c>
      <c r="AC134">
        <f>Applications!AA141</f>
        <v>0</v>
      </c>
      <c r="AD134">
        <f>Applications!AB141</f>
        <v>0</v>
      </c>
      <c r="AE134">
        <f>Applications!AC141</f>
        <v>0</v>
      </c>
    </row>
    <row r="135" spans="1:31">
      <c r="A135" t="str">
        <f>Applications!A142</f>
        <v>Allen Barnes</v>
      </c>
      <c r="B135" t="str">
        <f>VLOOKUP($A135,Customer_Data!$A$1:$R$161,3,TRUE)</f>
        <v>631 Tucker Crossing</v>
      </c>
      <c r="C135" t="str">
        <f>VLOOKUP($A135,Customer_Data!$A$1:$R$161,4,TRUE)</f>
        <v>Brandon</v>
      </c>
      <c r="D135" t="str">
        <f>VLOOKUP($A135,Customer_Data!$A$1:$R$161,5,TRUE)</f>
        <v>MS</v>
      </c>
      <c r="E135">
        <f>VLOOKUP($A135,Customer_Data!$A$1:$R$161,6,TRUE)</f>
        <v>39042</v>
      </c>
      <c r="F135" s="207">
        <f>Applications!B142</f>
        <v>46158</v>
      </c>
      <c r="G135" s="207" t="str">
        <f>Applications!E142</f>
        <v>Matthew Stowers</v>
      </c>
      <c r="H135">
        <f>Applications!F142</f>
        <v>48160</v>
      </c>
      <c r="I135" s="207" t="str">
        <f>Applications!G142</f>
        <v>Spring Preemerge (Apr)</v>
      </c>
      <c r="J135">
        <f>Applications!H142</f>
        <v>0</v>
      </c>
      <c r="L135" t="str">
        <f>Applications!J142</f>
        <v/>
      </c>
      <c r="M135" t="e">
        <f>Applications!K142</f>
        <v>#N/A</v>
      </c>
      <c r="N135" t="e">
        <f>Applications!L142</f>
        <v>#N/A</v>
      </c>
      <c r="O135" t="e">
        <f>Applications!M142</f>
        <v>#N/A</v>
      </c>
      <c r="P135" t="str">
        <f>Applications!N142</f>
        <v>Triplet SF (3-Way) 228-312</v>
      </c>
      <c r="Q135" t="str">
        <f>Applications!O142</f>
        <v>2,4-D, dimethylamine salt; Dicamba, dimethylamine salt;Mecoprop-p (MCPP-p), dimethylamine salt</v>
      </c>
      <c r="R135">
        <f>Applications!P142</f>
        <v>24</v>
      </c>
      <c r="S135">
        <f>Applications!Q142</f>
        <v>0</v>
      </c>
      <c r="T135" t="str">
        <f>Applications!R142</f>
        <v>Certinty Turf 59639-226</v>
      </c>
      <c r="U135" t="str">
        <f>Applications!S142</f>
        <v>Sulfosulfuron</v>
      </c>
      <c r="V135">
        <f>Applications!T142</f>
        <v>0</v>
      </c>
      <c r="W135">
        <f>Applications!U142</f>
        <v>0</v>
      </c>
      <c r="X135" t="b">
        <f>Applications!V142</f>
        <v>0</v>
      </c>
      <c r="Y135" t="e">
        <f>Applications!W142</f>
        <v>#N/A</v>
      </c>
      <c r="Z135" t="e">
        <f>Applications!X142</f>
        <v>#N/A</v>
      </c>
      <c r="AA135" t="e">
        <f>Applications!Y142</f>
        <v>#N/A</v>
      </c>
      <c r="AB135">
        <f>Applications!Z142</f>
        <v>0</v>
      </c>
      <c r="AC135">
        <f>Applications!AA142</f>
        <v>0</v>
      </c>
      <c r="AD135">
        <f>Applications!AB142</f>
        <v>0</v>
      </c>
      <c r="AE135">
        <f>Applications!AC142</f>
        <v>0</v>
      </c>
    </row>
    <row r="136" spans="1:31">
      <c r="A136" t="str">
        <f>Applications!A143</f>
        <v>Gary Jordan</v>
      </c>
      <c r="B136" t="str">
        <f>VLOOKUP($A136,Customer_Data!$A$1:$R$161,3,TRUE)</f>
        <v>3342-MS 18</v>
      </c>
      <c r="C136" t="str">
        <f>VLOOKUP($A136,Customer_Data!$A$1:$R$161,4,TRUE)</f>
        <v>Brandon</v>
      </c>
      <c r="D136" t="str">
        <f>VLOOKUP($A136,Customer_Data!$A$1:$R$161,5,TRUE)</f>
        <v>MS</v>
      </c>
      <c r="E136">
        <f>VLOOKUP($A136,Customer_Data!$A$1:$R$161,6,TRUE)</f>
        <v>39042</v>
      </c>
      <c r="F136" s="207">
        <f>Applications!B143</f>
        <v>46158</v>
      </c>
      <c r="G136" s="207" t="str">
        <f>Applications!E143</f>
        <v>Matthew Stowers</v>
      </c>
      <c r="H136">
        <f>Applications!F143</f>
        <v>48160</v>
      </c>
      <c r="I136" s="207" t="str">
        <f>Applications!G143</f>
        <v>Spring Preemerge (Apr)</v>
      </c>
      <c r="J136">
        <f>Applications!H143</f>
        <v>8000</v>
      </c>
      <c r="L136" t="str">
        <f>Applications!J143</f>
        <v/>
      </c>
      <c r="M136" t="e">
        <f>Applications!K143</f>
        <v>#N/A</v>
      </c>
      <c r="N136" t="e">
        <f>Applications!L143</f>
        <v>#N/A</v>
      </c>
      <c r="O136" t="e">
        <f>Applications!M143</f>
        <v>#N/A</v>
      </c>
      <c r="P136" t="str">
        <f>Applications!N143</f>
        <v>Triplet SF (3-Way) 228-312</v>
      </c>
      <c r="Q136" t="str">
        <f>Applications!O143</f>
        <v>2,4-D, dimethylamine salt; Dicamba, dimethylamine salt;Mecoprop-p (MCPP-p), dimethylamine salt</v>
      </c>
      <c r="R136">
        <f>Applications!P143</f>
        <v>24</v>
      </c>
      <c r="S136">
        <f>Applications!Q143</f>
        <v>4.4077134986225897</v>
      </c>
      <c r="T136" t="str">
        <f>Applications!R143</f>
        <v>Certinty Turf 59639-226</v>
      </c>
      <c r="U136" t="str">
        <f>Applications!S143</f>
        <v>Sulfosulfuron</v>
      </c>
      <c r="V136">
        <f>Applications!T143</f>
        <v>0</v>
      </c>
      <c r="W136">
        <f>Applications!U143</f>
        <v>0</v>
      </c>
      <c r="X136" t="b">
        <f>Applications!V143</f>
        <v>0</v>
      </c>
      <c r="Y136" t="e">
        <f>Applications!W143</f>
        <v>#N/A</v>
      </c>
      <c r="Z136" t="e">
        <f>Applications!X143</f>
        <v>#N/A</v>
      </c>
      <c r="AA136" t="e">
        <f>Applications!Y143</f>
        <v>#N/A</v>
      </c>
      <c r="AB136">
        <f>Applications!Z143</f>
        <v>0</v>
      </c>
      <c r="AC136">
        <f>Applications!AA143</f>
        <v>0</v>
      </c>
      <c r="AD136">
        <f>Applications!AB143</f>
        <v>0</v>
      </c>
      <c r="AE136">
        <f>Applications!AC143</f>
        <v>0</v>
      </c>
    </row>
    <row r="137" spans="1:31">
      <c r="A137" t="str">
        <f>Applications!A144</f>
        <v>Kyle Hansen</v>
      </c>
      <c r="B137" t="str">
        <f>VLOOKUP($A137,Customer_Data!$A$1:$R$161,3,TRUE)</f>
        <v>109 Meadow Creek Drive</v>
      </c>
      <c r="C137" t="str">
        <f>VLOOKUP($A137,Customer_Data!$A$1:$R$161,4,TRUE)</f>
        <v>Brandon</v>
      </c>
      <c r="D137" t="str">
        <f>VLOOKUP($A137,Customer_Data!$A$1:$R$161,5,TRUE)</f>
        <v>MS</v>
      </c>
      <c r="E137">
        <f>VLOOKUP($A137,Customer_Data!$A$1:$R$161,6,TRUE)</f>
        <v>39042</v>
      </c>
      <c r="F137" s="207">
        <f>Applications!B144</f>
        <v>46158</v>
      </c>
      <c r="G137" s="207" t="str">
        <f>Applications!E144</f>
        <v>Matthew Stowers</v>
      </c>
      <c r="H137">
        <f>Applications!F144</f>
        <v>48160</v>
      </c>
      <c r="I137" s="207" t="str">
        <f>Applications!G144</f>
        <v>Spring Preemerge (Apr)</v>
      </c>
      <c r="J137">
        <f>Applications!H144</f>
        <v>5000</v>
      </c>
      <c r="L137" t="str">
        <f>Applications!J144</f>
        <v/>
      </c>
      <c r="M137" t="e">
        <f>Applications!K144</f>
        <v>#N/A</v>
      </c>
      <c r="N137" t="e">
        <f>Applications!L144</f>
        <v>#N/A</v>
      </c>
      <c r="O137" t="e">
        <f>Applications!M144</f>
        <v>#N/A</v>
      </c>
      <c r="P137" t="str">
        <f>Applications!N144</f>
        <v>Triplet SF (3-Way) 228-312</v>
      </c>
      <c r="Q137" t="str">
        <f>Applications!O144</f>
        <v>2,4-D, dimethylamine salt; Dicamba, dimethylamine salt;Mecoprop-p (MCPP-p), dimethylamine salt</v>
      </c>
      <c r="R137">
        <f>Applications!P144</f>
        <v>24</v>
      </c>
      <c r="S137">
        <f>Applications!Q144</f>
        <v>2.7548209366391183</v>
      </c>
      <c r="T137" t="str">
        <f>Applications!R144</f>
        <v>Certinty Turf 59639-226</v>
      </c>
      <c r="U137" t="str">
        <f>Applications!S144</f>
        <v>Sulfosulfuron</v>
      </c>
      <c r="V137">
        <f>Applications!T144</f>
        <v>0</v>
      </c>
      <c r="W137">
        <f>Applications!U144</f>
        <v>0</v>
      </c>
      <c r="X137" t="b">
        <f>Applications!V144</f>
        <v>0</v>
      </c>
      <c r="Y137" t="e">
        <f>Applications!W144</f>
        <v>#N/A</v>
      </c>
      <c r="Z137" t="e">
        <f>Applications!X144</f>
        <v>#N/A</v>
      </c>
      <c r="AA137" t="e">
        <f>Applications!Y144</f>
        <v>#N/A</v>
      </c>
      <c r="AB137">
        <f>Applications!Z144</f>
        <v>0</v>
      </c>
      <c r="AC137">
        <f>Applications!AA144</f>
        <v>0</v>
      </c>
      <c r="AD137">
        <f>Applications!AB144</f>
        <v>0</v>
      </c>
      <c r="AE137">
        <f>Applications!AC144</f>
        <v>0</v>
      </c>
    </row>
    <row r="138" spans="1:31">
      <c r="A138" t="str">
        <f>Applications!A145</f>
        <v>Judy Rogers</v>
      </c>
      <c r="B138" t="str">
        <f>VLOOKUP($A138,Customer_Data!$A$1:$R$161,3,TRUE)</f>
        <v>315 Mary Ann Drive</v>
      </c>
      <c r="C138" t="str">
        <f>VLOOKUP($A138,Customer_Data!$A$1:$R$161,4,TRUE)</f>
        <v>Brandon</v>
      </c>
      <c r="D138" t="str">
        <f>VLOOKUP($A138,Customer_Data!$A$1:$R$161,5,TRUE)</f>
        <v>MS</v>
      </c>
      <c r="E138">
        <f>VLOOKUP($A138,Customer_Data!$A$1:$R$161,6,TRUE)</f>
        <v>39042</v>
      </c>
      <c r="F138" s="207">
        <f>Applications!B145</f>
        <v>46158</v>
      </c>
      <c r="G138" s="207" t="str">
        <f>Applications!E145</f>
        <v>Matthew Stowers</v>
      </c>
      <c r="H138">
        <f>Applications!F145</f>
        <v>48160</v>
      </c>
      <c r="I138" s="207" t="str">
        <f>Applications!G145</f>
        <v>Spring Preemerge (Apr)</v>
      </c>
      <c r="J138">
        <f>Applications!H145</f>
        <v>6000</v>
      </c>
      <c r="L138" t="str">
        <f>Applications!J145</f>
        <v/>
      </c>
      <c r="M138" t="e">
        <f>Applications!K145</f>
        <v>#N/A</v>
      </c>
      <c r="N138" t="e">
        <f>Applications!L145</f>
        <v>#N/A</v>
      </c>
      <c r="O138" t="e">
        <f>Applications!M145</f>
        <v>#N/A</v>
      </c>
      <c r="P138" t="str">
        <f>Applications!N145</f>
        <v>Triplet SF (3-Way) 228-312</v>
      </c>
      <c r="Q138" t="str">
        <f>Applications!O145</f>
        <v>2,4-D, dimethylamine salt; Dicamba, dimethylamine salt;Mecoprop-p (MCPP-p), dimethylamine salt</v>
      </c>
      <c r="R138">
        <f>Applications!P145</f>
        <v>24</v>
      </c>
      <c r="S138">
        <f>Applications!Q145</f>
        <v>3.3057851239669422</v>
      </c>
      <c r="T138" t="str">
        <f>Applications!R145</f>
        <v>Certinty Turf 59639-226</v>
      </c>
      <c r="U138" t="str">
        <f>Applications!S145</f>
        <v>Sulfosulfuron</v>
      </c>
      <c r="V138">
        <f>Applications!T145</f>
        <v>0</v>
      </c>
      <c r="W138">
        <f>Applications!U145</f>
        <v>0</v>
      </c>
      <c r="X138" t="b">
        <f>Applications!V145</f>
        <v>0</v>
      </c>
      <c r="Y138" t="e">
        <f>Applications!W145</f>
        <v>#N/A</v>
      </c>
      <c r="Z138" t="e">
        <f>Applications!X145</f>
        <v>#N/A</v>
      </c>
      <c r="AA138" t="e">
        <f>Applications!Y145</f>
        <v>#N/A</v>
      </c>
      <c r="AB138">
        <f>Applications!Z145</f>
        <v>0</v>
      </c>
      <c r="AC138">
        <f>Applications!AA145</f>
        <v>0</v>
      </c>
      <c r="AD138">
        <f>Applications!AB145</f>
        <v>0</v>
      </c>
      <c r="AE138">
        <f>Applications!AC145</f>
        <v>0</v>
      </c>
    </row>
    <row r="139" spans="1:31">
      <c r="A139" t="str">
        <f>Applications!A146</f>
        <v>David Morrow</v>
      </c>
      <c r="B139" t="str">
        <f>VLOOKUP($A139,Customer_Data!$A$1:$R$161,3,TRUE)</f>
        <v>1403 Cassandra Place</v>
      </c>
      <c r="C139" t="str">
        <f>VLOOKUP($A139,Customer_Data!$A$1:$R$161,4,TRUE)</f>
        <v>Brandon</v>
      </c>
      <c r="D139" t="str">
        <f>VLOOKUP($A139,Customer_Data!$A$1:$R$161,5,TRUE)</f>
        <v>MS</v>
      </c>
      <c r="E139">
        <f>VLOOKUP($A139,Customer_Data!$A$1:$R$161,6,TRUE)</f>
        <v>39042</v>
      </c>
      <c r="F139" s="207">
        <f>Applications!B146</f>
        <v>46158</v>
      </c>
      <c r="G139" s="207" t="str">
        <f>Applications!E146</f>
        <v>Matthew Stowers</v>
      </c>
      <c r="H139">
        <f>Applications!F146</f>
        <v>48160</v>
      </c>
      <c r="I139" s="207" t="str">
        <f>Applications!G146</f>
        <v>Spring Preemerge (Apr)</v>
      </c>
      <c r="J139">
        <f>Applications!H146</f>
        <v>3200</v>
      </c>
      <c r="L139" t="str">
        <f>Applications!J146</f>
        <v/>
      </c>
      <c r="M139" t="e">
        <f>Applications!K146</f>
        <v>#N/A</v>
      </c>
      <c r="N139" t="e">
        <f>Applications!L146</f>
        <v>#N/A</v>
      </c>
      <c r="O139" t="e">
        <f>Applications!M146</f>
        <v>#N/A</v>
      </c>
      <c r="P139" t="str">
        <f>Applications!N146</f>
        <v>Triplet SF (3-Way) 228-312</v>
      </c>
      <c r="Q139" t="str">
        <f>Applications!O146</f>
        <v>2,4-D, dimethylamine salt; Dicamba, dimethylamine salt;Mecoprop-p (MCPP-p), dimethylamine salt</v>
      </c>
      <c r="R139">
        <f>Applications!P146</f>
        <v>24</v>
      </c>
      <c r="S139">
        <f>Applications!Q146</f>
        <v>1.7630853994490359</v>
      </c>
      <c r="T139" t="str">
        <f>Applications!R146</f>
        <v>Certinty Turf 59639-226</v>
      </c>
      <c r="U139" t="str">
        <f>Applications!S146</f>
        <v>Sulfosulfuron</v>
      </c>
      <c r="V139">
        <f>Applications!T146</f>
        <v>0</v>
      </c>
      <c r="W139">
        <f>Applications!U146</f>
        <v>0</v>
      </c>
      <c r="X139" t="b">
        <f>Applications!V146</f>
        <v>0</v>
      </c>
      <c r="Y139" t="e">
        <f>Applications!W146</f>
        <v>#N/A</v>
      </c>
      <c r="Z139" t="e">
        <f>Applications!X146</f>
        <v>#N/A</v>
      </c>
      <c r="AA139" t="e">
        <f>Applications!Y146</f>
        <v>#N/A</v>
      </c>
      <c r="AB139">
        <f>Applications!Z146</f>
        <v>0</v>
      </c>
      <c r="AC139">
        <f>Applications!AA146</f>
        <v>0</v>
      </c>
      <c r="AD139">
        <f>Applications!AB146</f>
        <v>0</v>
      </c>
      <c r="AE139">
        <f>Applications!AC146</f>
        <v>0</v>
      </c>
    </row>
    <row r="140" spans="1:31">
      <c r="A140" t="str">
        <f>Applications!A147</f>
        <v>Marty Bryant</v>
      </c>
      <c r="B140" t="str">
        <f>VLOOKUP($A140,Customer_Data!$A$1:$R$161,3,TRUE)</f>
        <v>145 Virginia Valley Drive</v>
      </c>
      <c r="C140" t="str">
        <f>VLOOKUP($A140,Customer_Data!$A$1:$R$161,4,TRUE)</f>
        <v>Brandon</v>
      </c>
      <c r="D140" t="str">
        <f>VLOOKUP($A140,Customer_Data!$A$1:$R$161,5,TRUE)</f>
        <v>MS</v>
      </c>
      <c r="E140">
        <f>VLOOKUP($A140,Customer_Data!$A$1:$R$161,6,TRUE)</f>
        <v>39047</v>
      </c>
      <c r="F140" s="207">
        <f>Applications!B147</f>
        <v>46158</v>
      </c>
      <c r="G140" s="207" t="str">
        <f>Applications!E147</f>
        <v>Matthew Stowers</v>
      </c>
      <c r="H140">
        <f>Applications!F147</f>
        <v>48160</v>
      </c>
      <c r="I140" s="207" t="str">
        <f>Applications!G147</f>
        <v>Spring Preemerge (Apr)</v>
      </c>
      <c r="J140">
        <f>Applications!H147</f>
        <v>10000</v>
      </c>
      <c r="L140" t="str">
        <f>Applications!J147</f>
        <v/>
      </c>
      <c r="M140" t="e">
        <f>Applications!K147</f>
        <v>#N/A</v>
      </c>
      <c r="N140" t="e">
        <f>Applications!L147</f>
        <v>#N/A</v>
      </c>
      <c r="O140" t="e">
        <f>Applications!M147</f>
        <v>#N/A</v>
      </c>
      <c r="P140" t="str">
        <f>Applications!N147</f>
        <v>Triplet SF (3-Way) 228-312</v>
      </c>
      <c r="Q140" t="str">
        <f>Applications!O147</f>
        <v>2,4-D, dimethylamine salt; Dicamba, dimethylamine salt;Mecoprop-p (MCPP-p), dimethylamine salt</v>
      </c>
      <c r="R140">
        <f>Applications!P147</f>
        <v>24</v>
      </c>
      <c r="S140">
        <f>Applications!Q147</f>
        <v>5.5096418732782366</v>
      </c>
      <c r="T140" t="str">
        <f>Applications!R147</f>
        <v>Certinty Turf 59639-226</v>
      </c>
      <c r="U140" t="str">
        <f>Applications!S147</f>
        <v>Sulfosulfuron</v>
      </c>
      <c r="V140">
        <f>Applications!T147</f>
        <v>0</v>
      </c>
      <c r="W140">
        <f>Applications!U147</f>
        <v>0</v>
      </c>
      <c r="X140" t="b">
        <f>Applications!V147</f>
        <v>0</v>
      </c>
      <c r="Y140" t="e">
        <f>Applications!W147</f>
        <v>#N/A</v>
      </c>
      <c r="Z140" t="e">
        <f>Applications!X147</f>
        <v>#N/A</v>
      </c>
      <c r="AA140" t="e">
        <f>Applications!Y147</f>
        <v>#N/A</v>
      </c>
      <c r="AB140">
        <f>Applications!Z147</f>
        <v>0</v>
      </c>
      <c r="AC140">
        <f>Applications!AA147</f>
        <v>0</v>
      </c>
      <c r="AD140">
        <f>Applications!AB147</f>
        <v>0</v>
      </c>
      <c r="AE140">
        <f>Applications!AC147</f>
        <v>0</v>
      </c>
    </row>
    <row r="141" spans="1:31">
      <c r="A141" t="str">
        <f>Applications!A150</f>
        <v>Sam Goff</v>
      </c>
      <c r="B141" t="str">
        <f>VLOOKUP($A141,Customer_Data!$A$1:$R$161,3,TRUE)</f>
        <v>129 Meadowcreek Drive</v>
      </c>
      <c r="C141" t="str">
        <f>VLOOKUP($A141,Customer_Data!$A$1:$R$161,4,TRUE)</f>
        <v>Brandon</v>
      </c>
      <c r="D141" t="str">
        <f>VLOOKUP($A141,Customer_Data!$A$1:$R$161,5,TRUE)</f>
        <v xml:space="preserve">MS </v>
      </c>
      <c r="E141">
        <f>VLOOKUP($A141,Customer_Data!$A$1:$R$161,6,TRUE)</f>
        <v>39042</v>
      </c>
      <c r="F141" s="207">
        <f>Applications!B150</f>
        <v>46158</v>
      </c>
      <c r="G141" s="207" t="str">
        <f>Applications!E150</f>
        <v>Matthew Stowers</v>
      </c>
      <c r="H141">
        <f>Applications!F150</f>
        <v>48160</v>
      </c>
      <c r="I141" s="207" t="str">
        <f>Applications!G150</f>
        <v>Spring Preemerge (Apr)</v>
      </c>
      <c r="J141">
        <f>Applications!H150</f>
        <v>6000</v>
      </c>
      <c r="L141" t="str">
        <f>Applications!J150</f>
        <v/>
      </c>
      <c r="M141" t="e">
        <f>Applications!K150</f>
        <v>#N/A</v>
      </c>
      <c r="N141" t="e">
        <f>Applications!L150</f>
        <v>#N/A</v>
      </c>
      <c r="O141" t="e">
        <f>Applications!M150</f>
        <v>#N/A</v>
      </c>
      <c r="P141" t="str">
        <f>Applications!N150</f>
        <v>Triplet SF (3-Way) 228-312</v>
      </c>
      <c r="Q141" t="str">
        <f>Applications!O150</f>
        <v>2,4-D, dimethylamine salt; Dicamba, dimethylamine salt;Mecoprop-p (MCPP-p), dimethylamine salt</v>
      </c>
      <c r="R141">
        <f>Applications!P150</f>
        <v>24</v>
      </c>
      <c r="S141">
        <f>Applications!Q150</f>
        <v>3.3057851239669422</v>
      </c>
      <c r="T141" t="str">
        <f>Applications!R150</f>
        <v>Certinty Turf 59639-226</v>
      </c>
      <c r="U141" t="str">
        <f>Applications!S150</f>
        <v>Sulfosulfuron</v>
      </c>
      <c r="V141">
        <f>Applications!T150</f>
        <v>0</v>
      </c>
      <c r="W141">
        <f>Applications!U150</f>
        <v>0</v>
      </c>
      <c r="X141" t="b">
        <f>Applications!V150</f>
        <v>0</v>
      </c>
      <c r="Y141" t="e">
        <f>Applications!W150</f>
        <v>#N/A</v>
      </c>
      <c r="Z141" t="e">
        <f>Applications!X150</f>
        <v>#N/A</v>
      </c>
      <c r="AA141" t="e">
        <f>Applications!Y150</f>
        <v>#N/A</v>
      </c>
      <c r="AB141">
        <f>Applications!Z150</f>
        <v>0</v>
      </c>
      <c r="AC141">
        <f>Applications!AA150</f>
        <v>0</v>
      </c>
      <c r="AD141">
        <f>Applications!AB150</f>
        <v>0</v>
      </c>
      <c r="AE141">
        <f>Applications!AC150</f>
        <v>0</v>
      </c>
    </row>
    <row r="142" spans="1:31">
      <c r="A142" t="str">
        <f>Applications!A152</f>
        <v>David Morrow Jr</v>
      </c>
      <c r="B142" t="str">
        <f>VLOOKUP($A142,Customer_Data!$A$1:$R$161,3,TRUE)</f>
        <v>125 Wynn Drive</v>
      </c>
      <c r="C142" t="str">
        <f>VLOOKUP($A142,Customer_Data!$A$1:$R$161,4,TRUE)</f>
        <v>Brandon</v>
      </c>
      <c r="D142" t="str">
        <f>VLOOKUP($A142,Customer_Data!$A$1:$R$161,5,TRUE)</f>
        <v>MS</v>
      </c>
      <c r="E142">
        <f>VLOOKUP($A142,Customer_Data!$A$1:$R$161,6,TRUE)</f>
        <v>39042</v>
      </c>
      <c r="F142" s="207">
        <f>Applications!B152</f>
        <v>46158</v>
      </c>
      <c r="G142" s="207" t="str">
        <f>Applications!E152</f>
        <v>Matthew Stowers</v>
      </c>
      <c r="H142">
        <f>Applications!F152</f>
        <v>48160</v>
      </c>
      <c r="I142" s="207" t="str">
        <f>Applications!G152</f>
        <v>Spring Preemerge (Apr)</v>
      </c>
      <c r="J142">
        <f>Applications!H152</f>
        <v>9500</v>
      </c>
      <c r="L142" t="str">
        <f>Applications!J152</f>
        <v/>
      </c>
      <c r="M142" t="e">
        <f>Applications!K152</f>
        <v>#N/A</v>
      </c>
      <c r="N142" t="e">
        <f>Applications!L152</f>
        <v>#N/A</v>
      </c>
      <c r="O142" t="e">
        <f>Applications!M152</f>
        <v>#N/A</v>
      </c>
      <c r="P142" t="str">
        <f>Applications!N152</f>
        <v>Triplet SF (3-Way) 228-312</v>
      </c>
      <c r="Q142" t="str">
        <f>Applications!O152</f>
        <v>2,4-D, dimethylamine salt; Dicamba, dimethylamine salt;Mecoprop-p (MCPP-p), dimethylamine salt</v>
      </c>
      <c r="R142">
        <f>Applications!P152</f>
        <v>24</v>
      </c>
      <c r="S142">
        <f>Applications!Q152</f>
        <v>5.2341597796143251</v>
      </c>
      <c r="T142" t="str">
        <f>Applications!R152</f>
        <v>Certinty Turf 59639-226</v>
      </c>
      <c r="U142" t="str">
        <f>Applications!S152</f>
        <v>Sulfosulfuron</v>
      </c>
      <c r="V142">
        <f>Applications!T152</f>
        <v>0</v>
      </c>
      <c r="W142">
        <f>Applications!U152</f>
        <v>0</v>
      </c>
      <c r="X142" t="b">
        <f>Applications!V152</f>
        <v>0</v>
      </c>
      <c r="Y142" t="e">
        <f>Applications!W152</f>
        <v>#N/A</v>
      </c>
      <c r="Z142" t="e">
        <f>Applications!X152</f>
        <v>#N/A</v>
      </c>
      <c r="AA142" t="e">
        <f>Applications!Y152</f>
        <v>#N/A</v>
      </c>
      <c r="AB142">
        <f>Applications!Z152</f>
        <v>0</v>
      </c>
      <c r="AC142">
        <f>Applications!AA152</f>
        <v>0</v>
      </c>
      <c r="AD142">
        <f>Applications!AB152</f>
        <v>0</v>
      </c>
      <c r="AE142">
        <f>Applications!AC152</f>
        <v>0</v>
      </c>
    </row>
    <row r="143" spans="1:31">
      <c r="A143" t="str">
        <f>Applications!A126</f>
        <v>Luther Holmes</v>
      </c>
      <c r="B143" t="str">
        <f>VLOOKUP($A143,Customer_Data!$A$1:$R$161,3,TRUE)</f>
        <v>5481 Kaywood Drive</v>
      </c>
      <c r="C143" t="str">
        <f>VLOOKUP($A143,Customer_Data!$A$1:$R$161,4,TRUE)</f>
        <v>Jackson</v>
      </c>
      <c r="D143" t="str">
        <f>VLOOKUP($A143,Customer_Data!$A$1:$R$161,5,TRUE)</f>
        <v>MS</v>
      </c>
      <c r="E143">
        <f>VLOOKUP($A143,Customer_Data!$A$1:$R$161,6,TRUE)</f>
        <v>39211</v>
      </c>
      <c r="F143" s="207">
        <f>Applications!B126</f>
        <v>46159</v>
      </c>
      <c r="G143" s="207" t="str">
        <f>Applications!E126</f>
        <v>Matthew Stowers</v>
      </c>
      <c r="H143">
        <f>Applications!F126</f>
        <v>48160</v>
      </c>
      <c r="I143" s="207" t="str">
        <f>Applications!G126</f>
        <v>Spring Preemerge (Apr)</v>
      </c>
      <c r="J143">
        <f>Applications!H126</f>
        <v>3687</v>
      </c>
      <c r="L143" t="str">
        <f>Applications!J126</f>
        <v/>
      </c>
      <c r="M143" t="e">
        <f>Applications!K126</f>
        <v>#N/A</v>
      </c>
      <c r="N143" t="e">
        <f>Applications!L126</f>
        <v>#N/A</v>
      </c>
      <c r="O143" t="e">
        <f>Applications!M126</f>
        <v>#N/A</v>
      </c>
      <c r="P143" t="str">
        <f>Applications!N126</f>
        <v>Triplet SF (3-Way) 228-312</v>
      </c>
      <c r="Q143" t="str">
        <f>Applications!O126</f>
        <v>2,4-D, dimethylamine salt; Dicamba, dimethylamine salt;Mecoprop-p (MCPP-p), dimethylamine salt</v>
      </c>
      <c r="R143">
        <f>Applications!P126</f>
        <v>24</v>
      </c>
      <c r="S143">
        <f>Applications!Q126</f>
        <v>2.0314049586776859</v>
      </c>
      <c r="T143" t="str">
        <f>Applications!R126</f>
        <v>Certinty Turf 59639-226</v>
      </c>
      <c r="U143" t="str">
        <f>Applications!S126</f>
        <v>Sulfosulfuron</v>
      </c>
      <c r="V143">
        <f>Applications!T126</f>
        <v>0</v>
      </c>
      <c r="W143">
        <f>Applications!U126</f>
        <v>0</v>
      </c>
      <c r="X143" t="b">
        <f>Applications!V126</f>
        <v>0</v>
      </c>
      <c r="Y143" t="e">
        <f>Applications!W126</f>
        <v>#N/A</v>
      </c>
      <c r="Z143" t="e">
        <f>Applications!X126</f>
        <v>#N/A</v>
      </c>
      <c r="AA143" t="e">
        <f>Applications!Y126</f>
        <v>#N/A</v>
      </c>
      <c r="AB143">
        <f>Applications!Z126</f>
        <v>0</v>
      </c>
      <c r="AC143">
        <f>Applications!AA126</f>
        <v>0</v>
      </c>
      <c r="AD143">
        <f>Applications!AB126</f>
        <v>0</v>
      </c>
      <c r="AE143">
        <f>Applications!AC126</f>
        <v>0</v>
      </c>
    </row>
    <row r="144" spans="1:31">
      <c r="A144" t="str">
        <f>Applications!A128</f>
        <v>David Fatheree</v>
      </c>
      <c r="B144" t="str">
        <f>VLOOKUP($A144,Customer_Data!$A$1:$R$161,3,TRUE)</f>
        <v>706 Ivywood Court</v>
      </c>
      <c r="C144" t="str">
        <f>VLOOKUP($A144,Customer_Data!$A$1:$R$161,4,TRUE)</f>
        <v>Madison</v>
      </c>
      <c r="D144" t="str">
        <f>VLOOKUP($A144,Customer_Data!$A$1:$R$161,5,TRUE)</f>
        <v>MS</v>
      </c>
      <c r="E144">
        <f>VLOOKUP($A144,Customer_Data!$A$1:$R$161,6,TRUE)</f>
        <v>39110</v>
      </c>
      <c r="F144" s="207">
        <f>Applications!B128</f>
        <v>46159</v>
      </c>
      <c r="G144" s="207" t="str">
        <f>Applications!E128</f>
        <v>Matthew Stowers</v>
      </c>
      <c r="H144">
        <f>Applications!F128</f>
        <v>48160</v>
      </c>
      <c r="I144" s="207" t="str">
        <f>Applications!G128</f>
        <v>Spring Preemerge (Apr)</v>
      </c>
      <c r="J144">
        <f>Applications!H128</f>
        <v>8910</v>
      </c>
      <c r="L144" t="str">
        <f>Applications!J128</f>
        <v/>
      </c>
      <c r="M144" t="e">
        <f>Applications!K128</f>
        <v>#N/A</v>
      </c>
      <c r="N144" t="e">
        <f>Applications!L128</f>
        <v>#N/A</v>
      </c>
      <c r="O144" t="e">
        <f>Applications!M128</f>
        <v>#N/A</v>
      </c>
      <c r="P144" t="str">
        <f>Applications!N128</f>
        <v>Triplet SF (3-Way) 228-312</v>
      </c>
      <c r="Q144" t="str">
        <f>Applications!O128</f>
        <v>2,4-D, dimethylamine salt; Dicamba, dimethylamine salt;Mecoprop-p (MCPP-p), dimethylamine salt</v>
      </c>
      <c r="R144">
        <f>Applications!P128</f>
        <v>24</v>
      </c>
      <c r="S144">
        <f>Applications!Q128</f>
        <v>4.9090909090909092</v>
      </c>
      <c r="T144" t="str">
        <f>Applications!R128</f>
        <v>Certinty Turf 59639-226</v>
      </c>
      <c r="U144" t="str">
        <f>Applications!S128</f>
        <v>Sulfosulfuron</v>
      </c>
      <c r="V144">
        <f>Applications!T128</f>
        <v>0</v>
      </c>
      <c r="W144">
        <f>Applications!U128</f>
        <v>0</v>
      </c>
      <c r="X144" t="b">
        <f>Applications!V128</f>
        <v>0</v>
      </c>
      <c r="Y144" t="e">
        <f>Applications!W128</f>
        <v>#N/A</v>
      </c>
      <c r="Z144" t="e">
        <f>Applications!X128</f>
        <v>#N/A</v>
      </c>
      <c r="AA144" t="e">
        <f>Applications!Y128</f>
        <v>#N/A</v>
      </c>
      <c r="AB144">
        <f>Applications!Z128</f>
        <v>0</v>
      </c>
      <c r="AC144">
        <f>Applications!AA128</f>
        <v>0</v>
      </c>
      <c r="AD144">
        <f>Applications!AB128</f>
        <v>0</v>
      </c>
      <c r="AE144">
        <f>Applications!AC128</f>
        <v>0</v>
      </c>
    </row>
    <row r="145" spans="1:31">
      <c r="A145" t="str">
        <f>Applications!A132</f>
        <v>Riley Cooper</v>
      </c>
      <c r="B145" t="str">
        <f>VLOOKUP($A145,Customer_Data!$A$1:$R$161,3,TRUE)</f>
        <v>227 Westfield Road</v>
      </c>
      <c r="C145" t="str">
        <f>VLOOKUP($A145,Customer_Data!$A$1:$R$161,4,TRUE)</f>
        <v>Ridgeland</v>
      </c>
      <c r="D145" t="str">
        <f>VLOOKUP($A145,Customer_Data!$A$1:$R$161,5,TRUE)</f>
        <v>MS</v>
      </c>
      <c r="E145">
        <f>VLOOKUP($A145,Customer_Data!$A$1:$R$161,6,TRUE)</f>
        <v>39157</v>
      </c>
      <c r="F145" s="207">
        <f>Applications!B132</f>
        <v>46159</v>
      </c>
      <c r="G145" s="207" t="str">
        <f>Applications!E132</f>
        <v>Matthew Stowers</v>
      </c>
      <c r="H145">
        <f>Applications!F132</f>
        <v>48160</v>
      </c>
      <c r="I145" s="207" t="str">
        <f>Applications!G132</f>
        <v>Spring Preemerge (Apr)</v>
      </c>
      <c r="J145">
        <f>Applications!H132</f>
        <v>4150</v>
      </c>
      <c r="L145" t="str">
        <f>Applications!J132</f>
        <v/>
      </c>
      <c r="M145" t="e">
        <f>Applications!K132</f>
        <v>#N/A</v>
      </c>
      <c r="N145" t="e">
        <f>Applications!L132</f>
        <v>#N/A</v>
      </c>
      <c r="O145" t="e">
        <f>Applications!M132</f>
        <v>#N/A</v>
      </c>
      <c r="P145" t="str">
        <f>Applications!N132</f>
        <v>Triplet SF (3-Way) 228-312</v>
      </c>
      <c r="Q145" t="str">
        <f>Applications!O132</f>
        <v>2,4-D, dimethylamine salt; Dicamba, dimethylamine salt;Mecoprop-p (MCPP-p), dimethylamine salt</v>
      </c>
      <c r="R145">
        <f>Applications!P132</f>
        <v>24</v>
      </c>
      <c r="S145">
        <f>Applications!Q132</f>
        <v>2.2865013774104685</v>
      </c>
      <c r="T145" t="str">
        <f>Applications!R132</f>
        <v>Certinty Turf 59639-226</v>
      </c>
      <c r="U145" t="str">
        <f>Applications!S132</f>
        <v>Sulfosulfuron</v>
      </c>
      <c r="V145">
        <f>Applications!T132</f>
        <v>0</v>
      </c>
      <c r="W145">
        <f>Applications!U132</f>
        <v>0</v>
      </c>
      <c r="X145" t="b">
        <f>Applications!V132</f>
        <v>0</v>
      </c>
      <c r="Y145" t="e">
        <f>Applications!W132</f>
        <v>#N/A</v>
      </c>
      <c r="Z145" t="e">
        <f>Applications!X132</f>
        <v>#N/A</v>
      </c>
      <c r="AA145" t="e">
        <f>Applications!Y132</f>
        <v>#N/A</v>
      </c>
      <c r="AB145">
        <f>Applications!Z132</f>
        <v>0</v>
      </c>
      <c r="AC145">
        <f>Applications!AA132</f>
        <v>0</v>
      </c>
      <c r="AD145">
        <f>Applications!AB132</f>
        <v>0</v>
      </c>
      <c r="AE145">
        <f>Applications!AC132</f>
        <v>0</v>
      </c>
    </row>
    <row r="146" spans="1:31">
      <c r="A146" t="str">
        <f>Applications!A133</f>
        <v>Thomas Wilson</v>
      </c>
      <c r="B146" t="str">
        <f>VLOOKUP($A146,Customer_Data!$A$1:$R$161,3,TRUE)</f>
        <v>213 Westfield Road</v>
      </c>
      <c r="C146" t="str">
        <f>VLOOKUP($A146,Customer_Data!$A$1:$R$161,4,TRUE)</f>
        <v>Ridgeland</v>
      </c>
      <c r="D146" t="str">
        <f>VLOOKUP($A146,Customer_Data!$A$1:$R$161,5,TRUE)</f>
        <v>MS</v>
      </c>
      <c r="E146">
        <f>VLOOKUP($A146,Customer_Data!$A$1:$R$161,6,TRUE)</f>
        <v>39157</v>
      </c>
      <c r="F146" s="207">
        <f>Applications!B133</f>
        <v>46159</v>
      </c>
      <c r="G146" s="207" t="str">
        <f>Applications!E133</f>
        <v>Matthew Stowers</v>
      </c>
      <c r="H146">
        <f>Applications!F133</f>
        <v>48160</v>
      </c>
      <c r="I146" s="207" t="str">
        <f>Applications!G133</f>
        <v>Spring Preemerge (Apr)</v>
      </c>
      <c r="J146">
        <f>Applications!H133</f>
        <v>3875</v>
      </c>
      <c r="L146" t="str">
        <f>Applications!J133</f>
        <v/>
      </c>
      <c r="M146" t="e">
        <f>Applications!K133</f>
        <v>#N/A</v>
      </c>
      <c r="N146" t="e">
        <f>Applications!L133</f>
        <v>#N/A</v>
      </c>
      <c r="O146" t="e">
        <f>Applications!M133</f>
        <v>#N/A</v>
      </c>
      <c r="P146" t="str">
        <f>Applications!N133</f>
        <v>Triplet SF (3-Way) 228-312</v>
      </c>
      <c r="Q146" t="str">
        <f>Applications!O133</f>
        <v>2,4-D, dimethylamine salt; Dicamba, dimethylamine salt;Mecoprop-p (MCPP-p), dimethylamine salt</v>
      </c>
      <c r="R146">
        <f>Applications!P133</f>
        <v>24</v>
      </c>
      <c r="S146">
        <f>Applications!Q133</f>
        <v>2.1349862258953167</v>
      </c>
      <c r="T146" t="str">
        <f>Applications!R133</f>
        <v>Certinty Turf 59639-226</v>
      </c>
      <c r="U146" t="str">
        <f>Applications!S133</f>
        <v>Sulfosulfuron</v>
      </c>
      <c r="V146">
        <f>Applications!T133</f>
        <v>0</v>
      </c>
      <c r="W146">
        <f>Applications!U133</f>
        <v>0</v>
      </c>
      <c r="X146" t="b">
        <f>Applications!V133</f>
        <v>0</v>
      </c>
      <c r="Y146" t="e">
        <f>Applications!W133</f>
        <v>#N/A</v>
      </c>
      <c r="Z146" t="e">
        <f>Applications!X133</f>
        <v>#N/A</v>
      </c>
      <c r="AA146" t="e">
        <f>Applications!Y133</f>
        <v>#N/A</v>
      </c>
      <c r="AB146">
        <f>Applications!Z133</f>
        <v>0</v>
      </c>
      <c r="AC146">
        <f>Applications!AA133</f>
        <v>0</v>
      </c>
      <c r="AD146">
        <f>Applications!AB133</f>
        <v>0</v>
      </c>
      <c r="AE146">
        <f>Applications!AC133</f>
        <v>0</v>
      </c>
    </row>
    <row r="147" spans="1:31">
      <c r="A147" t="str">
        <f>Applications!A135</f>
        <v>Danny Cooper</v>
      </c>
      <c r="B147" t="str">
        <f>VLOOKUP($A147,Customer_Data!$A$1:$R$161,3,TRUE)</f>
        <v>129 Sawbridge Drive</v>
      </c>
      <c r="C147" t="str">
        <f>VLOOKUP($A147,Customer_Data!$A$1:$R$161,4,TRUE)</f>
        <v>Ridgeland</v>
      </c>
      <c r="D147" t="str">
        <f>VLOOKUP($A147,Customer_Data!$A$1:$R$161,5,TRUE)</f>
        <v>MS</v>
      </c>
      <c r="E147">
        <f>VLOOKUP($A147,Customer_Data!$A$1:$R$161,6,TRUE)</f>
        <v>39157</v>
      </c>
      <c r="F147" s="207">
        <f>Applications!B135</f>
        <v>46159</v>
      </c>
      <c r="G147" s="207" t="str">
        <f>Applications!E135</f>
        <v>Matthew Stowers</v>
      </c>
      <c r="H147">
        <f>Applications!F135</f>
        <v>48160</v>
      </c>
      <c r="I147" s="207" t="str">
        <f>Applications!G135</f>
        <v>Spring Preemerge (Apr)</v>
      </c>
      <c r="J147">
        <f>Applications!H135</f>
        <v>7000</v>
      </c>
      <c r="L147" t="str">
        <f>Applications!J135</f>
        <v/>
      </c>
      <c r="M147" t="e">
        <f>Applications!K135</f>
        <v>#N/A</v>
      </c>
      <c r="N147" t="e">
        <f>Applications!L135</f>
        <v>#N/A</v>
      </c>
      <c r="O147" t="e">
        <f>Applications!M135</f>
        <v>#N/A</v>
      </c>
      <c r="P147" t="str">
        <f>Applications!N135</f>
        <v>Triplet SF (3-Way) 228-312</v>
      </c>
      <c r="Q147" t="str">
        <f>Applications!O135</f>
        <v>2,4-D, dimethylamine salt; Dicamba, dimethylamine salt;Mecoprop-p (MCPP-p), dimethylamine salt</v>
      </c>
      <c r="R147">
        <f>Applications!P135</f>
        <v>24</v>
      </c>
      <c r="S147">
        <f>Applications!Q135</f>
        <v>3.8567493112947657</v>
      </c>
      <c r="T147" t="str">
        <f>Applications!R135</f>
        <v>Certinty Turf 59639-226</v>
      </c>
      <c r="U147" t="str">
        <f>Applications!S135</f>
        <v>Sulfosulfuron</v>
      </c>
      <c r="V147">
        <f>Applications!T135</f>
        <v>0</v>
      </c>
      <c r="W147">
        <f>Applications!U135</f>
        <v>0</v>
      </c>
      <c r="X147" t="b">
        <f>Applications!V135</f>
        <v>0</v>
      </c>
      <c r="Y147" t="e">
        <f>Applications!W135</f>
        <v>#N/A</v>
      </c>
      <c r="Z147" t="e">
        <f>Applications!X135</f>
        <v>#N/A</v>
      </c>
      <c r="AA147" t="e">
        <f>Applications!Y135</f>
        <v>#N/A</v>
      </c>
      <c r="AB147">
        <f>Applications!Z135</f>
        <v>0</v>
      </c>
      <c r="AC147">
        <f>Applications!AA135</f>
        <v>0</v>
      </c>
      <c r="AD147">
        <f>Applications!AB135</f>
        <v>0</v>
      </c>
      <c r="AE147">
        <f>Applications!AC135</f>
        <v>0</v>
      </c>
    </row>
    <row r="148" spans="1:31">
      <c r="A148" t="str">
        <f>Applications!A137</f>
        <v>Steve Edwards</v>
      </c>
      <c r="B148" t="str">
        <f>VLOOKUP($A148,Customer_Data!$A$1:$R$161,3,TRUE)</f>
        <v>71 Saint Andrews Drive</v>
      </c>
      <c r="C148" t="str">
        <f>VLOOKUP($A148,Customer_Data!$A$1:$R$161,4,TRUE)</f>
        <v>Jackson</v>
      </c>
      <c r="D148" t="str">
        <f>VLOOKUP($A148,Customer_Data!$A$1:$R$161,5,TRUE)</f>
        <v>MS</v>
      </c>
      <c r="E148">
        <f>VLOOKUP($A148,Customer_Data!$A$1:$R$161,6,TRUE)</f>
        <v>39211</v>
      </c>
      <c r="F148" s="207">
        <f>Applications!B137</f>
        <v>46159</v>
      </c>
      <c r="G148" s="207" t="str">
        <f>Applications!E137</f>
        <v>Matthew Stowers</v>
      </c>
      <c r="H148">
        <f>Applications!F137</f>
        <v>48160</v>
      </c>
      <c r="I148" s="207" t="str">
        <f>Applications!G137</f>
        <v>Spring Preemerge (Apr)</v>
      </c>
      <c r="J148">
        <f>Applications!H137</f>
        <v>9000</v>
      </c>
      <c r="L148" t="str">
        <f>Applications!J137</f>
        <v/>
      </c>
      <c r="M148" t="e">
        <f>Applications!K137</f>
        <v>#N/A</v>
      </c>
      <c r="N148" t="e">
        <f>Applications!L137</f>
        <v>#N/A</v>
      </c>
      <c r="O148" t="e">
        <f>Applications!M137</f>
        <v>#N/A</v>
      </c>
      <c r="P148" t="str">
        <f>Applications!N137</f>
        <v>Triplet SF (3-Way) 228-312</v>
      </c>
      <c r="Q148" t="str">
        <f>Applications!O137</f>
        <v>2,4-D, dimethylamine salt; Dicamba, dimethylamine salt;Mecoprop-p (MCPP-p), dimethylamine salt</v>
      </c>
      <c r="R148">
        <f>Applications!P137</f>
        <v>24</v>
      </c>
      <c r="S148">
        <f>Applications!Q137</f>
        <v>4.9586776859504136</v>
      </c>
      <c r="T148" t="str">
        <f>Applications!R137</f>
        <v>Certinty Turf 59639-226</v>
      </c>
      <c r="U148" t="str">
        <f>Applications!S137</f>
        <v>Sulfosulfuron</v>
      </c>
      <c r="V148">
        <f>Applications!T137</f>
        <v>0</v>
      </c>
      <c r="W148">
        <f>Applications!U137</f>
        <v>0</v>
      </c>
      <c r="X148" t="b">
        <f>Applications!V137</f>
        <v>0</v>
      </c>
      <c r="Y148" t="e">
        <f>Applications!W137</f>
        <v>#N/A</v>
      </c>
      <c r="Z148" t="e">
        <f>Applications!X137</f>
        <v>#N/A</v>
      </c>
      <c r="AA148" t="e">
        <f>Applications!Y137</f>
        <v>#N/A</v>
      </c>
      <c r="AB148">
        <f>Applications!Z137</f>
        <v>0</v>
      </c>
      <c r="AC148">
        <f>Applications!AA137</f>
        <v>0</v>
      </c>
      <c r="AD148">
        <f>Applications!AB137</f>
        <v>0</v>
      </c>
      <c r="AE148">
        <f>Applications!AC137</f>
        <v>0</v>
      </c>
    </row>
    <row r="149" spans="1:31">
      <c r="A149" t="str">
        <f>Applications!A138</f>
        <v>Seth Simmons</v>
      </c>
      <c r="B149" t="str">
        <f>VLOOKUP($A149,Customer_Data!$A$1:$R$161,3,TRUE)</f>
        <v>202 Highland Garrison</v>
      </c>
      <c r="C149" t="str">
        <f>VLOOKUP($A149,Customer_Data!$A$1:$R$161,4,TRUE)</f>
        <v>Ridgeland</v>
      </c>
      <c r="D149" t="str">
        <f>VLOOKUP($A149,Customer_Data!$A$1:$R$161,5,TRUE)</f>
        <v>MS</v>
      </c>
      <c r="E149">
        <f>VLOOKUP($A149,Customer_Data!$A$1:$R$161,6,TRUE)</f>
        <v>39157</v>
      </c>
      <c r="F149" s="207">
        <f>Applications!B138</f>
        <v>46159</v>
      </c>
      <c r="G149" s="207" t="str">
        <f>Applications!E138</f>
        <v>Matthew Stowers</v>
      </c>
      <c r="H149">
        <f>Applications!F138</f>
        <v>48160</v>
      </c>
      <c r="I149" s="207" t="str">
        <f>Applications!G138</f>
        <v>Spring Preemerge (Apr)</v>
      </c>
      <c r="J149">
        <f>Applications!H138</f>
        <v>6500</v>
      </c>
      <c r="L149" t="str">
        <f>Applications!J138</f>
        <v/>
      </c>
      <c r="M149" t="e">
        <f>Applications!K138</f>
        <v>#N/A</v>
      </c>
      <c r="N149" t="e">
        <f>Applications!L138</f>
        <v>#N/A</v>
      </c>
      <c r="O149" t="e">
        <f>Applications!M138</f>
        <v>#N/A</v>
      </c>
      <c r="P149" t="str">
        <f>Applications!N138</f>
        <v>Triplet SF (3-Way) 228-312</v>
      </c>
      <c r="Q149" t="str">
        <f>Applications!O138</f>
        <v>2,4-D, dimethylamine salt; Dicamba, dimethylamine salt;Mecoprop-p (MCPP-p), dimethylamine salt</v>
      </c>
      <c r="R149">
        <f>Applications!P138</f>
        <v>24</v>
      </c>
      <c r="S149">
        <f>Applications!Q138</f>
        <v>3.5812672176308542</v>
      </c>
      <c r="T149" t="str">
        <f>Applications!R138</f>
        <v>Certinty Turf 59639-226</v>
      </c>
      <c r="U149" t="str">
        <f>Applications!S138</f>
        <v>Sulfosulfuron</v>
      </c>
      <c r="V149">
        <f>Applications!T138</f>
        <v>0</v>
      </c>
      <c r="W149">
        <f>Applications!U138</f>
        <v>0</v>
      </c>
      <c r="X149" t="b">
        <f>Applications!V138</f>
        <v>0</v>
      </c>
      <c r="Y149" t="e">
        <f>Applications!W138</f>
        <v>#N/A</v>
      </c>
      <c r="Z149" t="e">
        <f>Applications!X138</f>
        <v>#N/A</v>
      </c>
      <c r="AA149" t="e">
        <f>Applications!Y138</f>
        <v>#N/A</v>
      </c>
      <c r="AB149">
        <f>Applications!Z138</f>
        <v>0</v>
      </c>
      <c r="AC149">
        <f>Applications!AA138</f>
        <v>0</v>
      </c>
      <c r="AD149">
        <f>Applications!AB138</f>
        <v>0</v>
      </c>
      <c r="AE149">
        <f>Applications!AC138</f>
        <v>0</v>
      </c>
    </row>
    <row r="150" spans="1:31">
      <c r="A150" t="str">
        <f>Applications!A148</f>
        <v>Adam Noland</v>
      </c>
      <c r="B150" t="str">
        <f>VLOOKUP($A150,Customer_Data!$A$1:$R$161,3,TRUE)</f>
        <v>144 Seville Way</v>
      </c>
      <c r="C150" t="str">
        <f>VLOOKUP($A150,Customer_Data!$A$1:$R$161,4,TRUE)</f>
        <v>Madison</v>
      </c>
      <c r="D150" t="str">
        <f>VLOOKUP($A150,Customer_Data!$A$1:$R$161,5,TRUE)</f>
        <v>MS</v>
      </c>
      <c r="E150">
        <f>VLOOKUP($A150,Customer_Data!$A$1:$R$161,6,TRUE)</f>
        <v>39110</v>
      </c>
      <c r="F150" s="207">
        <f>Applications!B148</f>
        <v>46159</v>
      </c>
      <c r="G150" s="207" t="str">
        <f>Applications!E148</f>
        <v>Matthew Stowers</v>
      </c>
      <c r="H150">
        <f>Applications!F148</f>
        <v>48160</v>
      </c>
      <c r="I150" s="207" t="str">
        <f>Applications!G148</f>
        <v>Spring Preemerge (Apr)</v>
      </c>
      <c r="J150">
        <f>Applications!H148</f>
        <v>6000</v>
      </c>
      <c r="L150" t="str">
        <f>Applications!J148</f>
        <v/>
      </c>
      <c r="M150" t="e">
        <f>Applications!K148</f>
        <v>#N/A</v>
      </c>
      <c r="N150" t="e">
        <f>Applications!L148</f>
        <v>#N/A</v>
      </c>
      <c r="O150" t="e">
        <f>Applications!M148</f>
        <v>#N/A</v>
      </c>
      <c r="P150" t="str">
        <f>Applications!N148</f>
        <v>Triplet SF (3-Way) 228-312</v>
      </c>
      <c r="Q150" t="str">
        <f>Applications!O148</f>
        <v>2,4-D, dimethylamine salt; Dicamba, dimethylamine salt;Mecoprop-p (MCPP-p), dimethylamine salt</v>
      </c>
      <c r="R150">
        <f>Applications!P148</f>
        <v>24</v>
      </c>
      <c r="S150">
        <f>Applications!Q148</f>
        <v>3.3057851239669422</v>
      </c>
      <c r="T150" t="str">
        <f>Applications!R148</f>
        <v>Certinty Turf 59639-226</v>
      </c>
      <c r="U150" t="str">
        <f>Applications!S148</f>
        <v>Sulfosulfuron</v>
      </c>
      <c r="V150">
        <f>Applications!T148</f>
        <v>0</v>
      </c>
      <c r="W150">
        <f>Applications!U148</f>
        <v>0</v>
      </c>
      <c r="X150" t="b">
        <f>Applications!V148</f>
        <v>0</v>
      </c>
      <c r="Y150" t="e">
        <f>Applications!W148</f>
        <v>#N/A</v>
      </c>
      <c r="Z150" t="e">
        <f>Applications!X148</f>
        <v>#N/A</v>
      </c>
      <c r="AA150" t="e">
        <f>Applications!Y148</f>
        <v>#N/A</v>
      </c>
      <c r="AB150">
        <f>Applications!Z148</f>
        <v>0</v>
      </c>
      <c r="AC150">
        <f>Applications!AA148</f>
        <v>0</v>
      </c>
      <c r="AD150">
        <f>Applications!AB148</f>
        <v>0</v>
      </c>
      <c r="AE150">
        <f>Applications!AC148</f>
        <v>0</v>
      </c>
    </row>
    <row r="151" spans="1:31">
      <c r="A151" t="str">
        <f>Applications!A149</f>
        <v>Headwaters, Inc.</v>
      </c>
      <c r="B151" t="str">
        <f>VLOOKUP($A151,Customer_Data!$A$1:$R$161,3,TRUE)</f>
        <v>167 Orchard Lane</v>
      </c>
      <c r="C151" t="str">
        <f>VLOOKUP($A151,Customer_Data!$A$1:$R$161,4,TRUE)</f>
        <v>Madison</v>
      </c>
      <c r="D151" t="str">
        <f>VLOOKUP($A151,Customer_Data!$A$1:$R$161,5,TRUE)</f>
        <v>MS</v>
      </c>
      <c r="E151">
        <f>VLOOKUP($A151,Customer_Data!$A$1:$R$161,6,TRUE)</f>
        <v>39110</v>
      </c>
      <c r="F151" s="207">
        <f>Applications!B149</f>
        <v>46159</v>
      </c>
      <c r="G151" s="207" t="str">
        <f>Applications!E149</f>
        <v>Matthew Stowers</v>
      </c>
      <c r="H151">
        <f>Applications!F149</f>
        <v>48160</v>
      </c>
      <c r="I151" s="207" t="str">
        <f>Applications!G149</f>
        <v>Spring Preemerge (Apr)</v>
      </c>
      <c r="J151">
        <f>Applications!H149</f>
        <v>12000</v>
      </c>
      <c r="L151" t="str">
        <f>Applications!J149</f>
        <v/>
      </c>
      <c r="M151" t="e">
        <f>Applications!K149</f>
        <v>#N/A</v>
      </c>
      <c r="N151" t="e">
        <f>Applications!L149</f>
        <v>#N/A</v>
      </c>
      <c r="O151" t="e">
        <f>Applications!M149</f>
        <v>#N/A</v>
      </c>
      <c r="P151" t="str">
        <f>Applications!N149</f>
        <v>Triplet SF (3-Way) 228-312</v>
      </c>
      <c r="Q151" t="str">
        <f>Applications!O149</f>
        <v>2,4-D, dimethylamine salt; Dicamba, dimethylamine salt;Mecoprop-p (MCPP-p), dimethylamine salt</v>
      </c>
      <c r="R151">
        <f>Applications!P149</f>
        <v>24</v>
      </c>
      <c r="S151">
        <f>Applications!Q149</f>
        <v>6.6115702479338845</v>
      </c>
      <c r="T151" t="str">
        <f>Applications!R149</f>
        <v>Certinty Turf 59639-226</v>
      </c>
      <c r="U151" t="str">
        <f>Applications!S149</f>
        <v>Sulfosulfuron</v>
      </c>
      <c r="V151">
        <f>Applications!T149</f>
        <v>0</v>
      </c>
      <c r="W151">
        <f>Applications!U149</f>
        <v>0</v>
      </c>
      <c r="X151" t="b">
        <f>Applications!V149</f>
        <v>0</v>
      </c>
      <c r="Y151" t="e">
        <f>Applications!W149</f>
        <v>#N/A</v>
      </c>
      <c r="Z151" t="e">
        <f>Applications!X149</f>
        <v>#N/A</v>
      </c>
      <c r="AA151" t="e">
        <f>Applications!Y149</f>
        <v>#N/A</v>
      </c>
      <c r="AB151">
        <f>Applications!Z149</f>
        <v>0</v>
      </c>
      <c r="AC151">
        <f>Applications!AA149</f>
        <v>0</v>
      </c>
      <c r="AD151">
        <f>Applications!AB149</f>
        <v>0</v>
      </c>
      <c r="AE151">
        <f>Applications!AC149</f>
        <v>0</v>
      </c>
    </row>
    <row r="152" spans="1:31">
      <c r="A152" t="str">
        <f>Applications!A151</f>
        <v>Jones Mcphereson</v>
      </c>
      <c r="B152" t="str">
        <f>VLOOKUP($A152,Customer_Data!$A$1:$R$161,3,TRUE)</f>
        <v>147 Saint Andrews Drive</v>
      </c>
      <c r="C152" t="str">
        <f>VLOOKUP($A152,Customer_Data!$A$1:$R$161,4,TRUE)</f>
        <v>Jackson</v>
      </c>
      <c r="D152" t="str">
        <f>VLOOKUP($A152,Customer_Data!$A$1:$R$161,5,TRUE)</f>
        <v>MS</v>
      </c>
      <c r="E152">
        <f>VLOOKUP($A152,Customer_Data!$A$1:$R$161,6,TRUE)</f>
        <v>39211</v>
      </c>
      <c r="F152" s="207">
        <f>Applications!B151</f>
        <v>46159</v>
      </c>
      <c r="G152" s="207" t="str">
        <f>Applications!E151</f>
        <v>Matthew Stowers</v>
      </c>
      <c r="H152">
        <f>Applications!F151</f>
        <v>48160</v>
      </c>
      <c r="I152" s="207" t="str">
        <f>Applications!G151</f>
        <v>Spring Preemerge (Apr)</v>
      </c>
      <c r="J152">
        <f>Applications!H151</f>
        <v>13000</v>
      </c>
      <c r="L152" t="str">
        <f>Applications!J151</f>
        <v/>
      </c>
      <c r="M152" t="e">
        <f>Applications!K151</f>
        <v>#N/A</v>
      </c>
      <c r="N152" t="e">
        <f>Applications!L151</f>
        <v>#N/A</v>
      </c>
      <c r="O152" t="e">
        <f>Applications!M151</f>
        <v>#N/A</v>
      </c>
      <c r="P152" t="str">
        <f>Applications!N151</f>
        <v>Triplet SF (3-Way) 228-312</v>
      </c>
      <c r="Q152" t="str">
        <f>Applications!O151</f>
        <v>2,4-D, dimethylamine salt; Dicamba, dimethylamine salt;Mecoprop-p (MCPP-p), dimethylamine salt</v>
      </c>
      <c r="R152">
        <f>Applications!P151</f>
        <v>24</v>
      </c>
      <c r="S152">
        <f>Applications!Q151</f>
        <v>7.1625344352617084</v>
      </c>
      <c r="T152" t="str">
        <f>Applications!R151</f>
        <v>Certinty Turf 59639-226</v>
      </c>
      <c r="U152" t="str">
        <f>Applications!S151</f>
        <v>Sulfosulfuron</v>
      </c>
      <c r="V152">
        <f>Applications!T151</f>
        <v>0</v>
      </c>
      <c r="W152">
        <f>Applications!U151</f>
        <v>0</v>
      </c>
      <c r="X152" t="b">
        <f>Applications!V151</f>
        <v>0</v>
      </c>
      <c r="Y152" t="e">
        <f>Applications!W151</f>
        <v>#N/A</v>
      </c>
      <c r="Z152" t="e">
        <f>Applications!X151</f>
        <v>#N/A</v>
      </c>
      <c r="AA152" t="e">
        <f>Applications!Y151</f>
        <v>#N/A</v>
      </c>
      <c r="AB152">
        <f>Applications!Z151</f>
        <v>0</v>
      </c>
      <c r="AC152">
        <f>Applications!AA151</f>
        <v>0</v>
      </c>
      <c r="AD152">
        <f>Applications!AB151</f>
        <v>0</v>
      </c>
      <c r="AE152">
        <f>Applications!AC151</f>
        <v>0</v>
      </c>
    </row>
    <row r="153" spans="1:31">
      <c r="A153" t="str">
        <f>Applications!A154</f>
        <v>Reagan Wallace</v>
      </c>
      <c r="B153" t="str">
        <f>VLOOKUP($A153,Customer_Data!$A$1:$R$161,3,TRUE)</f>
        <v>300 Brent Wood Street</v>
      </c>
      <c r="C153" t="str">
        <f>VLOOKUP($A153,Customer_Data!$A$1:$R$161,4,TRUE)</f>
        <v>Brandon</v>
      </c>
      <c r="D153" t="str">
        <f>VLOOKUP($A153,Customer_Data!$A$1:$R$161,5,TRUE)</f>
        <v>MS</v>
      </c>
      <c r="E153">
        <f>VLOOKUP($A153,Customer_Data!$A$1:$R$161,6,TRUE)</f>
        <v>39042</v>
      </c>
      <c r="F153" s="207">
        <f>Applications!B154</f>
        <v>46159</v>
      </c>
      <c r="G153" s="207" t="str">
        <f>Applications!E154</f>
        <v>Matthew Stowers</v>
      </c>
      <c r="H153">
        <f>Applications!F154</f>
        <v>48160</v>
      </c>
      <c r="I153" s="207" t="str">
        <f>Applications!G154</f>
        <v>Spring Preemerge (Apr)</v>
      </c>
      <c r="J153">
        <f>Applications!H154</f>
        <v>5000</v>
      </c>
      <c r="L153" t="str">
        <f>Applications!J154</f>
        <v/>
      </c>
      <c r="M153" t="e">
        <f>Applications!K154</f>
        <v>#N/A</v>
      </c>
      <c r="N153" t="e">
        <f>Applications!L154</f>
        <v>#N/A</v>
      </c>
      <c r="O153" t="e">
        <f>Applications!M154</f>
        <v>#N/A</v>
      </c>
      <c r="P153" t="str">
        <f>Applications!N154</f>
        <v>Triplet SF (3-Way) 228-312</v>
      </c>
      <c r="Q153" t="str">
        <f>Applications!O154</f>
        <v>2,4-D, dimethylamine salt; Dicamba, dimethylamine salt;Mecoprop-p (MCPP-p), dimethylamine salt</v>
      </c>
      <c r="R153">
        <f>Applications!P154</f>
        <v>24</v>
      </c>
      <c r="S153">
        <f>Applications!Q154</f>
        <v>2.7548209366391183</v>
      </c>
      <c r="T153" t="str">
        <f>Applications!R154</f>
        <v>Certinty Turf 59639-226</v>
      </c>
      <c r="U153" t="str">
        <f>Applications!S154</f>
        <v>Sulfosulfuron</v>
      </c>
      <c r="V153">
        <f>Applications!T154</f>
        <v>0</v>
      </c>
      <c r="W153">
        <f>Applications!U154</f>
        <v>0</v>
      </c>
      <c r="X153" t="b">
        <f>Applications!V154</f>
        <v>0</v>
      </c>
      <c r="Y153" t="e">
        <f>Applications!W154</f>
        <v>#N/A</v>
      </c>
      <c r="Z153" t="e">
        <f>Applications!X154</f>
        <v>#N/A</v>
      </c>
      <c r="AA153" t="e">
        <f>Applications!Y154</f>
        <v>#N/A</v>
      </c>
      <c r="AB153">
        <f>Applications!Z154</f>
        <v>0</v>
      </c>
      <c r="AC153">
        <f>Applications!AA154</f>
        <v>0</v>
      </c>
      <c r="AD153">
        <f>Applications!AB154</f>
        <v>0</v>
      </c>
      <c r="AE153">
        <f>Applications!AC154</f>
        <v>0</v>
      </c>
    </row>
    <row r="154" spans="1:31">
      <c r="A154">
        <f>Applications!A155</f>
        <v>0</v>
      </c>
      <c r="B154" t="e">
        <f>VLOOKUP($A154,Customer_Data!$A$1:$R$161,3,TRUE)</f>
        <v>#N/A</v>
      </c>
      <c r="C154" t="e">
        <f>VLOOKUP($A154,Customer_Data!$A$1:$R$161,4,TRUE)</f>
        <v>#N/A</v>
      </c>
      <c r="D154" t="e">
        <f>VLOOKUP($A154,Customer_Data!$A$1:$R$161,5,TRUE)</f>
        <v>#N/A</v>
      </c>
      <c r="E154" t="e">
        <f>VLOOKUP($A154,Customer_Data!$A$1:$R$161,6,TRUE)</f>
        <v>#N/A</v>
      </c>
      <c r="F154" s="207">
        <f>Applications!B155</f>
        <v>0</v>
      </c>
      <c r="G154" s="207">
        <f>Applications!E155</f>
        <v>0</v>
      </c>
      <c r="H154" t="str">
        <f>Applications!F155</f>
        <v/>
      </c>
      <c r="I154" s="207">
        <f>Applications!G155</f>
        <v>0</v>
      </c>
      <c r="J154" t="str">
        <f>Applications!H155</f>
        <v/>
      </c>
      <c r="L154" t="str">
        <f>Applications!J155</f>
        <v/>
      </c>
      <c r="M154" t="e">
        <f>Applications!K155</f>
        <v>#N/A</v>
      </c>
      <c r="N154" t="e">
        <f>Applications!L155</f>
        <v>#N/A</v>
      </c>
      <c r="O154" t="e">
        <f>Applications!M155</f>
        <v>#N/A</v>
      </c>
      <c r="P154" t="str">
        <f>Applications!N155</f>
        <v/>
      </c>
      <c r="Q154" t="e">
        <f>Applications!O155</f>
        <v>#N/A</v>
      </c>
      <c r="R154" t="e">
        <f>Applications!P155</f>
        <v>#N/A</v>
      </c>
      <c r="S154" t="e">
        <f>Applications!Q155</f>
        <v>#N/A</v>
      </c>
      <c r="T154" t="str">
        <f>Applications!R155</f>
        <v/>
      </c>
      <c r="U154" t="e">
        <f>Applications!S155</f>
        <v>#N/A</v>
      </c>
      <c r="V154" t="e">
        <f>Applications!T155</f>
        <v>#N/A</v>
      </c>
      <c r="W154" t="e">
        <f>Applications!U155</f>
        <v>#N/A</v>
      </c>
      <c r="X154" t="b">
        <f>Applications!V155</f>
        <v>0</v>
      </c>
      <c r="Y154" t="e">
        <f>Applications!W155</f>
        <v>#N/A</v>
      </c>
      <c r="Z154" t="e">
        <f>Applications!X155</f>
        <v>#N/A</v>
      </c>
      <c r="AA154" t="e">
        <f>Applications!Y155</f>
        <v>#N/A</v>
      </c>
      <c r="AB154">
        <f>Applications!Z155</f>
        <v>0</v>
      </c>
      <c r="AC154">
        <f>Applications!AA155</f>
        <v>0</v>
      </c>
      <c r="AD154">
        <f>Applications!AB155</f>
        <v>0</v>
      </c>
      <c r="AE154">
        <f>Applications!AC155</f>
        <v>0</v>
      </c>
    </row>
    <row r="155" spans="1:31">
      <c r="A155">
        <f>Applications!A156</f>
        <v>0</v>
      </c>
      <c r="B155" t="e">
        <f>VLOOKUP($A155,Customer_Data!$A$1:$R$161,3,TRUE)</f>
        <v>#N/A</v>
      </c>
      <c r="C155" t="e">
        <f>VLOOKUP($A155,Customer_Data!$A$1:$R$161,4,TRUE)</f>
        <v>#N/A</v>
      </c>
      <c r="D155" t="e">
        <f>VLOOKUP($A155,Customer_Data!$A$1:$R$161,5,TRUE)</f>
        <v>#N/A</v>
      </c>
      <c r="E155" t="e">
        <f>VLOOKUP($A155,Customer_Data!$A$1:$R$161,6,TRUE)</f>
        <v>#N/A</v>
      </c>
      <c r="F155" s="207">
        <f>Applications!B156</f>
        <v>0</v>
      </c>
      <c r="G155" s="207">
        <f>Applications!E156</f>
        <v>0</v>
      </c>
      <c r="H155" t="str">
        <f>Applications!F156</f>
        <v/>
      </c>
      <c r="I155" s="207">
        <f>Applications!G156</f>
        <v>0</v>
      </c>
      <c r="J155" t="str">
        <f>Applications!H156</f>
        <v/>
      </c>
      <c r="L155" t="str">
        <f>Applications!J156</f>
        <v/>
      </c>
      <c r="M155" t="e">
        <f>Applications!K156</f>
        <v>#N/A</v>
      </c>
      <c r="N155" t="e">
        <f>Applications!L156</f>
        <v>#N/A</v>
      </c>
      <c r="O155" t="e">
        <f>Applications!M156</f>
        <v>#N/A</v>
      </c>
      <c r="P155" t="str">
        <f>Applications!N156</f>
        <v/>
      </c>
      <c r="Q155" t="e">
        <f>Applications!O156</f>
        <v>#N/A</v>
      </c>
      <c r="R155" t="e">
        <f>Applications!P156</f>
        <v>#N/A</v>
      </c>
      <c r="S155" t="e">
        <f>Applications!Q156</f>
        <v>#N/A</v>
      </c>
      <c r="T155" t="str">
        <f>Applications!R156</f>
        <v/>
      </c>
      <c r="U155" t="e">
        <f>Applications!S156</f>
        <v>#N/A</v>
      </c>
      <c r="V155" t="e">
        <f>Applications!T156</f>
        <v>#N/A</v>
      </c>
      <c r="W155" t="e">
        <f>Applications!U156</f>
        <v>#N/A</v>
      </c>
      <c r="X155" t="b">
        <f>Applications!V156</f>
        <v>0</v>
      </c>
      <c r="Y155" t="e">
        <f>Applications!W156</f>
        <v>#N/A</v>
      </c>
      <c r="Z155" t="e">
        <f>Applications!X156</f>
        <v>#N/A</v>
      </c>
      <c r="AA155" t="e">
        <f>Applications!Y156</f>
        <v>#N/A</v>
      </c>
      <c r="AB155">
        <f>Applications!Z156</f>
        <v>0</v>
      </c>
      <c r="AC155">
        <f>Applications!AA156</f>
        <v>0</v>
      </c>
      <c r="AD155">
        <f>Applications!AB156</f>
        <v>0</v>
      </c>
      <c r="AE155">
        <f>Applications!AC156</f>
        <v>0</v>
      </c>
    </row>
    <row r="156" spans="1:31">
      <c r="A156">
        <f>Applications!A157</f>
        <v>0</v>
      </c>
      <c r="B156" t="e">
        <f>VLOOKUP($A156,Customer_Data!$A$1:$R$161,3,TRUE)</f>
        <v>#N/A</v>
      </c>
      <c r="C156" t="e">
        <f>VLOOKUP($A156,Customer_Data!$A$1:$R$161,4,TRUE)</f>
        <v>#N/A</v>
      </c>
      <c r="D156" t="e">
        <f>VLOOKUP($A156,Customer_Data!$A$1:$R$161,5,TRUE)</f>
        <v>#N/A</v>
      </c>
      <c r="E156" t="e">
        <f>VLOOKUP($A156,Customer_Data!$A$1:$R$161,6,TRUE)</f>
        <v>#N/A</v>
      </c>
      <c r="F156" s="207">
        <f>Applications!B157</f>
        <v>0</v>
      </c>
      <c r="G156" s="207">
        <f>Applications!E157</f>
        <v>0</v>
      </c>
      <c r="H156" t="str">
        <f>Applications!F157</f>
        <v/>
      </c>
      <c r="I156" s="207">
        <f>Applications!G157</f>
        <v>0</v>
      </c>
      <c r="J156" t="str">
        <f>Applications!H157</f>
        <v/>
      </c>
      <c r="L156" t="str">
        <f>Applications!J157</f>
        <v/>
      </c>
      <c r="M156" t="e">
        <f>Applications!K157</f>
        <v>#N/A</v>
      </c>
      <c r="N156" t="e">
        <f>Applications!L157</f>
        <v>#N/A</v>
      </c>
      <c r="O156" t="e">
        <f>Applications!M157</f>
        <v>#N/A</v>
      </c>
      <c r="P156" t="str">
        <f>Applications!N157</f>
        <v/>
      </c>
      <c r="Q156" t="e">
        <f>Applications!O157</f>
        <v>#N/A</v>
      </c>
      <c r="R156" t="e">
        <f>Applications!P157</f>
        <v>#N/A</v>
      </c>
      <c r="S156" t="e">
        <f>Applications!Q157</f>
        <v>#N/A</v>
      </c>
      <c r="T156" t="str">
        <f>Applications!R157</f>
        <v/>
      </c>
      <c r="U156" t="e">
        <f>Applications!S157</f>
        <v>#N/A</v>
      </c>
      <c r="V156" t="e">
        <f>Applications!T157</f>
        <v>#N/A</v>
      </c>
      <c r="W156" t="e">
        <f>Applications!U157</f>
        <v>#N/A</v>
      </c>
      <c r="X156" t="b">
        <f>Applications!V157</f>
        <v>0</v>
      </c>
      <c r="Y156" t="e">
        <f>Applications!W157</f>
        <v>#N/A</v>
      </c>
      <c r="Z156" t="e">
        <f>Applications!X157</f>
        <v>#N/A</v>
      </c>
      <c r="AA156" t="e">
        <f>Applications!Y157</f>
        <v>#N/A</v>
      </c>
      <c r="AB156">
        <f>Applications!Z157</f>
        <v>0</v>
      </c>
      <c r="AC156">
        <f>Applications!AA157</f>
        <v>0</v>
      </c>
      <c r="AD156">
        <f>Applications!AB157</f>
        <v>0</v>
      </c>
      <c r="AE156">
        <f>Applications!AC157</f>
        <v>0</v>
      </c>
    </row>
    <row r="157" spans="1:31">
      <c r="A157">
        <f>Applications!A158</f>
        <v>0</v>
      </c>
      <c r="B157" t="e">
        <f>VLOOKUP($A157,Customer_Data!$A$1:$R$161,3,TRUE)</f>
        <v>#N/A</v>
      </c>
      <c r="C157" t="e">
        <f>VLOOKUP($A157,Customer_Data!$A$1:$R$161,4,TRUE)</f>
        <v>#N/A</v>
      </c>
      <c r="D157" t="e">
        <f>VLOOKUP($A157,Customer_Data!$A$1:$R$161,5,TRUE)</f>
        <v>#N/A</v>
      </c>
      <c r="E157" t="e">
        <f>VLOOKUP($A157,Customer_Data!$A$1:$R$161,6,TRUE)</f>
        <v>#N/A</v>
      </c>
      <c r="F157" s="207">
        <f>Applications!B158</f>
        <v>0</v>
      </c>
      <c r="G157" s="207">
        <f>Applications!E158</f>
        <v>0</v>
      </c>
      <c r="H157" t="str">
        <f>Applications!F158</f>
        <v/>
      </c>
      <c r="I157" s="207">
        <f>Applications!G158</f>
        <v>0</v>
      </c>
      <c r="J157" t="str">
        <f>Applications!H158</f>
        <v/>
      </c>
      <c r="L157" t="str">
        <f>Applications!J158</f>
        <v/>
      </c>
      <c r="M157" t="e">
        <f>Applications!K158</f>
        <v>#N/A</v>
      </c>
      <c r="N157" t="e">
        <f>Applications!L158</f>
        <v>#N/A</v>
      </c>
      <c r="O157" t="e">
        <f>Applications!M158</f>
        <v>#N/A</v>
      </c>
      <c r="P157" t="str">
        <f>Applications!N158</f>
        <v/>
      </c>
      <c r="Q157" t="e">
        <f>Applications!O158</f>
        <v>#N/A</v>
      </c>
      <c r="R157" t="e">
        <f>Applications!P158</f>
        <v>#N/A</v>
      </c>
      <c r="S157" t="e">
        <f>Applications!Q158</f>
        <v>#N/A</v>
      </c>
      <c r="T157" t="str">
        <f>Applications!R158</f>
        <v/>
      </c>
      <c r="U157" t="e">
        <f>Applications!S158</f>
        <v>#N/A</v>
      </c>
      <c r="V157" t="e">
        <f>Applications!T158</f>
        <v>#N/A</v>
      </c>
      <c r="W157" t="e">
        <f>Applications!U158</f>
        <v>#N/A</v>
      </c>
      <c r="X157" t="b">
        <f>Applications!V158</f>
        <v>0</v>
      </c>
      <c r="Y157" t="e">
        <f>Applications!W158</f>
        <v>#N/A</v>
      </c>
      <c r="Z157" t="e">
        <f>Applications!X158</f>
        <v>#N/A</v>
      </c>
      <c r="AA157" t="e">
        <f>Applications!Y158</f>
        <v>#N/A</v>
      </c>
      <c r="AB157">
        <f>Applications!Z158</f>
        <v>0</v>
      </c>
      <c r="AC157">
        <f>Applications!AA158</f>
        <v>0</v>
      </c>
      <c r="AD157">
        <f>Applications!AB158</f>
        <v>0</v>
      </c>
      <c r="AE157">
        <f>Applications!AC158</f>
        <v>0</v>
      </c>
    </row>
    <row r="158" spans="1:31">
      <c r="A158">
        <f>Applications!A159</f>
        <v>0</v>
      </c>
      <c r="B158" t="e">
        <f>VLOOKUP($A158,Customer_Data!$A$1:$R$161,3,TRUE)</f>
        <v>#N/A</v>
      </c>
      <c r="C158" t="e">
        <f>VLOOKUP($A158,Customer_Data!$A$1:$R$161,4,TRUE)</f>
        <v>#N/A</v>
      </c>
      <c r="D158" t="e">
        <f>VLOOKUP($A158,Customer_Data!$A$1:$R$161,5,TRUE)</f>
        <v>#N/A</v>
      </c>
      <c r="E158" t="e">
        <f>VLOOKUP($A158,Customer_Data!$A$1:$R$161,6,TRUE)</f>
        <v>#N/A</v>
      </c>
      <c r="F158" s="207">
        <f>Applications!B159</f>
        <v>0</v>
      </c>
      <c r="G158" s="207">
        <f>Applications!E159</f>
        <v>0</v>
      </c>
      <c r="H158" t="str">
        <f>Applications!F159</f>
        <v/>
      </c>
      <c r="I158" s="207">
        <f>Applications!G159</f>
        <v>0</v>
      </c>
      <c r="J158" t="str">
        <f>Applications!H159</f>
        <v/>
      </c>
      <c r="L158" t="str">
        <f>Applications!J159</f>
        <v/>
      </c>
      <c r="M158" t="e">
        <f>Applications!K159</f>
        <v>#N/A</v>
      </c>
      <c r="N158" t="e">
        <f>Applications!L159</f>
        <v>#N/A</v>
      </c>
      <c r="O158" t="e">
        <f>Applications!M159</f>
        <v>#N/A</v>
      </c>
      <c r="P158" t="str">
        <f>Applications!N159</f>
        <v/>
      </c>
      <c r="Q158" t="e">
        <f>Applications!O159</f>
        <v>#N/A</v>
      </c>
      <c r="R158" t="e">
        <f>Applications!P159</f>
        <v>#N/A</v>
      </c>
      <c r="S158" t="e">
        <f>Applications!Q159</f>
        <v>#N/A</v>
      </c>
      <c r="T158" t="str">
        <f>Applications!R159</f>
        <v/>
      </c>
      <c r="U158" t="e">
        <f>Applications!S159</f>
        <v>#N/A</v>
      </c>
      <c r="V158" t="e">
        <f>Applications!T159</f>
        <v>#N/A</v>
      </c>
      <c r="W158" t="e">
        <f>Applications!U159</f>
        <v>#N/A</v>
      </c>
      <c r="X158" t="b">
        <f>Applications!V159</f>
        <v>0</v>
      </c>
      <c r="Y158" t="e">
        <f>Applications!W159</f>
        <v>#N/A</v>
      </c>
      <c r="Z158" t="e">
        <f>Applications!X159</f>
        <v>#N/A</v>
      </c>
      <c r="AA158" t="e">
        <f>Applications!Y159</f>
        <v>#N/A</v>
      </c>
      <c r="AB158">
        <f>Applications!Z159</f>
        <v>0</v>
      </c>
      <c r="AC158">
        <f>Applications!AA159</f>
        <v>0</v>
      </c>
      <c r="AD158">
        <f>Applications!AB159</f>
        <v>0</v>
      </c>
      <c r="AE158">
        <f>Applications!AC159</f>
        <v>0</v>
      </c>
    </row>
    <row r="159" spans="1:31">
      <c r="A159">
        <f>Applications!A160</f>
        <v>0</v>
      </c>
      <c r="B159" t="e">
        <f>VLOOKUP($A159,Customer_Data!$A$1:$R$161,3,TRUE)</f>
        <v>#N/A</v>
      </c>
      <c r="C159" t="e">
        <f>VLOOKUP($A159,Customer_Data!$A$1:$R$161,4,TRUE)</f>
        <v>#N/A</v>
      </c>
      <c r="D159" t="e">
        <f>VLOOKUP($A159,Customer_Data!$A$1:$R$161,5,TRUE)</f>
        <v>#N/A</v>
      </c>
      <c r="E159" t="e">
        <f>VLOOKUP($A159,Customer_Data!$A$1:$R$161,6,TRUE)</f>
        <v>#N/A</v>
      </c>
      <c r="F159" s="207">
        <f>Applications!B160</f>
        <v>0</v>
      </c>
      <c r="G159" s="207">
        <f>Applications!E160</f>
        <v>0</v>
      </c>
      <c r="H159" t="str">
        <f>Applications!F160</f>
        <v/>
      </c>
      <c r="I159" s="207">
        <f>Applications!G160</f>
        <v>0</v>
      </c>
      <c r="J159" t="str">
        <f>Applications!H160</f>
        <v/>
      </c>
      <c r="L159" t="str">
        <f>Applications!J160</f>
        <v/>
      </c>
      <c r="M159" t="e">
        <f>Applications!K160</f>
        <v>#N/A</v>
      </c>
      <c r="N159" t="e">
        <f>Applications!L160</f>
        <v>#N/A</v>
      </c>
      <c r="O159" t="e">
        <f>Applications!M160</f>
        <v>#N/A</v>
      </c>
      <c r="P159" t="str">
        <f>Applications!N160</f>
        <v/>
      </c>
      <c r="Q159" t="e">
        <f>Applications!O160</f>
        <v>#N/A</v>
      </c>
      <c r="R159" t="e">
        <f>Applications!P160</f>
        <v>#N/A</v>
      </c>
      <c r="S159" t="e">
        <f>Applications!Q160</f>
        <v>#N/A</v>
      </c>
      <c r="T159" t="str">
        <f>Applications!R160</f>
        <v/>
      </c>
      <c r="U159" t="e">
        <f>Applications!S160</f>
        <v>#N/A</v>
      </c>
      <c r="V159" t="e">
        <f>Applications!T160</f>
        <v>#N/A</v>
      </c>
      <c r="W159" t="e">
        <f>Applications!U160</f>
        <v>#N/A</v>
      </c>
      <c r="X159" t="b">
        <f>Applications!V160</f>
        <v>0</v>
      </c>
      <c r="Y159" t="e">
        <f>Applications!W160</f>
        <v>#N/A</v>
      </c>
      <c r="Z159" t="e">
        <f>Applications!X160</f>
        <v>#N/A</v>
      </c>
      <c r="AA159" t="e">
        <f>Applications!Y160</f>
        <v>#N/A</v>
      </c>
      <c r="AB159">
        <f>Applications!Z160</f>
        <v>0</v>
      </c>
      <c r="AC159">
        <f>Applications!AA160</f>
        <v>0</v>
      </c>
      <c r="AD159">
        <f>Applications!AB160</f>
        <v>0</v>
      </c>
      <c r="AE159">
        <f>Applications!AC160</f>
        <v>0</v>
      </c>
    </row>
    <row r="160" spans="1:31">
      <c r="A160">
        <f>Applications!A161</f>
        <v>0</v>
      </c>
      <c r="B160" t="e">
        <f>VLOOKUP($A160,Customer_Data!$A$1:$R$161,3,TRUE)</f>
        <v>#N/A</v>
      </c>
      <c r="C160" t="e">
        <f>VLOOKUP($A160,Customer_Data!$A$1:$R$161,4,TRUE)</f>
        <v>#N/A</v>
      </c>
      <c r="D160" t="e">
        <f>VLOOKUP($A160,Customer_Data!$A$1:$R$161,5,TRUE)</f>
        <v>#N/A</v>
      </c>
      <c r="E160" t="e">
        <f>VLOOKUP($A160,Customer_Data!$A$1:$R$161,6,TRUE)</f>
        <v>#N/A</v>
      </c>
      <c r="F160" s="207">
        <f>Applications!B161</f>
        <v>0</v>
      </c>
      <c r="G160" s="207">
        <f>Applications!E161</f>
        <v>0</v>
      </c>
      <c r="H160" t="str">
        <f>Applications!F161</f>
        <v/>
      </c>
      <c r="I160" s="207">
        <f>Applications!G161</f>
        <v>0</v>
      </c>
      <c r="J160" t="str">
        <f>Applications!H161</f>
        <v/>
      </c>
      <c r="L160" t="str">
        <f>Applications!J161</f>
        <v/>
      </c>
      <c r="M160" t="e">
        <f>Applications!K161</f>
        <v>#N/A</v>
      </c>
      <c r="N160" t="e">
        <f>Applications!L161</f>
        <v>#N/A</v>
      </c>
      <c r="O160" t="e">
        <f>Applications!M161</f>
        <v>#N/A</v>
      </c>
      <c r="P160" t="str">
        <f>Applications!N161</f>
        <v/>
      </c>
      <c r="Q160" t="e">
        <f>Applications!O161</f>
        <v>#N/A</v>
      </c>
      <c r="R160" t="e">
        <f>Applications!P161</f>
        <v>#N/A</v>
      </c>
      <c r="S160" t="e">
        <f>Applications!Q161</f>
        <v>#N/A</v>
      </c>
      <c r="T160" t="str">
        <f>Applications!R161</f>
        <v/>
      </c>
      <c r="U160" t="e">
        <f>Applications!S161</f>
        <v>#N/A</v>
      </c>
      <c r="V160" t="e">
        <f>Applications!T161</f>
        <v>#N/A</v>
      </c>
      <c r="W160" t="e">
        <f>Applications!U161</f>
        <v>#N/A</v>
      </c>
      <c r="X160" t="b">
        <f>Applications!V161</f>
        <v>0</v>
      </c>
      <c r="Y160" t="e">
        <f>Applications!W161</f>
        <v>#N/A</v>
      </c>
      <c r="Z160" t="e">
        <f>Applications!X161</f>
        <v>#N/A</v>
      </c>
      <c r="AA160" t="e">
        <f>Applications!Y161</f>
        <v>#N/A</v>
      </c>
      <c r="AB160">
        <f>Applications!Z161</f>
        <v>0</v>
      </c>
      <c r="AC160">
        <f>Applications!AA161</f>
        <v>0</v>
      </c>
      <c r="AD160">
        <f>Applications!AB161</f>
        <v>0</v>
      </c>
      <c r="AE160">
        <f>Applications!AC161</f>
        <v>0</v>
      </c>
    </row>
    <row r="161" spans="1:31">
      <c r="A161">
        <f>Applications!A162</f>
        <v>0</v>
      </c>
      <c r="B161" t="e">
        <f>VLOOKUP($A161,Customer_Data!$A$1:$R$161,3,TRUE)</f>
        <v>#N/A</v>
      </c>
      <c r="C161" t="e">
        <f>VLOOKUP($A161,Customer_Data!$A$1:$R$161,4,TRUE)</f>
        <v>#N/A</v>
      </c>
      <c r="D161" t="e">
        <f>VLOOKUP($A161,Customer_Data!$A$1:$R$161,5,TRUE)</f>
        <v>#N/A</v>
      </c>
      <c r="E161" t="e">
        <f>VLOOKUP($A161,Customer_Data!$A$1:$R$161,6,TRUE)</f>
        <v>#N/A</v>
      </c>
      <c r="F161" s="207">
        <f>Applications!B162</f>
        <v>0</v>
      </c>
      <c r="G161" s="207">
        <f>Applications!E162</f>
        <v>0</v>
      </c>
      <c r="H161" t="str">
        <f>Applications!F162</f>
        <v/>
      </c>
      <c r="I161" s="207">
        <f>Applications!G162</f>
        <v>0</v>
      </c>
      <c r="J161" t="str">
        <f>Applications!H162</f>
        <v/>
      </c>
      <c r="L161" t="str">
        <f>Applications!J162</f>
        <v/>
      </c>
      <c r="M161" t="e">
        <f>Applications!K162</f>
        <v>#N/A</v>
      </c>
      <c r="N161" t="e">
        <f>Applications!L162</f>
        <v>#N/A</v>
      </c>
      <c r="O161" t="e">
        <f>Applications!M162</f>
        <v>#N/A</v>
      </c>
      <c r="P161" t="str">
        <f>Applications!N162</f>
        <v/>
      </c>
      <c r="Q161" t="e">
        <f>Applications!O162</f>
        <v>#N/A</v>
      </c>
      <c r="R161" t="e">
        <f>Applications!P162</f>
        <v>#N/A</v>
      </c>
      <c r="S161" t="e">
        <f>Applications!Q162</f>
        <v>#N/A</v>
      </c>
      <c r="T161" t="str">
        <f>Applications!R162</f>
        <v/>
      </c>
      <c r="U161" t="e">
        <f>Applications!S162</f>
        <v>#N/A</v>
      </c>
      <c r="V161" t="e">
        <f>Applications!T162</f>
        <v>#N/A</v>
      </c>
      <c r="W161" t="e">
        <f>Applications!U162</f>
        <v>#N/A</v>
      </c>
      <c r="X161" t="b">
        <f>Applications!V162</f>
        <v>0</v>
      </c>
      <c r="Y161" t="e">
        <f>Applications!W162</f>
        <v>#N/A</v>
      </c>
      <c r="Z161" t="e">
        <f>Applications!X162</f>
        <v>#N/A</v>
      </c>
      <c r="AA161" t="e">
        <f>Applications!Y162</f>
        <v>#N/A</v>
      </c>
      <c r="AB161">
        <f>Applications!Z162</f>
        <v>0</v>
      </c>
      <c r="AC161">
        <f>Applications!AA162</f>
        <v>0</v>
      </c>
      <c r="AD161">
        <f>Applications!AB162</f>
        <v>0</v>
      </c>
      <c r="AE161">
        <f>Applications!AC162</f>
        <v>0</v>
      </c>
    </row>
    <row r="162" spans="1:31">
      <c r="A162">
        <f>Applications!A163</f>
        <v>0</v>
      </c>
      <c r="B162" t="e">
        <f>VLOOKUP($A162,Customer_Data!$A$1:$R$161,3,TRUE)</f>
        <v>#N/A</v>
      </c>
      <c r="C162" t="e">
        <f>VLOOKUP($A162,Customer_Data!$A$1:$R$161,4,TRUE)</f>
        <v>#N/A</v>
      </c>
      <c r="D162" t="e">
        <f>VLOOKUP($A162,Customer_Data!$A$1:$R$161,5,TRUE)</f>
        <v>#N/A</v>
      </c>
      <c r="E162" t="e">
        <f>VLOOKUP($A162,Customer_Data!$A$1:$R$161,6,TRUE)</f>
        <v>#N/A</v>
      </c>
      <c r="F162" s="207">
        <f>Applications!B163</f>
        <v>0</v>
      </c>
      <c r="G162" s="207">
        <f>Applications!E163</f>
        <v>0</v>
      </c>
      <c r="H162" t="str">
        <f>Applications!F163</f>
        <v/>
      </c>
      <c r="I162" s="207">
        <f>Applications!G163</f>
        <v>0</v>
      </c>
      <c r="J162" t="str">
        <f>Applications!H163</f>
        <v/>
      </c>
      <c r="L162" t="str">
        <f>Applications!J163</f>
        <v/>
      </c>
      <c r="M162" t="e">
        <f>Applications!K163</f>
        <v>#N/A</v>
      </c>
      <c r="N162" t="e">
        <f>Applications!L163</f>
        <v>#N/A</v>
      </c>
      <c r="O162" t="e">
        <f>Applications!M163</f>
        <v>#N/A</v>
      </c>
      <c r="P162" t="str">
        <f>Applications!N163</f>
        <v/>
      </c>
      <c r="Q162" t="e">
        <f>Applications!O163</f>
        <v>#N/A</v>
      </c>
      <c r="R162" t="e">
        <f>Applications!P163</f>
        <v>#N/A</v>
      </c>
      <c r="S162" t="e">
        <f>Applications!Q163</f>
        <v>#N/A</v>
      </c>
      <c r="T162" t="str">
        <f>Applications!R163</f>
        <v/>
      </c>
      <c r="U162" t="e">
        <f>Applications!S163</f>
        <v>#N/A</v>
      </c>
      <c r="V162" t="e">
        <f>Applications!T163</f>
        <v>#N/A</v>
      </c>
      <c r="W162" t="e">
        <f>Applications!U163</f>
        <v>#N/A</v>
      </c>
      <c r="X162" t="b">
        <f>Applications!V163</f>
        <v>0</v>
      </c>
      <c r="Y162" t="e">
        <f>Applications!W163</f>
        <v>#N/A</v>
      </c>
      <c r="Z162" t="e">
        <f>Applications!X163</f>
        <v>#N/A</v>
      </c>
      <c r="AA162" t="e">
        <f>Applications!Y163</f>
        <v>#N/A</v>
      </c>
      <c r="AB162">
        <f>Applications!Z163</f>
        <v>0</v>
      </c>
      <c r="AC162">
        <f>Applications!AA163</f>
        <v>0</v>
      </c>
      <c r="AD162">
        <f>Applications!AB163</f>
        <v>0</v>
      </c>
      <c r="AE162">
        <f>Applications!AC163</f>
        <v>0</v>
      </c>
    </row>
    <row r="163" spans="1:31">
      <c r="A163">
        <f>Applications!A164</f>
        <v>0</v>
      </c>
      <c r="B163" t="e">
        <f>VLOOKUP($A163,Customer_Data!$A$1:$R$161,3,TRUE)</f>
        <v>#N/A</v>
      </c>
      <c r="C163" t="e">
        <f>VLOOKUP($A163,Customer_Data!$A$1:$R$161,4,TRUE)</f>
        <v>#N/A</v>
      </c>
      <c r="D163" t="e">
        <f>VLOOKUP($A163,Customer_Data!$A$1:$R$161,5,TRUE)</f>
        <v>#N/A</v>
      </c>
      <c r="E163" t="e">
        <f>VLOOKUP($A163,Customer_Data!$A$1:$R$161,6,TRUE)</f>
        <v>#N/A</v>
      </c>
      <c r="F163" s="207">
        <f>Applications!B164</f>
        <v>0</v>
      </c>
      <c r="G163" s="207">
        <f>Applications!E164</f>
        <v>0</v>
      </c>
      <c r="H163" t="str">
        <f>Applications!F164</f>
        <v/>
      </c>
      <c r="I163" s="207">
        <f>Applications!G164</f>
        <v>0</v>
      </c>
      <c r="J163" t="str">
        <f>Applications!H164</f>
        <v/>
      </c>
      <c r="L163" t="str">
        <f>Applications!J164</f>
        <v/>
      </c>
      <c r="M163" t="e">
        <f>Applications!K164</f>
        <v>#N/A</v>
      </c>
      <c r="N163" t="e">
        <f>Applications!L164</f>
        <v>#N/A</v>
      </c>
      <c r="O163" t="e">
        <f>Applications!M164</f>
        <v>#N/A</v>
      </c>
      <c r="P163" t="str">
        <f>Applications!N164</f>
        <v/>
      </c>
      <c r="Q163" t="e">
        <f>Applications!O164</f>
        <v>#N/A</v>
      </c>
      <c r="R163" t="e">
        <f>Applications!P164</f>
        <v>#N/A</v>
      </c>
      <c r="S163" t="e">
        <f>Applications!Q164</f>
        <v>#N/A</v>
      </c>
      <c r="T163" t="str">
        <f>Applications!R164</f>
        <v/>
      </c>
      <c r="U163" t="e">
        <f>Applications!S164</f>
        <v>#N/A</v>
      </c>
      <c r="V163" t="e">
        <f>Applications!T164</f>
        <v>#N/A</v>
      </c>
      <c r="W163" t="e">
        <f>Applications!U164</f>
        <v>#N/A</v>
      </c>
      <c r="X163" t="b">
        <f>Applications!V164</f>
        <v>0</v>
      </c>
      <c r="Y163" t="e">
        <f>Applications!W164</f>
        <v>#N/A</v>
      </c>
      <c r="Z163" t="e">
        <f>Applications!X164</f>
        <v>#N/A</v>
      </c>
      <c r="AA163" t="e">
        <f>Applications!Y164</f>
        <v>#N/A</v>
      </c>
      <c r="AB163">
        <f>Applications!Z164</f>
        <v>0</v>
      </c>
      <c r="AC163">
        <f>Applications!AA164</f>
        <v>0</v>
      </c>
      <c r="AD163">
        <f>Applications!AB164</f>
        <v>0</v>
      </c>
      <c r="AE163">
        <f>Applications!AC164</f>
        <v>0</v>
      </c>
    </row>
    <row r="164" spans="1:31">
      <c r="A164">
        <f>Applications!A165</f>
        <v>0</v>
      </c>
      <c r="B164" t="e">
        <f>VLOOKUP($A164,Customer_Data!$A$1:$R$161,3,TRUE)</f>
        <v>#N/A</v>
      </c>
      <c r="C164" t="e">
        <f>VLOOKUP($A164,Customer_Data!$A$1:$R$161,4,TRUE)</f>
        <v>#N/A</v>
      </c>
      <c r="D164" t="e">
        <f>VLOOKUP($A164,Customer_Data!$A$1:$R$161,5,TRUE)</f>
        <v>#N/A</v>
      </c>
      <c r="E164" t="e">
        <f>VLOOKUP($A164,Customer_Data!$A$1:$R$161,6,TRUE)</f>
        <v>#N/A</v>
      </c>
      <c r="F164" s="207">
        <f>Applications!B165</f>
        <v>0</v>
      </c>
      <c r="G164" s="207">
        <f>Applications!E165</f>
        <v>0</v>
      </c>
      <c r="H164" t="str">
        <f>Applications!F165</f>
        <v/>
      </c>
      <c r="I164" s="207">
        <f>Applications!G165</f>
        <v>0</v>
      </c>
      <c r="J164" t="str">
        <f>Applications!H165</f>
        <v/>
      </c>
      <c r="L164" t="str">
        <f>Applications!J165</f>
        <v/>
      </c>
      <c r="M164" t="e">
        <f>Applications!K165</f>
        <v>#N/A</v>
      </c>
      <c r="N164" t="e">
        <f>Applications!L165</f>
        <v>#N/A</v>
      </c>
      <c r="O164" t="e">
        <f>Applications!M165</f>
        <v>#N/A</v>
      </c>
      <c r="P164" t="str">
        <f>Applications!N165</f>
        <v/>
      </c>
      <c r="Q164" t="e">
        <f>Applications!O165</f>
        <v>#N/A</v>
      </c>
      <c r="R164" t="e">
        <f>Applications!P165</f>
        <v>#N/A</v>
      </c>
      <c r="S164" t="e">
        <f>Applications!Q165</f>
        <v>#N/A</v>
      </c>
      <c r="T164" t="str">
        <f>Applications!R165</f>
        <v/>
      </c>
      <c r="U164" t="e">
        <f>Applications!S165</f>
        <v>#N/A</v>
      </c>
      <c r="V164" t="e">
        <f>Applications!T165</f>
        <v>#N/A</v>
      </c>
      <c r="W164" t="e">
        <f>Applications!U165</f>
        <v>#N/A</v>
      </c>
      <c r="X164" t="b">
        <f>Applications!V165</f>
        <v>0</v>
      </c>
      <c r="Y164" t="e">
        <f>Applications!W165</f>
        <v>#N/A</v>
      </c>
      <c r="Z164" t="e">
        <f>Applications!X165</f>
        <v>#N/A</v>
      </c>
      <c r="AA164" t="e">
        <f>Applications!Y165</f>
        <v>#N/A</v>
      </c>
      <c r="AB164">
        <f>Applications!Z165</f>
        <v>0</v>
      </c>
      <c r="AC164">
        <f>Applications!AA165</f>
        <v>0</v>
      </c>
      <c r="AD164">
        <f>Applications!AB165</f>
        <v>0</v>
      </c>
      <c r="AE164">
        <f>Applications!AC165</f>
        <v>0</v>
      </c>
    </row>
    <row r="165" spans="1:31">
      <c r="A165">
        <f>Applications!A166</f>
        <v>0</v>
      </c>
      <c r="B165" t="e">
        <f>VLOOKUP($A165,Customer_Data!$A$1:$R$161,3,TRUE)</f>
        <v>#N/A</v>
      </c>
      <c r="C165" t="e">
        <f>VLOOKUP($A165,Customer_Data!$A$1:$R$161,4,TRUE)</f>
        <v>#N/A</v>
      </c>
      <c r="D165" t="e">
        <f>VLOOKUP($A165,Customer_Data!$A$1:$R$161,5,TRUE)</f>
        <v>#N/A</v>
      </c>
      <c r="E165" t="e">
        <f>VLOOKUP($A165,Customer_Data!$A$1:$R$161,6,TRUE)</f>
        <v>#N/A</v>
      </c>
      <c r="F165" s="207">
        <f>Applications!B166</f>
        <v>0</v>
      </c>
      <c r="G165" s="207">
        <f>Applications!E166</f>
        <v>0</v>
      </c>
      <c r="H165" t="str">
        <f>Applications!F166</f>
        <v/>
      </c>
      <c r="I165" s="207">
        <f>Applications!G166</f>
        <v>0</v>
      </c>
      <c r="J165" t="str">
        <f>Applications!H166</f>
        <v/>
      </c>
      <c r="L165" t="str">
        <f>Applications!J166</f>
        <v/>
      </c>
      <c r="M165" t="e">
        <f>Applications!K166</f>
        <v>#N/A</v>
      </c>
      <c r="N165" t="e">
        <f>Applications!L166</f>
        <v>#N/A</v>
      </c>
      <c r="O165" t="e">
        <f>Applications!M166</f>
        <v>#N/A</v>
      </c>
      <c r="P165" t="str">
        <f>Applications!N166</f>
        <v/>
      </c>
      <c r="Q165" t="e">
        <f>Applications!O166</f>
        <v>#N/A</v>
      </c>
      <c r="R165" t="e">
        <f>Applications!P166</f>
        <v>#N/A</v>
      </c>
      <c r="S165" t="e">
        <f>Applications!Q166</f>
        <v>#N/A</v>
      </c>
      <c r="T165" t="str">
        <f>Applications!R166</f>
        <v/>
      </c>
      <c r="U165" t="e">
        <f>Applications!S166</f>
        <v>#N/A</v>
      </c>
      <c r="V165" t="e">
        <f>Applications!T166</f>
        <v>#N/A</v>
      </c>
      <c r="W165" t="e">
        <f>Applications!U166</f>
        <v>#N/A</v>
      </c>
      <c r="X165" t="b">
        <f>Applications!V166</f>
        <v>0</v>
      </c>
      <c r="Y165" t="e">
        <f>Applications!W166</f>
        <v>#N/A</v>
      </c>
      <c r="Z165" t="e">
        <f>Applications!X166</f>
        <v>#N/A</v>
      </c>
      <c r="AA165" t="e">
        <f>Applications!Y166</f>
        <v>#N/A</v>
      </c>
      <c r="AB165">
        <f>Applications!Z166</f>
        <v>0</v>
      </c>
      <c r="AC165">
        <f>Applications!AA166</f>
        <v>0</v>
      </c>
      <c r="AD165">
        <f>Applications!AB166</f>
        <v>0</v>
      </c>
      <c r="AE165">
        <f>Applications!AC166</f>
        <v>0</v>
      </c>
    </row>
    <row r="166" spans="1:31">
      <c r="A166">
        <f>Applications!A167</f>
        <v>0</v>
      </c>
      <c r="B166" t="e">
        <f>VLOOKUP($A166,Customer_Data!$A$1:$R$161,3,TRUE)</f>
        <v>#N/A</v>
      </c>
      <c r="C166" t="e">
        <f>VLOOKUP($A166,Customer_Data!$A$1:$R$161,4,TRUE)</f>
        <v>#N/A</v>
      </c>
      <c r="D166" t="e">
        <f>VLOOKUP($A166,Customer_Data!$A$1:$R$161,5,TRUE)</f>
        <v>#N/A</v>
      </c>
      <c r="E166" t="e">
        <f>VLOOKUP($A166,Customer_Data!$A$1:$R$161,6,TRUE)</f>
        <v>#N/A</v>
      </c>
      <c r="F166" s="207">
        <f>Applications!B167</f>
        <v>0</v>
      </c>
      <c r="G166" s="207">
        <f>Applications!E167</f>
        <v>0</v>
      </c>
      <c r="H166" t="str">
        <f>Applications!F167</f>
        <v/>
      </c>
      <c r="I166" s="207">
        <f>Applications!G167</f>
        <v>0</v>
      </c>
      <c r="J166" t="str">
        <f>Applications!H167</f>
        <v/>
      </c>
      <c r="L166" t="str">
        <f>Applications!J167</f>
        <v/>
      </c>
      <c r="M166" t="e">
        <f>Applications!K167</f>
        <v>#N/A</v>
      </c>
      <c r="N166" t="e">
        <f>Applications!L167</f>
        <v>#N/A</v>
      </c>
      <c r="O166" t="e">
        <f>Applications!M167</f>
        <v>#N/A</v>
      </c>
      <c r="P166" t="str">
        <f>Applications!N167</f>
        <v/>
      </c>
      <c r="Q166" t="e">
        <f>Applications!O167</f>
        <v>#N/A</v>
      </c>
      <c r="R166" t="e">
        <f>Applications!P167</f>
        <v>#N/A</v>
      </c>
      <c r="S166" t="e">
        <f>Applications!Q167</f>
        <v>#N/A</v>
      </c>
      <c r="T166" t="str">
        <f>Applications!R167</f>
        <v/>
      </c>
      <c r="U166" t="e">
        <f>Applications!S167</f>
        <v>#N/A</v>
      </c>
      <c r="V166" t="e">
        <f>Applications!T167</f>
        <v>#N/A</v>
      </c>
      <c r="W166" t="e">
        <f>Applications!U167</f>
        <v>#N/A</v>
      </c>
      <c r="X166" t="b">
        <f>Applications!V167</f>
        <v>0</v>
      </c>
      <c r="Y166" t="e">
        <f>Applications!W167</f>
        <v>#N/A</v>
      </c>
      <c r="Z166" t="e">
        <f>Applications!X167</f>
        <v>#N/A</v>
      </c>
      <c r="AA166" t="e">
        <f>Applications!Y167</f>
        <v>#N/A</v>
      </c>
      <c r="AB166">
        <f>Applications!Z167</f>
        <v>0</v>
      </c>
      <c r="AC166">
        <f>Applications!AA167</f>
        <v>0</v>
      </c>
      <c r="AD166">
        <f>Applications!AB167</f>
        <v>0</v>
      </c>
      <c r="AE166">
        <f>Applications!AC167</f>
        <v>0</v>
      </c>
    </row>
    <row r="167" spans="1:31">
      <c r="A167">
        <f>Applications!A168</f>
        <v>0</v>
      </c>
      <c r="B167" t="e">
        <f>VLOOKUP($A167,Customer_Data!$A$1:$R$161,3,TRUE)</f>
        <v>#N/A</v>
      </c>
      <c r="C167" t="e">
        <f>VLOOKUP($A167,Customer_Data!$A$1:$R$161,4,TRUE)</f>
        <v>#N/A</v>
      </c>
      <c r="D167" t="e">
        <f>VLOOKUP($A167,Customer_Data!$A$1:$R$161,5,TRUE)</f>
        <v>#N/A</v>
      </c>
      <c r="E167" t="e">
        <f>VLOOKUP($A167,Customer_Data!$A$1:$R$161,6,TRUE)</f>
        <v>#N/A</v>
      </c>
      <c r="F167" s="207">
        <f>Applications!B168</f>
        <v>0</v>
      </c>
      <c r="G167" s="207">
        <f>Applications!E168</f>
        <v>0</v>
      </c>
      <c r="H167" t="str">
        <f>Applications!F168</f>
        <v/>
      </c>
      <c r="I167" s="207">
        <f>Applications!G168</f>
        <v>0</v>
      </c>
      <c r="J167" t="str">
        <f>Applications!H168</f>
        <v/>
      </c>
      <c r="L167" t="str">
        <f>Applications!J168</f>
        <v/>
      </c>
      <c r="M167" t="e">
        <f>Applications!K168</f>
        <v>#N/A</v>
      </c>
      <c r="N167" t="e">
        <f>Applications!L168</f>
        <v>#N/A</v>
      </c>
      <c r="O167" t="e">
        <f>Applications!M168</f>
        <v>#N/A</v>
      </c>
      <c r="P167" t="str">
        <f>Applications!N168</f>
        <v/>
      </c>
      <c r="Q167" t="e">
        <f>Applications!O168</f>
        <v>#N/A</v>
      </c>
      <c r="R167" t="e">
        <f>Applications!P168</f>
        <v>#N/A</v>
      </c>
      <c r="S167" t="e">
        <f>Applications!Q168</f>
        <v>#N/A</v>
      </c>
      <c r="T167" t="str">
        <f>Applications!R168</f>
        <v/>
      </c>
      <c r="U167" t="e">
        <f>Applications!S168</f>
        <v>#N/A</v>
      </c>
      <c r="V167" t="e">
        <f>Applications!T168</f>
        <v>#N/A</v>
      </c>
      <c r="W167" t="e">
        <f>Applications!U168</f>
        <v>#N/A</v>
      </c>
      <c r="X167" t="b">
        <f>Applications!V168</f>
        <v>0</v>
      </c>
      <c r="Y167" t="e">
        <f>Applications!W168</f>
        <v>#N/A</v>
      </c>
      <c r="Z167" t="e">
        <f>Applications!X168</f>
        <v>#N/A</v>
      </c>
      <c r="AA167" t="e">
        <f>Applications!Y168</f>
        <v>#N/A</v>
      </c>
      <c r="AB167">
        <f>Applications!Z168</f>
        <v>0</v>
      </c>
      <c r="AC167">
        <f>Applications!AA168</f>
        <v>0</v>
      </c>
      <c r="AD167">
        <f>Applications!AB168</f>
        <v>0</v>
      </c>
      <c r="AE167">
        <f>Applications!AC168</f>
        <v>0</v>
      </c>
    </row>
    <row r="168" spans="1:31">
      <c r="A168">
        <f>Applications!A169</f>
        <v>0</v>
      </c>
      <c r="B168" t="e">
        <f>VLOOKUP($A168,Customer_Data!$A$1:$R$161,3,TRUE)</f>
        <v>#N/A</v>
      </c>
      <c r="C168" t="e">
        <f>VLOOKUP($A168,Customer_Data!$A$1:$R$161,4,TRUE)</f>
        <v>#N/A</v>
      </c>
      <c r="D168" t="e">
        <f>VLOOKUP($A168,Customer_Data!$A$1:$R$161,5,TRUE)</f>
        <v>#N/A</v>
      </c>
      <c r="E168" t="e">
        <f>VLOOKUP($A168,Customer_Data!$A$1:$R$161,6,TRUE)</f>
        <v>#N/A</v>
      </c>
      <c r="F168" s="207">
        <f>Applications!B169</f>
        <v>0</v>
      </c>
      <c r="G168" s="207">
        <f>Applications!E169</f>
        <v>0</v>
      </c>
      <c r="H168" t="str">
        <f>Applications!F169</f>
        <v/>
      </c>
      <c r="I168" s="207">
        <f>Applications!G169</f>
        <v>0</v>
      </c>
      <c r="J168" t="str">
        <f>Applications!H169</f>
        <v/>
      </c>
      <c r="L168" t="str">
        <f>Applications!J169</f>
        <v/>
      </c>
      <c r="M168" t="e">
        <f>Applications!K169</f>
        <v>#N/A</v>
      </c>
      <c r="N168" t="e">
        <f>Applications!L169</f>
        <v>#N/A</v>
      </c>
      <c r="O168" t="e">
        <f>Applications!M169</f>
        <v>#N/A</v>
      </c>
      <c r="P168" t="str">
        <f>Applications!N169</f>
        <v/>
      </c>
      <c r="Q168" t="e">
        <f>Applications!O169</f>
        <v>#N/A</v>
      </c>
      <c r="R168" t="e">
        <f>Applications!P169</f>
        <v>#N/A</v>
      </c>
      <c r="S168" t="e">
        <f>Applications!Q169</f>
        <v>#N/A</v>
      </c>
      <c r="T168" t="str">
        <f>Applications!R169</f>
        <v/>
      </c>
      <c r="U168" t="e">
        <f>Applications!S169</f>
        <v>#N/A</v>
      </c>
      <c r="V168" t="e">
        <f>Applications!T169</f>
        <v>#N/A</v>
      </c>
      <c r="W168" t="e">
        <f>Applications!U169</f>
        <v>#N/A</v>
      </c>
      <c r="X168" t="b">
        <f>Applications!V169</f>
        <v>0</v>
      </c>
      <c r="Y168" t="e">
        <f>Applications!W169</f>
        <v>#N/A</v>
      </c>
      <c r="Z168" t="e">
        <f>Applications!X169</f>
        <v>#N/A</v>
      </c>
      <c r="AA168" t="e">
        <f>Applications!Y169</f>
        <v>#N/A</v>
      </c>
      <c r="AB168">
        <f>Applications!Z169</f>
        <v>0</v>
      </c>
      <c r="AC168">
        <f>Applications!AA169</f>
        <v>0</v>
      </c>
      <c r="AD168">
        <f>Applications!AB169</f>
        <v>0</v>
      </c>
      <c r="AE168">
        <f>Applications!AC169</f>
        <v>0</v>
      </c>
    </row>
    <row r="169" spans="1:31">
      <c r="A169">
        <f>Applications!A170</f>
        <v>0</v>
      </c>
      <c r="B169" t="e">
        <f>VLOOKUP($A169,Customer_Data!$A$1:$R$161,3,TRUE)</f>
        <v>#N/A</v>
      </c>
      <c r="C169" t="e">
        <f>VLOOKUP($A169,Customer_Data!$A$1:$R$161,4,TRUE)</f>
        <v>#N/A</v>
      </c>
      <c r="D169" t="e">
        <f>VLOOKUP($A169,Customer_Data!$A$1:$R$161,5,TRUE)</f>
        <v>#N/A</v>
      </c>
      <c r="E169" t="e">
        <f>VLOOKUP($A169,Customer_Data!$A$1:$R$161,6,TRUE)</f>
        <v>#N/A</v>
      </c>
      <c r="F169" s="207">
        <f>Applications!B170</f>
        <v>0</v>
      </c>
      <c r="G169" s="207">
        <f>Applications!E170</f>
        <v>0</v>
      </c>
      <c r="H169" t="str">
        <f>Applications!F170</f>
        <v/>
      </c>
      <c r="I169" s="207">
        <f>Applications!G170</f>
        <v>0</v>
      </c>
      <c r="J169" t="str">
        <f>Applications!H170</f>
        <v/>
      </c>
      <c r="L169" t="str">
        <f>Applications!J170</f>
        <v/>
      </c>
      <c r="M169" t="e">
        <f>Applications!K170</f>
        <v>#N/A</v>
      </c>
      <c r="N169" t="e">
        <f>Applications!L170</f>
        <v>#N/A</v>
      </c>
      <c r="O169" t="e">
        <f>Applications!M170</f>
        <v>#N/A</v>
      </c>
      <c r="P169" t="str">
        <f>Applications!N170</f>
        <v/>
      </c>
      <c r="Q169" t="e">
        <f>Applications!O170</f>
        <v>#N/A</v>
      </c>
      <c r="R169" t="e">
        <f>Applications!P170</f>
        <v>#N/A</v>
      </c>
      <c r="S169" t="e">
        <f>Applications!Q170</f>
        <v>#N/A</v>
      </c>
      <c r="T169" t="str">
        <f>Applications!R170</f>
        <v/>
      </c>
      <c r="U169" t="e">
        <f>Applications!S170</f>
        <v>#N/A</v>
      </c>
      <c r="V169" t="e">
        <f>Applications!T170</f>
        <v>#N/A</v>
      </c>
      <c r="W169" t="e">
        <f>Applications!U170</f>
        <v>#N/A</v>
      </c>
      <c r="X169" t="b">
        <f>Applications!V170</f>
        <v>0</v>
      </c>
      <c r="Y169" t="e">
        <f>Applications!W170</f>
        <v>#N/A</v>
      </c>
      <c r="Z169" t="e">
        <f>Applications!X170</f>
        <v>#N/A</v>
      </c>
      <c r="AA169" t="e">
        <f>Applications!Y170</f>
        <v>#N/A</v>
      </c>
      <c r="AB169">
        <f>Applications!Z170</f>
        <v>0</v>
      </c>
      <c r="AC169">
        <f>Applications!AA170</f>
        <v>0</v>
      </c>
      <c r="AD169">
        <f>Applications!AB170</f>
        <v>0</v>
      </c>
      <c r="AE169">
        <f>Applications!AC170</f>
        <v>0</v>
      </c>
    </row>
    <row r="170" spans="1:31">
      <c r="A170">
        <f>Applications!A171</f>
        <v>0</v>
      </c>
      <c r="B170" t="e">
        <f>VLOOKUP($A170,Customer_Data!$A$1:$R$161,3,TRUE)</f>
        <v>#N/A</v>
      </c>
      <c r="C170" t="e">
        <f>VLOOKUP($A170,Customer_Data!$A$1:$R$161,4,TRUE)</f>
        <v>#N/A</v>
      </c>
      <c r="D170" t="e">
        <f>VLOOKUP($A170,Customer_Data!$A$1:$R$161,5,TRUE)</f>
        <v>#N/A</v>
      </c>
      <c r="E170" t="e">
        <f>VLOOKUP($A170,Customer_Data!$A$1:$R$161,6,TRUE)</f>
        <v>#N/A</v>
      </c>
      <c r="F170" s="207">
        <f>Applications!B171</f>
        <v>0</v>
      </c>
      <c r="G170" s="207">
        <f>Applications!E171</f>
        <v>0</v>
      </c>
      <c r="H170" t="str">
        <f>Applications!F171</f>
        <v/>
      </c>
      <c r="I170" s="207">
        <f>Applications!G171</f>
        <v>0</v>
      </c>
      <c r="J170" t="str">
        <f>Applications!H171</f>
        <v/>
      </c>
      <c r="L170" t="str">
        <f>Applications!J171</f>
        <v/>
      </c>
      <c r="M170" t="e">
        <f>Applications!K171</f>
        <v>#N/A</v>
      </c>
      <c r="N170" t="e">
        <f>Applications!L171</f>
        <v>#N/A</v>
      </c>
      <c r="O170" t="e">
        <f>Applications!M171</f>
        <v>#N/A</v>
      </c>
      <c r="P170" t="str">
        <f>Applications!N171</f>
        <v/>
      </c>
      <c r="Q170" t="e">
        <f>Applications!O171</f>
        <v>#N/A</v>
      </c>
      <c r="R170" t="e">
        <f>Applications!P171</f>
        <v>#N/A</v>
      </c>
      <c r="S170" t="e">
        <f>Applications!Q171</f>
        <v>#N/A</v>
      </c>
      <c r="T170" t="str">
        <f>Applications!R171</f>
        <v/>
      </c>
      <c r="U170" t="e">
        <f>Applications!S171</f>
        <v>#N/A</v>
      </c>
      <c r="V170" t="e">
        <f>Applications!T171</f>
        <v>#N/A</v>
      </c>
      <c r="W170" t="e">
        <f>Applications!U171</f>
        <v>#N/A</v>
      </c>
      <c r="X170" t="b">
        <f>Applications!V171</f>
        <v>0</v>
      </c>
      <c r="Y170" t="e">
        <f>Applications!W171</f>
        <v>#N/A</v>
      </c>
      <c r="Z170" t="e">
        <f>Applications!X171</f>
        <v>#N/A</v>
      </c>
      <c r="AA170" t="e">
        <f>Applications!Y171</f>
        <v>#N/A</v>
      </c>
      <c r="AB170">
        <f>Applications!Z171</f>
        <v>0</v>
      </c>
      <c r="AC170">
        <f>Applications!AA171</f>
        <v>0</v>
      </c>
      <c r="AD170">
        <f>Applications!AB171</f>
        <v>0</v>
      </c>
      <c r="AE170">
        <f>Applications!AC171</f>
        <v>0</v>
      </c>
    </row>
    <row r="171" spans="1:31">
      <c r="A171">
        <f>Applications!A172</f>
        <v>0</v>
      </c>
      <c r="B171" t="e">
        <f>VLOOKUP($A171,Customer_Data!$A$1:$R$161,3,TRUE)</f>
        <v>#N/A</v>
      </c>
      <c r="C171" t="e">
        <f>VLOOKUP($A171,Customer_Data!$A$1:$R$161,4,TRUE)</f>
        <v>#N/A</v>
      </c>
      <c r="D171" t="e">
        <f>VLOOKUP($A171,Customer_Data!$A$1:$R$161,5,TRUE)</f>
        <v>#N/A</v>
      </c>
      <c r="E171" t="e">
        <f>VLOOKUP($A171,Customer_Data!$A$1:$R$161,6,TRUE)</f>
        <v>#N/A</v>
      </c>
      <c r="F171" s="207">
        <f>Applications!B172</f>
        <v>0</v>
      </c>
      <c r="G171" s="207">
        <f>Applications!E172</f>
        <v>0</v>
      </c>
      <c r="H171" t="str">
        <f>Applications!F172</f>
        <v/>
      </c>
      <c r="I171" s="207">
        <f>Applications!G172</f>
        <v>0</v>
      </c>
      <c r="J171" t="str">
        <f>Applications!H172</f>
        <v/>
      </c>
      <c r="L171" t="str">
        <f>Applications!J172</f>
        <v/>
      </c>
      <c r="M171" t="e">
        <f>Applications!K172</f>
        <v>#N/A</v>
      </c>
      <c r="N171" t="e">
        <f>Applications!L172</f>
        <v>#N/A</v>
      </c>
      <c r="O171" t="e">
        <f>Applications!M172</f>
        <v>#N/A</v>
      </c>
      <c r="P171" t="str">
        <f>Applications!N172</f>
        <v/>
      </c>
      <c r="Q171" t="e">
        <f>Applications!O172</f>
        <v>#N/A</v>
      </c>
      <c r="R171" t="e">
        <f>Applications!P172</f>
        <v>#N/A</v>
      </c>
      <c r="S171" t="e">
        <f>Applications!Q172</f>
        <v>#N/A</v>
      </c>
      <c r="T171" t="str">
        <f>Applications!R172</f>
        <v/>
      </c>
      <c r="U171" t="e">
        <f>Applications!S172</f>
        <v>#N/A</v>
      </c>
      <c r="V171" t="e">
        <f>Applications!T172</f>
        <v>#N/A</v>
      </c>
      <c r="W171" t="e">
        <f>Applications!U172</f>
        <v>#N/A</v>
      </c>
      <c r="X171" t="b">
        <f>Applications!V172</f>
        <v>0</v>
      </c>
      <c r="Y171" t="e">
        <f>Applications!W172</f>
        <v>#N/A</v>
      </c>
      <c r="Z171" t="e">
        <f>Applications!X172</f>
        <v>#N/A</v>
      </c>
      <c r="AA171" t="e">
        <f>Applications!Y172</f>
        <v>#N/A</v>
      </c>
      <c r="AB171">
        <f>Applications!Z172</f>
        <v>0</v>
      </c>
      <c r="AC171">
        <f>Applications!AA172</f>
        <v>0</v>
      </c>
      <c r="AD171">
        <f>Applications!AB172</f>
        <v>0</v>
      </c>
      <c r="AE171">
        <f>Applications!AC172</f>
        <v>0</v>
      </c>
    </row>
    <row r="172" spans="1:31">
      <c r="A172">
        <f>Applications!A173</f>
        <v>0</v>
      </c>
      <c r="B172" t="e">
        <f>VLOOKUP($A172,Customer_Data!$A$1:$R$161,3,TRUE)</f>
        <v>#N/A</v>
      </c>
      <c r="C172" t="e">
        <f>VLOOKUP($A172,Customer_Data!$A$1:$R$161,4,TRUE)</f>
        <v>#N/A</v>
      </c>
      <c r="D172" t="e">
        <f>VLOOKUP($A172,Customer_Data!$A$1:$R$161,5,TRUE)</f>
        <v>#N/A</v>
      </c>
      <c r="E172" t="e">
        <f>VLOOKUP($A172,Customer_Data!$A$1:$R$161,6,TRUE)</f>
        <v>#N/A</v>
      </c>
      <c r="F172" s="207">
        <f>Applications!B173</f>
        <v>0</v>
      </c>
      <c r="G172" s="207">
        <f>Applications!E173</f>
        <v>0</v>
      </c>
      <c r="H172" t="str">
        <f>Applications!F173</f>
        <v/>
      </c>
      <c r="I172" s="207">
        <f>Applications!G173</f>
        <v>0</v>
      </c>
      <c r="J172" t="str">
        <f>Applications!H173</f>
        <v/>
      </c>
      <c r="L172" t="str">
        <f>Applications!J173</f>
        <v/>
      </c>
      <c r="M172" t="e">
        <f>Applications!K173</f>
        <v>#N/A</v>
      </c>
      <c r="N172" t="e">
        <f>Applications!L173</f>
        <v>#N/A</v>
      </c>
      <c r="O172" t="e">
        <f>Applications!M173</f>
        <v>#N/A</v>
      </c>
      <c r="P172" t="str">
        <f>Applications!N173</f>
        <v/>
      </c>
      <c r="Q172" t="e">
        <f>Applications!O173</f>
        <v>#N/A</v>
      </c>
      <c r="R172" t="e">
        <f>Applications!P173</f>
        <v>#N/A</v>
      </c>
      <c r="S172" t="e">
        <f>Applications!Q173</f>
        <v>#N/A</v>
      </c>
      <c r="T172" t="str">
        <f>Applications!R173</f>
        <v/>
      </c>
      <c r="U172" t="e">
        <f>Applications!S173</f>
        <v>#N/A</v>
      </c>
      <c r="V172" t="e">
        <f>Applications!T173</f>
        <v>#N/A</v>
      </c>
      <c r="W172" t="e">
        <f>Applications!U173</f>
        <v>#N/A</v>
      </c>
      <c r="X172" t="b">
        <f>Applications!V173</f>
        <v>0</v>
      </c>
      <c r="Y172" t="e">
        <f>Applications!W173</f>
        <v>#N/A</v>
      </c>
      <c r="Z172" t="e">
        <f>Applications!X173</f>
        <v>#N/A</v>
      </c>
      <c r="AA172" t="e">
        <f>Applications!Y173</f>
        <v>#N/A</v>
      </c>
      <c r="AB172">
        <f>Applications!Z173</f>
        <v>0</v>
      </c>
      <c r="AC172">
        <f>Applications!AA173</f>
        <v>0</v>
      </c>
      <c r="AD172">
        <f>Applications!AB173</f>
        <v>0</v>
      </c>
      <c r="AE172">
        <f>Applications!AC173</f>
        <v>0</v>
      </c>
    </row>
    <row r="173" spans="1:31">
      <c r="A173">
        <f>Applications!A174</f>
        <v>0</v>
      </c>
      <c r="B173" t="e">
        <f>VLOOKUP($A173,Customer_Data!$A$1:$R$161,3,TRUE)</f>
        <v>#N/A</v>
      </c>
      <c r="C173" t="e">
        <f>VLOOKUP($A173,Customer_Data!$A$1:$R$161,4,TRUE)</f>
        <v>#N/A</v>
      </c>
      <c r="D173" t="e">
        <f>VLOOKUP($A173,Customer_Data!$A$1:$R$161,5,TRUE)</f>
        <v>#N/A</v>
      </c>
      <c r="E173" t="e">
        <f>VLOOKUP($A173,Customer_Data!$A$1:$R$161,6,TRUE)</f>
        <v>#N/A</v>
      </c>
      <c r="F173" s="207">
        <f>Applications!B174</f>
        <v>0</v>
      </c>
      <c r="G173" s="207">
        <f>Applications!E174</f>
        <v>0</v>
      </c>
      <c r="H173" t="str">
        <f>Applications!F174</f>
        <v/>
      </c>
      <c r="I173" s="207">
        <f>Applications!G174</f>
        <v>0</v>
      </c>
      <c r="J173" t="str">
        <f>Applications!H174</f>
        <v/>
      </c>
      <c r="L173" t="str">
        <f>Applications!J174</f>
        <v/>
      </c>
      <c r="M173" t="e">
        <f>Applications!K174</f>
        <v>#N/A</v>
      </c>
      <c r="N173" t="e">
        <f>Applications!L174</f>
        <v>#N/A</v>
      </c>
      <c r="O173" t="e">
        <f>Applications!M174</f>
        <v>#N/A</v>
      </c>
      <c r="P173" t="str">
        <f>Applications!N174</f>
        <v/>
      </c>
      <c r="Q173" t="e">
        <f>Applications!O174</f>
        <v>#N/A</v>
      </c>
      <c r="R173" t="e">
        <f>Applications!P174</f>
        <v>#N/A</v>
      </c>
      <c r="S173" t="e">
        <f>Applications!Q174</f>
        <v>#N/A</v>
      </c>
      <c r="T173" t="str">
        <f>Applications!R174</f>
        <v/>
      </c>
      <c r="U173" t="e">
        <f>Applications!S174</f>
        <v>#N/A</v>
      </c>
      <c r="V173" t="e">
        <f>Applications!T174</f>
        <v>#N/A</v>
      </c>
      <c r="W173" t="e">
        <f>Applications!U174</f>
        <v>#N/A</v>
      </c>
      <c r="X173" t="b">
        <f>Applications!V174</f>
        <v>0</v>
      </c>
      <c r="Y173" t="e">
        <f>Applications!W174</f>
        <v>#N/A</v>
      </c>
      <c r="Z173" t="e">
        <f>Applications!X174</f>
        <v>#N/A</v>
      </c>
      <c r="AA173" t="e">
        <f>Applications!Y174</f>
        <v>#N/A</v>
      </c>
      <c r="AB173">
        <f>Applications!Z174</f>
        <v>0</v>
      </c>
      <c r="AC173">
        <f>Applications!AA174</f>
        <v>0</v>
      </c>
      <c r="AD173">
        <f>Applications!AB174</f>
        <v>0</v>
      </c>
      <c r="AE173">
        <f>Applications!AC174</f>
        <v>0</v>
      </c>
    </row>
    <row r="174" spans="1:31">
      <c r="A174">
        <f>Applications!A175</f>
        <v>0</v>
      </c>
      <c r="B174" t="e">
        <f>VLOOKUP($A174,Customer_Data!$A$1:$R$161,3,TRUE)</f>
        <v>#N/A</v>
      </c>
      <c r="C174" t="e">
        <f>VLOOKUP($A174,Customer_Data!$A$1:$R$161,4,TRUE)</f>
        <v>#N/A</v>
      </c>
      <c r="D174" t="e">
        <f>VLOOKUP($A174,Customer_Data!$A$1:$R$161,5,TRUE)</f>
        <v>#N/A</v>
      </c>
      <c r="E174" t="e">
        <f>VLOOKUP($A174,Customer_Data!$A$1:$R$161,6,TRUE)</f>
        <v>#N/A</v>
      </c>
      <c r="F174" s="207">
        <f>Applications!B175</f>
        <v>0</v>
      </c>
      <c r="G174" s="207">
        <f>Applications!E175</f>
        <v>0</v>
      </c>
      <c r="H174" t="str">
        <f>Applications!F175</f>
        <v/>
      </c>
      <c r="I174" s="207">
        <f>Applications!G175</f>
        <v>0</v>
      </c>
      <c r="J174" t="str">
        <f>Applications!H175</f>
        <v/>
      </c>
      <c r="L174" t="str">
        <f>Applications!J175</f>
        <v/>
      </c>
      <c r="M174" t="e">
        <f>Applications!K175</f>
        <v>#N/A</v>
      </c>
      <c r="N174" t="e">
        <f>Applications!L175</f>
        <v>#N/A</v>
      </c>
      <c r="O174" t="e">
        <f>Applications!M175</f>
        <v>#N/A</v>
      </c>
      <c r="P174" t="str">
        <f>Applications!N175</f>
        <v/>
      </c>
      <c r="Q174" t="e">
        <f>Applications!O175</f>
        <v>#N/A</v>
      </c>
      <c r="R174" t="e">
        <f>Applications!P175</f>
        <v>#N/A</v>
      </c>
      <c r="S174" t="e">
        <f>Applications!Q175</f>
        <v>#N/A</v>
      </c>
      <c r="T174" t="str">
        <f>Applications!R175</f>
        <v/>
      </c>
      <c r="U174" t="e">
        <f>Applications!S175</f>
        <v>#N/A</v>
      </c>
      <c r="V174" t="e">
        <f>Applications!T175</f>
        <v>#N/A</v>
      </c>
      <c r="W174" t="e">
        <f>Applications!U175</f>
        <v>#N/A</v>
      </c>
      <c r="X174" t="b">
        <f>Applications!V175</f>
        <v>0</v>
      </c>
      <c r="Y174" t="e">
        <f>Applications!W175</f>
        <v>#N/A</v>
      </c>
      <c r="Z174" t="e">
        <f>Applications!X175</f>
        <v>#N/A</v>
      </c>
      <c r="AA174" t="e">
        <f>Applications!Y175</f>
        <v>#N/A</v>
      </c>
      <c r="AB174">
        <f>Applications!Z175</f>
        <v>0</v>
      </c>
      <c r="AC174">
        <f>Applications!AA175</f>
        <v>0</v>
      </c>
      <c r="AD174">
        <f>Applications!AB175</f>
        <v>0</v>
      </c>
      <c r="AE174">
        <f>Applications!AC175</f>
        <v>0</v>
      </c>
    </row>
    <row r="175" spans="1:31">
      <c r="A175">
        <f>Applications!A176</f>
        <v>0</v>
      </c>
      <c r="B175" t="e">
        <f>VLOOKUP($A175,Customer_Data!$A$1:$R$161,3,TRUE)</f>
        <v>#N/A</v>
      </c>
      <c r="C175" t="e">
        <f>VLOOKUP($A175,Customer_Data!$A$1:$R$161,4,TRUE)</f>
        <v>#N/A</v>
      </c>
      <c r="D175" t="e">
        <f>VLOOKUP($A175,Customer_Data!$A$1:$R$161,5,TRUE)</f>
        <v>#N/A</v>
      </c>
      <c r="E175" t="e">
        <f>VLOOKUP($A175,Customer_Data!$A$1:$R$161,6,TRUE)</f>
        <v>#N/A</v>
      </c>
      <c r="F175" s="207">
        <f>Applications!B176</f>
        <v>0</v>
      </c>
      <c r="G175" s="207">
        <f>Applications!E176</f>
        <v>0</v>
      </c>
      <c r="H175" t="str">
        <f>Applications!F176</f>
        <v/>
      </c>
      <c r="I175" s="207">
        <f>Applications!G176</f>
        <v>0</v>
      </c>
      <c r="J175" t="str">
        <f>Applications!H176</f>
        <v/>
      </c>
      <c r="L175" t="str">
        <f>Applications!J176</f>
        <v/>
      </c>
      <c r="M175" t="e">
        <f>Applications!K176</f>
        <v>#N/A</v>
      </c>
      <c r="N175" t="e">
        <f>Applications!L176</f>
        <v>#N/A</v>
      </c>
      <c r="O175" t="e">
        <f>Applications!M176</f>
        <v>#N/A</v>
      </c>
      <c r="P175" t="str">
        <f>Applications!N176</f>
        <v/>
      </c>
      <c r="Q175" t="e">
        <f>Applications!O176</f>
        <v>#N/A</v>
      </c>
      <c r="R175" t="e">
        <f>Applications!P176</f>
        <v>#N/A</v>
      </c>
      <c r="S175" t="e">
        <f>Applications!Q176</f>
        <v>#N/A</v>
      </c>
      <c r="T175" t="str">
        <f>Applications!R176</f>
        <v/>
      </c>
      <c r="U175" t="e">
        <f>Applications!S176</f>
        <v>#N/A</v>
      </c>
      <c r="V175" t="e">
        <f>Applications!T176</f>
        <v>#N/A</v>
      </c>
      <c r="W175" t="e">
        <f>Applications!U176</f>
        <v>#N/A</v>
      </c>
      <c r="X175" t="b">
        <f>Applications!V176</f>
        <v>0</v>
      </c>
      <c r="Y175" t="e">
        <f>Applications!W176</f>
        <v>#N/A</v>
      </c>
      <c r="Z175" t="e">
        <f>Applications!X176</f>
        <v>#N/A</v>
      </c>
      <c r="AA175" t="e">
        <f>Applications!Y176</f>
        <v>#N/A</v>
      </c>
      <c r="AB175">
        <f>Applications!Z176</f>
        <v>0</v>
      </c>
      <c r="AC175">
        <f>Applications!AA176</f>
        <v>0</v>
      </c>
      <c r="AD175">
        <f>Applications!AB176</f>
        <v>0</v>
      </c>
      <c r="AE175">
        <f>Applications!AC176</f>
        <v>0</v>
      </c>
    </row>
    <row r="176" spans="1:31">
      <c r="A176">
        <f>Applications!A177</f>
        <v>0</v>
      </c>
      <c r="B176" t="e">
        <f>VLOOKUP($A176,Customer_Data!$A$1:$R$161,3,TRUE)</f>
        <v>#N/A</v>
      </c>
      <c r="C176" t="e">
        <f>VLOOKUP($A176,Customer_Data!$A$1:$R$161,4,TRUE)</f>
        <v>#N/A</v>
      </c>
      <c r="D176" t="e">
        <f>VLOOKUP($A176,Customer_Data!$A$1:$R$161,5,TRUE)</f>
        <v>#N/A</v>
      </c>
      <c r="E176" t="e">
        <f>VLOOKUP($A176,Customer_Data!$A$1:$R$161,6,TRUE)</f>
        <v>#N/A</v>
      </c>
      <c r="F176" s="207">
        <f>Applications!B177</f>
        <v>0</v>
      </c>
      <c r="G176" s="207">
        <f>Applications!E177</f>
        <v>0</v>
      </c>
      <c r="H176" t="str">
        <f>Applications!F177</f>
        <v/>
      </c>
      <c r="I176" s="207">
        <f>Applications!G177</f>
        <v>0</v>
      </c>
      <c r="J176" t="str">
        <f>Applications!H177</f>
        <v/>
      </c>
      <c r="L176" t="str">
        <f>Applications!J177</f>
        <v/>
      </c>
      <c r="M176" t="e">
        <f>Applications!K177</f>
        <v>#N/A</v>
      </c>
      <c r="N176" t="e">
        <f>Applications!L177</f>
        <v>#N/A</v>
      </c>
      <c r="O176" t="e">
        <f>Applications!M177</f>
        <v>#N/A</v>
      </c>
      <c r="P176" t="str">
        <f>Applications!N177</f>
        <v/>
      </c>
      <c r="Q176" t="e">
        <f>Applications!O177</f>
        <v>#N/A</v>
      </c>
      <c r="R176" t="e">
        <f>Applications!P177</f>
        <v>#N/A</v>
      </c>
      <c r="S176" t="e">
        <f>Applications!Q177</f>
        <v>#N/A</v>
      </c>
      <c r="T176" t="str">
        <f>Applications!R177</f>
        <v/>
      </c>
      <c r="U176" t="e">
        <f>Applications!S177</f>
        <v>#N/A</v>
      </c>
      <c r="V176" t="e">
        <f>Applications!T177</f>
        <v>#N/A</v>
      </c>
      <c r="W176" t="e">
        <f>Applications!U177</f>
        <v>#N/A</v>
      </c>
      <c r="X176" t="b">
        <f>Applications!V177</f>
        <v>0</v>
      </c>
      <c r="Y176" t="e">
        <f>Applications!W177</f>
        <v>#N/A</v>
      </c>
      <c r="Z176" t="e">
        <f>Applications!X177</f>
        <v>#N/A</v>
      </c>
      <c r="AA176" t="e">
        <f>Applications!Y177</f>
        <v>#N/A</v>
      </c>
      <c r="AB176">
        <f>Applications!Z177</f>
        <v>0</v>
      </c>
      <c r="AC176">
        <f>Applications!AA177</f>
        <v>0</v>
      </c>
      <c r="AD176">
        <f>Applications!AB177</f>
        <v>0</v>
      </c>
      <c r="AE176">
        <f>Applications!AC177</f>
        <v>0</v>
      </c>
    </row>
    <row r="177" spans="1:31">
      <c r="A177">
        <f>Applications!A178</f>
        <v>0</v>
      </c>
      <c r="B177" t="e">
        <f>VLOOKUP($A177,Customer_Data!$A$1:$R$161,3,TRUE)</f>
        <v>#N/A</v>
      </c>
      <c r="C177" t="e">
        <f>VLOOKUP($A177,Customer_Data!$A$1:$R$161,4,TRUE)</f>
        <v>#N/A</v>
      </c>
      <c r="D177" t="e">
        <f>VLOOKUP($A177,Customer_Data!$A$1:$R$161,5,TRUE)</f>
        <v>#N/A</v>
      </c>
      <c r="E177" t="e">
        <f>VLOOKUP($A177,Customer_Data!$A$1:$R$161,6,TRUE)</f>
        <v>#N/A</v>
      </c>
      <c r="F177" s="207">
        <f>Applications!B178</f>
        <v>0</v>
      </c>
      <c r="G177" s="207">
        <f>Applications!E178</f>
        <v>0</v>
      </c>
      <c r="H177" t="str">
        <f>Applications!F178</f>
        <v/>
      </c>
      <c r="I177" s="207">
        <f>Applications!G178</f>
        <v>0</v>
      </c>
      <c r="J177" t="str">
        <f>Applications!H178</f>
        <v/>
      </c>
      <c r="L177" t="str">
        <f>Applications!J178</f>
        <v/>
      </c>
      <c r="M177" t="e">
        <f>Applications!K178</f>
        <v>#N/A</v>
      </c>
      <c r="N177" t="e">
        <f>Applications!L178</f>
        <v>#N/A</v>
      </c>
      <c r="O177" t="e">
        <f>Applications!M178</f>
        <v>#N/A</v>
      </c>
      <c r="P177" t="str">
        <f>Applications!N178</f>
        <v/>
      </c>
      <c r="Q177" t="e">
        <f>Applications!O178</f>
        <v>#N/A</v>
      </c>
      <c r="R177" t="e">
        <f>Applications!P178</f>
        <v>#N/A</v>
      </c>
      <c r="S177" t="e">
        <f>Applications!Q178</f>
        <v>#N/A</v>
      </c>
      <c r="T177" t="str">
        <f>Applications!R178</f>
        <v/>
      </c>
      <c r="U177" t="e">
        <f>Applications!S178</f>
        <v>#N/A</v>
      </c>
      <c r="V177" t="e">
        <f>Applications!T178</f>
        <v>#N/A</v>
      </c>
      <c r="W177" t="e">
        <f>Applications!U178</f>
        <v>#N/A</v>
      </c>
      <c r="X177" t="b">
        <f>Applications!V178</f>
        <v>0</v>
      </c>
      <c r="Y177" t="e">
        <f>Applications!W178</f>
        <v>#N/A</v>
      </c>
      <c r="Z177" t="e">
        <f>Applications!X178</f>
        <v>#N/A</v>
      </c>
      <c r="AA177" t="e">
        <f>Applications!Y178</f>
        <v>#N/A</v>
      </c>
      <c r="AB177">
        <f>Applications!Z178</f>
        <v>0</v>
      </c>
      <c r="AC177">
        <f>Applications!AA178</f>
        <v>0</v>
      </c>
      <c r="AD177">
        <f>Applications!AB178</f>
        <v>0</v>
      </c>
      <c r="AE177">
        <f>Applications!AC178</f>
        <v>0</v>
      </c>
    </row>
    <row r="178" spans="1:31">
      <c r="A178">
        <f>Applications!A179</f>
        <v>0</v>
      </c>
      <c r="B178" t="e">
        <f>VLOOKUP($A178,Customer_Data!$A$1:$R$161,3,TRUE)</f>
        <v>#N/A</v>
      </c>
      <c r="C178" t="e">
        <f>VLOOKUP($A178,Customer_Data!$A$1:$R$161,4,TRUE)</f>
        <v>#N/A</v>
      </c>
      <c r="D178" t="e">
        <f>VLOOKUP($A178,Customer_Data!$A$1:$R$161,5,TRUE)</f>
        <v>#N/A</v>
      </c>
      <c r="E178" t="e">
        <f>VLOOKUP($A178,Customer_Data!$A$1:$R$161,6,TRUE)</f>
        <v>#N/A</v>
      </c>
      <c r="F178" s="207">
        <f>Applications!B179</f>
        <v>0</v>
      </c>
      <c r="G178" s="207">
        <f>Applications!E179</f>
        <v>0</v>
      </c>
      <c r="H178" t="str">
        <f>Applications!F179</f>
        <v/>
      </c>
      <c r="I178" s="207">
        <f>Applications!G179</f>
        <v>0</v>
      </c>
      <c r="J178" t="str">
        <f>Applications!H179</f>
        <v/>
      </c>
      <c r="L178" t="str">
        <f>Applications!J179</f>
        <v/>
      </c>
      <c r="M178" t="e">
        <f>Applications!K179</f>
        <v>#N/A</v>
      </c>
      <c r="N178" t="e">
        <f>Applications!L179</f>
        <v>#N/A</v>
      </c>
      <c r="O178" t="e">
        <f>Applications!M179</f>
        <v>#N/A</v>
      </c>
      <c r="P178" t="str">
        <f>Applications!N179</f>
        <v/>
      </c>
      <c r="Q178" t="e">
        <f>Applications!O179</f>
        <v>#N/A</v>
      </c>
      <c r="R178" t="e">
        <f>Applications!P179</f>
        <v>#N/A</v>
      </c>
      <c r="S178" t="e">
        <f>Applications!Q179</f>
        <v>#N/A</v>
      </c>
      <c r="T178" t="str">
        <f>Applications!R179</f>
        <v/>
      </c>
      <c r="U178" t="e">
        <f>Applications!S179</f>
        <v>#N/A</v>
      </c>
      <c r="V178" t="e">
        <f>Applications!T179</f>
        <v>#N/A</v>
      </c>
      <c r="W178" t="e">
        <f>Applications!U179</f>
        <v>#N/A</v>
      </c>
      <c r="X178" t="b">
        <f>Applications!V179</f>
        <v>0</v>
      </c>
      <c r="Y178" t="e">
        <f>Applications!W179</f>
        <v>#N/A</v>
      </c>
      <c r="Z178" t="e">
        <f>Applications!X179</f>
        <v>#N/A</v>
      </c>
      <c r="AA178" t="e">
        <f>Applications!Y179</f>
        <v>#N/A</v>
      </c>
      <c r="AB178">
        <f>Applications!Z179</f>
        <v>0</v>
      </c>
      <c r="AC178">
        <f>Applications!AA179</f>
        <v>0</v>
      </c>
      <c r="AD178">
        <f>Applications!AB179</f>
        <v>0</v>
      </c>
      <c r="AE178">
        <f>Applications!AC179</f>
        <v>0</v>
      </c>
    </row>
    <row r="179" spans="1:31">
      <c r="A179">
        <f>Applications!A180</f>
        <v>0</v>
      </c>
      <c r="B179" t="e">
        <f>VLOOKUP($A179,Customer_Data!$A$1:$R$161,3,TRUE)</f>
        <v>#N/A</v>
      </c>
      <c r="C179" t="e">
        <f>VLOOKUP($A179,Customer_Data!$A$1:$R$161,4,TRUE)</f>
        <v>#N/A</v>
      </c>
      <c r="D179" t="e">
        <f>VLOOKUP($A179,Customer_Data!$A$1:$R$161,5,TRUE)</f>
        <v>#N/A</v>
      </c>
      <c r="E179" t="e">
        <f>VLOOKUP($A179,Customer_Data!$A$1:$R$161,6,TRUE)</f>
        <v>#N/A</v>
      </c>
      <c r="F179" s="207">
        <f>Applications!B180</f>
        <v>0</v>
      </c>
      <c r="G179" s="207">
        <f>Applications!E180</f>
        <v>0</v>
      </c>
      <c r="H179" t="str">
        <f>Applications!F180</f>
        <v/>
      </c>
      <c r="I179" s="207">
        <f>Applications!G180</f>
        <v>0</v>
      </c>
      <c r="J179" t="str">
        <f>Applications!H180</f>
        <v/>
      </c>
      <c r="L179" t="str">
        <f>Applications!J180</f>
        <v/>
      </c>
      <c r="M179" t="e">
        <f>Applications!K180</f>
        <v>#N/A</v>
      </c>
      <c r="N179" t="e">
        <f>Applications!L180</f>
        <v>#N/A</v>
      </c>
      <c r="O179" t="e">
        <f>Applications!M180</f>
        <v>#N/A</v>
      </c>
      <c r="P179" t="str">
        <f>Applications!N180</f>
        <v/>
      </c>
      <c r="Q179" t="e">
        <f>Applications!O180</f>
        <v>#N/A</v>
      </c>
      <c r="R179" t="e">
        <f>Applications!P180</f>
        <v>#N/A</v>
      </c>
      <c r="S179" t="e">
        <f>Applications!Q180</f>
        <v>#N/A</v>
      </c>
      <c r="T179" t="str">
        <f>Applications!R180</f>
        <v/>
      </c>
      <c r="U179" t="e">
        <f>Applications!S180</f>
        <v>#N/A</v>
      </c>
      <c r="V179" t="e">
        <f>Applications!T180</f>
        <v>#N/A</v>
      </c>
      <c r="W179" t="e">
        <f>Applications!U180</f>
        <v>#N/A</v>
      </c>
      <c r="X179" t="b">
        <f>Applications!V180</f>
        <v>0</v>
      </c>
      <c r="Y179" t="e">
        <f>Applications!W180</f>
        <v>#N/A</v>
      </c>
      <c r="Z179" t="e">
        <f>Applications!X180</f>
        <v>#N/A</v>
      </c>
      <c r="AA179" t="e">
        <f>Applications!Y180</f>
        <v>#N/A</v>
      </c>
      <c r="AB179">
        <f>Applications!Z180</f>
        <v>0</v>
      </c>
      <c r="AC179">
        <f>Applications!AA180</f>
        <v>0</v>
      </c>
      <c r="AD179">
        <f>Applications!AB180</f>
        <v>0</v>
      </c>
      <c r="AE179">
        <f>Applications!AC180</f>
        <v>0</v>
      </c>
    </row>
    <row r="180" spans="1:31">
      <c r="A180">
        <f>Applications!A181</f>
        <v>0</v>
      </c>
      <c r="B180" t="e">
        <f>VLOOKUP($A180,Customer_Data!$A$1:$R$161,3,TRUE)</f>
        <v>#N/A</v>
      </c>
      <c r="C180" t="e">
        <f>VLOOKUP($A180,Customer_Data!$A$1:$R$161,4,TRUE)</f>
        <v>#N/A</v>
      </c>
      <c r="D180" t="e">
        <f>VLOOKUP($A180,Customer_Data!$A$1:$R$161,5,TRUE)</f>
        <v>#N/A</v>
      </c>
      <c r="E180" t="e">
        <f>VLOOKUP($A180,Customer_Data!$A$1:$R$161,6,TRUE)</f>
        <v>#N/A</v>
      </c>
      <c r="F180" s="207">
        <f>Applications!B181</f>
        <v>0</v>
      </c>
      <c r="G180" s="207">
        <f>Applications!E181</f>
        <v>0</v>
      </c>
      <c r="H180" t="str">
        <f>Applications!F181</f>
        <v/>
      </c>
      <c r="I180" s="207">
        <f>Applications!G181</f>
        <v>0</v>
      </c>
      <c r="J180" t="str">
        <f>Applications!H181</f>
        <v/>
      </c>
      <c r="L180" t="str">
        <f>Applications!J181</f>
        <v/>
      </c>
      <c r="M180" t="e">
        <f>Applications!K181</f>
        <v>#N/A</v>
      </c>
      <c r="N180" t="e">
        <f>Applications!L181</f>
        <v>#N/A</v>
      </c>
      <c r="O180" t="e">
        <f>Applications!M181</f>
        <v>#N/A</v>
      </c>
      <c r="P180" t="str">
        <f>Applications!N181</f>
        <v/>
      </c>
      <c r="Q180" t="e">
        <f>Applications!O181</f>
        <v>#N/A</v>
      </c>
      <c r="R180" t="e">
        <f>Applications!P181</f>
        <v>#N/A</v>
      </c>
      <c r="S180" t="e">
        <f>Applications!Q181</f>
        <v>#N/A</v>
      </c>
      <c r="T180" t="str">
        <f>Applications!R181</f>
        <v/>
      </c>
      <c r="U180" t="e">
        <f>Applications!S181</f>
        <v>#N/A</v>
      </c>
      <c r="V180" t="e">
        <f>Applications!T181</f>
        <v>#N/A</v>
      </c>
      <c r="W180" t="e">
        <f>Applications!U181</f>
        <v>#N/A</v>
      </c>
      <c r="X180" t="b">
        <f>Applications!V181</f>
        <v>0</v>
      </c>
      <c r="Y180" t="e">
        <f>Applications!W181</f>
        <v>#N/A</v>
      </c>
      <c r="Z180" t="e">
        <f>Applications!X181</f>
        <v>#N/A</v>
      </c>
      <c r="AA180" t="e">
        <f>Applications!Y181</f>
        <v>#N/A</v>
      </c>
      <c r="AB180">
        <f>Applications!Z181</f>
        <v>0</v>
      </c>
      <c r="AC180">
        <f>Applications!AA181</f>
        <v>0</v>
      </c>
      <c r="AD180">
        <f>Applications!AB181</f>
        <v>0</v>
      </c>
      <c r="AE180">
        <f>Applications!AC181</f>
        <v>0</v>
      </c>
    </row>
    <row r="181" spans="1:31">
      <c r="A181">
        <f>Applications!A182</f>
        <v>0</v>
      </c>
      <c r="B181" t="e">
        <f>VLOOKUP($A181,Customer_Data!$A$1:$R$161,3,TRUE)</f>
        <v>#N/A</v>
      </c>
      <c r="C181" t="e">
        <f>VLOOKUP($A181,Customer_Data!$A$1:$R$161,4,TRUE)</f>
        <v>#N/A</v>
      </c>
      <c r="D181" t="e">
        <f>VLOOKUP($A181,Customer_Data!$A$1:$R$161,5,TRUE)</f>
        <v>#N/A</v>
      </c>
      <c r="E181" t="e">
        <f>VLOOKUP($A181,Customer_Data!$A$1:$R$161,6,TRUE)</f>
        <v>#N/A</v>
      </c>
      <c r="F181" s="207">
        <f>Applications!B182</f>
        <v>0</v>
      </c>
      <c r="G181" s="207">
        <f>Applications!E182</f>
        <v>0</v>
      </c>
      <c r="H181" t="str">
        <f>Applications!F182</f>
        <v/>
      </c>
      <c r="I181" s="207">
        <f>Applications!G182</f>
        <v>0</v>
      </c>
      <c r="J181" t="str">
        <f>Applications!H182</f>
        <v/>
      </c>
      <c r="L181" t="str">
        <f>Applications!J182</f>
        <v/>
      </c>
      <c r="M181" t="e">
        <f>Applications!K182</f>
        <v>#N/A</v>
      </c>
      <c r="N181" t="e">
        <f>Applications!L182</f>
        <v>#N/A</v>
      </c>
      <c r="O181" t="e">
        <f>Applications!M182</f>
        <v>#N/A</v>
      </c>
      <c r="P181" t="str">
        <f>Applications!N182</f>
        <v/>
      </c>
      <c r="Q181" t="e">
        <f>Applications!O182</f>
        <v>#N/A</v>
      </c>
      <c r="R181" t="e">
        <f>Applications!P182</f>
        <v>#N/A</v>
      </c>
      <c r="S181" t="e">
        <f>Applications!Q182</f>
        <v>#N/A</v>
      </c>
      <c r="T181" t="str">
        <f>Applications!R182</f>
        <v/>
      </c>
      <c r="U181" t="e">
        <f>Applications!S182</f>
        <v>#N/A</v>
      </c>
      <c r="V181" t="e">
        <f>Applications!T182</f>
        <v>#N/A</v>
      </c>
      <c r="W181" t="e">
        <f>Applications!U182</f>
        <v>#N/A</v>
      </c>
      <c r="X181" t="b">
        <f>Applications!V182</f>
        <v>0</v>
      </c>
      <c r="Y181" t="e">
        <f>Applications!W182</f>
        <v>#N/A</v>
      </c>
      <c r="Z181" t="e">
        <f>Applications!X182</f>
        <v>#N/A</v>
      </c>
      <c r="AA181" t="e">
        <f>Applications!Y182</f>
        <v>#N/A</v>
      </c>
      <c r="AB181">
        <f>Applications!Z182</f>
        <v>0</v>
      </c>
      <c r="AC181">
        <f>Applications!AA182</f>
        <v>0</v>
      </c>
      <c r="AD181">
        <f>Applications!AB182</f>
        <v>0</v>
      </c>
      <c r="AE181">
        <f>Applications!AC182</f>
        <v>0</v>
      </c>
    </row>
    <row r="182" spans="1:31">
      <c r="A182">
        <f>Applications!A183</f>
        <v>0</v>
      </c>
      <c r="B182" t="e">
        <f>VLOOKUP($A182,Customer_Data!$A$1:$R$161,3,TRUE)</f>
        <v>#N/A</v>
      </c>
      <c r="C182" t="e">
        <f>VLOOKUP($A182,Customer_Data!$A$1:$R$161,4,TRUE)</f>
        <v>#N/A</v>
      </c>
      <c r="D182" t="e">
        <f>VLOOKUP($A182,Customer_Data!$A$1:$R$161,5,TRUE)</f>
        <v>#N/A</v>
      </c>
      <c r="E182" t="e">
        <f>VLOOKUP($A182,Customer_Data!$A$1:$R$161,6,TRUE)</f>
        <v>#N/A</v>
      </c>
      <c r="F182" s="207">
        <f>Applications!B183</f>
        <v>0</v>
      </c>
      <c r="G182" s="207">
        <f>Applications!E183</f>
        <v>0</v>
      </c>
      <c r="H182" t="str">
        <f>Applications!F183</f>
        <v/>
      </c>
      <c r="I182" s="207">
        <f>Applications!G183</f>
        <v>0</v>
      </c>
      <c r="J182" t="str">
        <f>Applications!H183</f>
        <v/>
      </c>
      <c r="L182" t="str">
        <f>Applications!J183</f>
        <v/>
      </c>
      <c r="M182" t="e">
        <f>Applications!K183</f>
        <v>#N/A</v>
      </c>
      <c r="N182" t="e">
        <f>Applications!L183</f>
        <v>#N/A</v>
      </c>
      <c r="O182" t="e">
        <f>Applications!M183</f>
        <v>#N/A</v>
      </c>
      <c r="P182" t="str">
        <f>Applications!N183</f>
        <v/>
      </c>
      <c r="Q182" t="e">
        <f>Applications!O183</f>
        <v>#N/A</v>
      </c>
      <c r="R182" t="e">
        <f>Applications!P183</f>
        <v>#N/A</v>
      </c>
      <c r="S182" t="e">
        <f>Applications!Q183</f>
        <v>#N/A</v>
      </c>
      <c r="T182" t="str">
        <f>Applications!R183</f>
        <v/>
      </c>
      <c r="U182" t="e">
        <f>Applications!S183</f>
        <v>#N/A</v>
      </c>
      <c r="V182" t="e">
        <f>Applications!T183</f>
        <v>#N/A</v>
      </c>
      <c r="W182" t="e">
        <f>Applications!U183</f>
        <v>#N/A</v>
      </c>
      <c r="X182" t="b">
        <f>Applications!V183</f>
        <v>0</v>
      </c>
      <c r="Y182" t="e">
        <f>Applications!W183</f>
        <v>#N/A</v>
      </c>
      <c r="Z182" t="e">
        <f>Applications!X183</f>
        <v>#N/A</v>
      </c>
      <c r="AA182" t="e">
        <f>Applications!Y183</f>
        <v>#N/A</v>
      </c>
      <c r="AB182">
        <f>Applications!Z183</f>
        <v>0</v>
      </c>
      <c r="AC182">
        <f>Applications!AA183</f>
        <v>0</v>
      </c>
      <c r="AD182">
        <f>Applications!AB183</f>
        <v>0</v>
      </c>
      <c r="AE182">
        <f>Applications!AC183</f>
        <v>0</v>
      </c>
    </row>
    <row r="183" spans="1:31">
      <c r="A183">
        <f>Applications!A184</f>
        <v>0</v>
      </c>
      <c r="B183" t="e">
        <f>VLOOKUP($A183,Customer_Data!$A$1:$R$161,3,TRUE)</f>
        <v>#N/A</v>
      </c>
      <c r="C183" t="e">
        <f>VLOOKUP($A183,Customer_Data!$A$1:$R$161,4,TRUE)</f>
        <v>#N/A</v>
      </c>
      <c r="D183" t="e">
        <f>VLOOKUP($A183,Customer_Data!$A$1:$R$161,5,TRUE)</f>
        <v>#N/A</v>
      </c>
      <c r="E183" t="e">
        <f>VLOOKUP($A183,Customer_Data!$A$1:$R$161,6,TRUE)</f>
        <v>#N/A</v>
      </c>
      <c r="F183" s="207">
        <f>Applications!B184</f>
        <v>0</v>
      </c>
      <c r="G183" s="207">
        <f>Applications!E184</f>
        <v>0</v>
      </c>
      <c r="H183" t="str">
        <f>Applications!F184</f>
        <v/>
      </c>
      <c r="I183" s="207">
        <f>Applications!G184</f>
        <v>0</v>
      </c>
      <c r="J183" t="str">
        <f>Applications!H184</f>
        <v/>
      </c>
      <c r="L183" t="str">
        <f>Applications!J184</f>
        <v/>
      </c>
      <c r="M183" t="e">
        <f>Applications!K184</f>
        <v>#N/A</v>
      </c>
      <c r="N183" t="e">
        <f>Applications!L184</f>
        <v>#N/A</v>
      </c>
      <c r="O183" t="e">
        <f>Applications!M184</f>
        <v>#N/A</v>
      </c>
      <c r="P183" t="str">
        <f>Applications!N184</f>
        <v/>
      </c>
      <c r="Q183" t="e">
        <f>Applications!O184</f>
        <v>#N/A</v>
      </c>
      <c r="R183" t="e">
        <f>Applications!P184</f>
        <v>#N/A</v>
      </c>
      <c r="S183" t="e">
        <f>Applications!Q184</f>
        <v>#N/A</v>
      </c>
      <c r="T183" t="str">
        <f>Applications!R184</f>
        <v/>
      </c>
      <c r="U183" t="e">
        <f>Applications!S184</f>
        <v>#N/A</v>
      </c>
      <c r="V183" t="e">
        <f>Applications!T184</f>
        <v>#N/A</v>
      </c>
      <c r="W183" t="e">
        <f>Applications!U184</f>
        <v>#N/A</v>
      </c>
      <c r="X183" t="b">
        <f>Applications!V184</f>
        <v>0</v>
      </c>
      <c r="Y183" t="e">
        <f>Applications!W184</f>
        <v>#N/A</v>
      </c>
      <c r="Z183" t="e">
        <f>Applications!X184</f>
        <v>#N/A</v>
      </c>
      <c r="AA183" t="e">
        <f>Applications!Y184</f>
        <v>#N/A</v>
      </c>
      <c r="AB183">
        <f>Applications!Z184</f>
        <v>0</v>
      </c>
      <c r="AC183">
        <f>Applications!AA184</f>
        <v>0</v>
      </c>
      <c r="AD183">
        <f>Applications!AB184</f>
        <v>0</v>
      </c>
      <c r="AE183">
        <f>Applications!AC184</f>
        <v>0</v>
      </c>
    </row>
    <row r="184" spans="1:31">
      <c r="A184">
        <f>Applications!A185</f>
        <v>0</v>
      </c>
      <c r="B184" t="e">
        <f>VLOOKUP($A184,Customer_Data!$A$1:$R$161,3,TRUE)</f>
        <v>#N/A</v>
      </c>
      <c r="C184" t="e">
        <f>VLOOKUP($A184,Customer_Data!$A$1:$R$161,4,TRUE)</f>
        <v>#N/A</v>
      </c>
      <c r="D184" t="e">
        <f>VLOOKUP($A184,Customer_Data!$A$1:$R$161,5,TRUE)</f>
        <v>#N/A</v>
      </c>
      <c r="E184" t="e">
        <f>VLOOKUP($A184,Customer_Data!$A$1:$R$161,6,TRUE)</f>
        <v>#N/A</v>
      </c>
      <c r="F184" s="207">
        <f>Applications!B185</f>
        <v>0</v>
      </c>
      <c r="G184" s="207">
        <f>Applications!E185</f>
        <v>0</v>
      </c>
      <c r="H184" t="str">
        <f>Applications!F185</f>
        <v/>
      </c>
      <c r="I184" s="207">
        <f>Applications!G185</f>
        <v>0</v>
      </c>
      <c r="J184" t="str">
        <f>Applications!H185</f>
        <v/>
      </c>
      <c r="L184" t="str">
        <f>Applications!J185</f>
        <v/>
      </c>
      <c r="M184" t="e">
        <f>Applications!K185</f>
        <v>#N/A</v>
      </c>
      <c r="N184" t="e">
        <f>Applications!L185</f>
        <v>#N/A</v>
      </c>
      <c r="O184" t="e">
        <f>Applications!M185</f>
        <v>#N/A</v>
      </c>
      <c r="P184" t="str">
        <f>Applications!N185</f>
        <v/>
      </c>
      <c r="Q184" t="e">
        <f>Applications!O185</f>
        <v>#N/A</v>
      </c>
      <c r="R184" t="e">
        <f>Applications!P185</f>
        <v>#N/A</v>
      </c>
      <c r="S184" t="e">
        <f>Applications!Q185</f>
        <v>#N/A</v>
      </c>
      <c r="T184" t="str">
        <f>Applications!R185</f>
        <v/>
      </c>
      <c r="U184" t="e">
        <f>Applications!S185</f>
        <v>#N/A</v>
      </c>
      <c r="V184" t="e">
        <f>Applications!T185</f>
        <v>#N/A</v>
      </c>
      <c r="W184" t="e">
        <f>Applications!U185</f>
        <v>#N/A</v>
      </c>
      <c r="X184" t="b">
        <f>Applications!V185</f>
        <v>0</v>
      </c>
      <c r="Y184" t="e">
        <f>Applications!W185</f>
        <v>#N/A</v>
      </c>
      <c r="Z184" t="e">
        <f>Applications!X185</f>
        <v>#N/A</v>
      </c>
      <c r="AA184" t="e">
        <f>Applications!Y185</f>
        <v>#N/A</v>
      </c>
      <c r="AB184">
        <f>Applications!Z185</f>
        <v>0</v>
      </c>
      <c r="AC184">
        <f>Applications!AA185</f>
        <v>0</v>
      </c>
      <c r="AD184">
        <f>Applications!AB185</f>
        <v>0</v>
      </c>
      <c r="AE184">
        <f>Applications!AC185</f>
        <v>0</v>
      </c>
    </row>
    <row r="185" spans="1:31">
      <c r="A185">
        <f>Applications!A186</f>
        <v>0</v>
      </c>
      <c r="B185" t="e">
        <f>VLOOKUP($A185,Customer_Data!$A$1:$R$161,3,TRUE)</f>
        <v>#N/A</v>
      </c>
      <c r="C185" t="e">
        <f>VLOOKUP($A185,Customer_Data!$A$1:$R$161,4,TRUE)</f>
        <v>#N/A</v>
      </c>
      <c r="D185" t="e">
        <f>VLOOKUP($A185,Customer_Data!$A$1:$R$161,5,TRUE)</f>
        <v>#N/A</v>
      </c>
      <c r="E185" t="e">
        <f>VLOOKUP($A185,Customer_Data!$A$1:$R$161,6,TRUE)</f>
        <v>#N/A</v>
      </c>
      <c r="F185" s="207">
        <f>Applications!B186</f>
        <v>0</v>
      </c>
      <c r="G185" s="207">
        <f>Applications!E186</f>
        <v>0</v>
      </c>
      <c r="H185" t="str">
        <f>Applications!F186</f>
        <v/>
      </c>
      <c r="I185" s="207">
        <f>Applications!G186</f>
        <v>0</v>
      </c>
      <c r="J185" t="str">
        <f>Applications!H186</f>
        <v/>
      </c>
      <c r="L185" t="str">
        <f>Applications!J186</f>
        <v/>
      </c>
      <c r="M185" t="e">
        <f>Applications!K186</f>
        <v>#N/A</v>
      </c>
      <c r="N185" t="e">
        <f>Applications!L186</f>
        <v>#N/A</v>
      </c>
      <c r="O185" t="e">
        <f>Applications!M186</f>
        <v>#N/A</v>
      </c>
      <c r="P185" t="str">
        <f>Applications!N186</f>
        <v/>
      </c>
      <c r="Q185" t="e">
        <f>Applications!O186</f>
        <v>#N/A</v>
      </c>
      <c r="R185" t="e">
        <f>Applications!P186</f>
        <v>#N/A</v>
      </c>
      <c r="S185" t="e">
        <f>Applications!Q186</f>
        <v>#N/A</v>
      </c>
      <c r="T185" t="str">
        <f>Applications!R186</f>
        <v/>
      </c>
      <c r="U185" t="e">
        <f>Applications!S186</f>
        <v>#N/A</v>
      </c>
      <c r="V185" t="e">
        <f>Applications!T186</f>
        <v>#N/A</v>
      </c>
      <c r="W185" t="e">
        <f>Applications!U186</f>
        <v>#N/A</v>
      </c>
      <c r="X185" t="b">
        <f>Applications!V186</f>
        <v>0</v>
      </c>
      <c r="Y185" t="e">
        <f>Applications!W186</f>
        <v>#N/A</v>
      </c>
      <c r="Z185" t="e">
        <f>Applications!X186</f>
        <v>#N/A</v>
      </c>
      <c r="AA185" t="e">
        <f>Applications!Y186</f>
        <v>#N/A</v>
      </c>
      <c r="AB185">
        <f>Applications!Z186</f>
        <v>0</v>
      </c>
      <c r="AC185">
        <f>Applications!AA186</f>
        <v>0</v>
      </c>
      <c r="AD185">
        <f>Applications!AB186</f>
        <v>0</v>
      </c>
      <c r="AE185">
        <f>Applications!AC186</f>
        <v>0</v>
      </c>
    </row>
    <row r="186" spans="1:31">
      <c r="A186">
        <f>Applications!A187</f>
        <v>0</v>
      </c>
      <c r="B186" t="e">
        <f>VLOOKUP($A186,Customer_Data!$A$1:$R$161,3,TRUE)</f>
        <v>#N/A</v>
      </c>
      <c r="C186" t="e">
        <f>VLOOKUP($A186,Customer_Data!$A$1:$R$161,4,TRUE)</f>
        <v>#N/A</v>
      </c>
      <c r="D186" t="e">
        <f>VLOOKUP($A186,Customer_Data!$A$1:$R$161,5,TRUE)</f>
        <v>#N/A</v>
      </c>
      <c r="E186" t="e">
        <f>VLOOKUP($A186,Customer_Data!$A$1:$R$161,6,TRUE)</f>
        <v>#N/A</v>
      </c>
      <c r="F186" s="207">
        <f>Applications!B187</f>
        <v>0</v>
      </c>
      <c r="G186" s="207">
        <f>Applications!E187</f>
        <v>0</v>
      </c>
      <c r="H186" t="str">
        <f>Applications!F187</f>
        <v/>
      </c>
      <c r="I186" s="207">
        <f>Applications!G187</f>
        <v>0</v>
      </c>
      <c r="J186" t="str">
        <f>Applications!H187</f>
        <v/>
      </c>
      <c r="L186" t="str">
        <f>Applications!J187</f>
        <v/>
      </c>
      <c r="M186" t="e">
        <f>Applications!K187</f>
        <v>#N/A</v>
      </c>
      <c r="N186" t="e">
        <f>Applications!L187</f>
        <v>#N/A</v>
      </c>
      <c r="O186" t="e">
        <f>Applications!M187</f>
        <v>#N/A</v>
      </c>
      <c r="P186" t="str">
        <f>Applications!N187</f>
        <v/>
      </c>
      <c r="Q186" t="e">
        <f>Applications!O187</f>
        <v>#N/A</v>
      </c>
      <c r="R186" t="e">
        <f>Applications!P187</f>
        <v>#N/A</v>
      </c>
      <c r="S186" t="e">
        <f>Applications!Q187</f>
        <v>#N/A</v>
      </c>
      <c r="T186" t="str">
        <f>Applications!R187</f>
        <v/>
      </c>
      <c r="U186" t="e">
        <f>Applications!S187</f>
        <v>#N/A</v>
      </c>
      <c r="V186" t="e">
        <f>Applications!T187</f>
        <v>#N/A</v>
      </c>
      <c r="W186" t="e">
        <f>Applications!U187</f>
        <v>#N/A</v>
      </c>
      <c r="X186" t="b">
        <f>Applications!V187</f>
        <v>0</v>
      </c>
      <c r="Y186" t="e">
        <f>Applications!W187</f>
        <v>#N/A</v>
      </c>
      <c r="Z186" t="e">
        <f>Applications!X187</f>
        <v>#N/A</v>
      </c>
      <c r="AA186" t="e">
        <f>Applications!Y187</f>
        <v>#N/A</v>
      </c>
      <c r="AB186">
        <f>Applications!Z187</f>
        <v>0</v>
      </c>
      <c r="AC186">
        <f>Applications!AA187</f>
        <v>0</v>
      </c>
      <c r="AD186">
        <f>Applications!AB187</f>
        <v>0</v>
      </c>
      <c r="AE186">
        <f>Applications!AC187</f>
        <v>0</v>
      </c>
    </row>
    <row r="187" spans="1:31">
      <c r="A187">
        <f>Applications!A188</f>
        <v>0</v>
      </c>
      <c r="B187" t="e">
        <f>VLOOKUP($A187,Customer_Data!$A$1:$R$161,3,TRUE)</f>
        <v>#N/A</v>
      </c>
      <c r="C187" t="e">
        <f>VLOOKUP($A187,Customer_Data!$A$1:$R$161,4,TRUE)</f>
        <v>#N/A</v>
      </c>
      <c r="D187" t="e">
        <f>VLOOKUP($A187,Customer_Data!$A$1:$R$161,5,TRUE)</f>
        <v>#N/A</v>
      </c>
      <c r="E187" t="e">
        <f>VLOOKUP($A187,Customer_Data!$A$1:$R$161,6,TRUE)</f>
        <v>#N/A</v>
      </c>
      <c r="F187" s="207">
        <f>Applications!B188</f>
        <v>0</v>
      </c>
      <c r="G187" s="207">
        <f>Applications!E188</f>
        <v>0</v>
      </c>
      <c r="H187" t="str">
        <f>Applications!F188</f>
        <v/>
      </c>
      <c r="I187" s="207">
        <f>Applications!G188</f>
        <v>0</v>
      </c>
      <c r="J187" t="str">
        <f>Applications!H188</f>
        <v/>
      </c>
      <c r="L187" t="str">
        <f>Applications!J188</f>
        <v/>
      </c>
      <c r="M187" t="e">
        <f>Applications!K188</f>
        <v>#N/A</v>
      </c>
      <c r="N187" t="e">
        <f>Applications!L188</f>
        <v>#N/A</v>
      </c>
      <c r="O187" t="e">
        <f>Applications!M188</f>
        <v>#N/A</v>
      </c>
      <c r="P187" t="str">
        <f>Applications!N188</f>
        <v/>
      </c>
      <c r="Q187" t="e">
        <f>Applications!O188</f>
        <v>#N/A</v>
      </c>
      <c r="R187" t="e">
        <f>Applications!P188</f>
        <v>#N/A</v>
      </c>
      <c r="S187" t="e">
        <f>Applications!Q188</f>
        <v>#N/A</v>
      </c>
      <c r="T187" t="str">
        <f>Applications!R188</f>
        <v/>
      </c>
      <c r="U187" t="e">
        <f>Applications!S188</f>
        <v>#N/A</v>
      </c>
      <c r="V187" t="e">
        <f>Applications!T188</f>
        <v>#N/A</v>
      </c>
      <c r="W187" t="e">
        <f>Applications!U188</f>
        <v>#N/A</v>
      </c>
      <c r="X187" t="b">
        <f>Applications!V188</f>
        <v>0</v>
      </c>
      <c r="Y187" t="e">
        <f>Applications!W188</f>
        <v>#N/A</v>
      </c>
      <c r="Z187" t="e">
        <f>Applications!X188</f>
        <v>#N/A</v>
      </c>
      <c r="AA187" t="e">
        <f>Applications!Y188</f>
        <v>#N/A</v>
      </c>
      <c r="AB187">
        <f>Applications!Z188</f>
        <v>0</v>
      </c>
      <c r="AC187">
        <f>Applications!AA188</f>
        <v>0</v>
      </c>
      <c r="AD187">
        <f>Applications!AB188</f>
        <v>0</v>
      </c>
      <c r="AE187">
        <f>Applications!AC188</f>
        <v>0</v>
      </c>
    </row>
    <row r="188" spans="1:31">
      <c r="A188">
        <f>Applications!A189</f>
        <v>0</v>
      </c>
      <c r="B188" t="e">
        <f>VLOOKUP($A188,Customer_Data!$A$1:$R$161,3,TRUE)</f>
        <v>#N/A</v>
      </c>
      <c r="C188" t="e">
        <f>VLOOKUP($A188,Customer_Data!$A$1:$R$161,4,TRUE)</f>
        <v>#N/A</v>
      </c>
      <c r="D188" t="e">
        <f>VLOOKUP($A188,Customer_Data!$A$1:$R$161,5,TRUE)</f>
        <v>#N/A</v>
      </c>
      <c r="E188" t="e">
        <f>VLOOKUP($A188,Customer_Data!$A$1:$R$161,6,TRUE)</f>
        <v>#N/A</v>
      </c>
      <c r="F188" s="207">
        <f>Applications!B189</f>
        <v>0</v>
      </c>
      <c r="G188" s="207">
        <f>Applications!E189</f>
        <v>0</v>
      </c>
      <c r="H188" t="str">
        <f>Applications!F189</f>
        <v/>
      </c>
      <c r="I188" s="207">
        <f>Applications!G189</f>
        <v>0</v>
      </c>
      <c r="J188" t="str">
        <f>Applications!H189</f>
        <v/>
      </c>
      <c r="L188" t="str">
        <f>Applications!J189</f>
        <v/>
      </c>
      <c r="M188" t="e">
        <f>Applications!K189</f>
        <v>#N/A</v>
      </c>
      <c r="N188" t="e">
        <f>Applications!L189</f>
        <v>#N/A</v>
      </c>
      <c r="O188" t="e">
        <f>Applications!M189</f>
        <v>#N/A</v>
      </c>
      <c r="P188" t="str">
        <f>Applications!N189</f>
        <v/>
      </c>
      <c r="Q188" t="e">
        <f>Applications!O189</f>
        <v>#N/A</v>
      </c>
      <c r="R188" t="e">
        <f>Applications!P189</f>
        <v>#N/A</v>
      </c>
      <c r="S188" t="e">
        <f>Applications!Q189</f>
        <v>#N/A</v>
      </c>
      <c r="T188" t="str">
        <f>Applications!R189</f>
        <v/>
      </c>
      <c r="U188" t="e">
        <f>Applications!S189</f>
        <v>#N/A</v>
      </c>
      <c r="V188" t="e">
        <f>Applications!T189</f>
        <v>#N/A</v>
      </c>
      <c r="W188" t="e">
        <f>Applications!U189</f>
        <v>#N/A</v>
      </c>
      <c r="X188" t="b">
        <f>Applications!V189</f>
        <v>0</v>
      </c>
      <c r="Y188" t="e">
        <f>Applications!W189</f>
        <v>#N/A</v>
      </c>
      <c r="Z188" t="e">
        <f>Applications!X189</f>
        <v>#N/A</v>
      </c>
      <c r="AA188" t="e">
        <f>Applications!Y189</f>
        <v>#N/A</v>
      </c>
      <c r="AB188">
        <f>Applications!Z189</f>
        <v>0</v>
      </c>
      <c r="AC188">
        <f>Applications!AA189</f>
        <v>0</v>
      </c>
      <c r="AD188">
        <f>Applications!AB189</f>
        <v>0</v>
      </c>
      <c r="AE188">
        <f>Applications!AC189</f>
        <v>0</v>
      </c>
    </row>
    <row r="189" spans="1:31">
      <c r="A189">
        <f>Applications!A190</f>
        <v>0</v>
      </c>
      <c r="B189" t="e">
        <f>VLOOKUP($A189,Customer_Data!$A$1:$R$161,3,TRUE)</f>
        <v>#N/A</v>
      </c>
      <c r="C189" t="e">
        <f>VLOOKUP($A189,Customer_Data!$A$1:$R$161,4,TRUE)</f>
        <v>#N/A</v>
      </c>
      <c r="D189" t="e">
        <f>VLOOKUP($A189,Customer_Data!$A$1:$R$161,5,TRUE)</f>
        <v>#N/A</v>
      </c>
      <c r="E189" t="e">
        <f>VLOOKUP($A189,Customer_Data!$A$1:$R$161,6,TRUE)</f>
        <v>#N/A</v>
      </c>
      <c r="F189" s="207">
        <f>Applications!B190</f>
        <v>0</v>
      </c>
      <c r="G189" s="207">
        <f>Applications!E190</f>
        <v>0</v>
      </c>
      <c r="H189" t="str">
        <f>Applications!F190</f>
        <v/>
      </c>
      <c r="I189" s="207">
        <f>Applications!G190</f>
        <v>0</v>
      </c>
      <c r="J189" t="str">
        <f>Applications!H190</f>
        <v/>
      </c>
      <c r="L189" t="str">
        <f>Applications!J190</f>
        <v/>
      </c>
      <c r="M189" t="e">
        <f>Applications!K190</f>
        <v>#N/A</v>
      </c>
      <c r="N189" t="e">
        <f>Applications!L190</f>
        <v>#N/A</v>
      </c>
      <c r="O189" t="e">
        <f>Applications!M190</f>
        <v>#N/A</v>
      </c>
      <c r="P189" t="str">
        <f>Applications!N190</f>
        <v/>
      </c>
      <c r="Q189" t="e">
        <f>Applications!O190</f>
        <v>#N/A</v>
      </c>
      <c r="R189" t="e">
        <f>Applications!P190</f>
        <v>#N/A</v>
      </c>
      <c r="S189" t="e">
        <f>Applications!Q190</f>
        <v>#N/A</v>
      </c>
      <c r="T189" t="str">
        <f>Applications!R190</f>
        <v/>
      </c>
      <c r="U189" t="e">
        <f>Applications!S190</f>
        <v>#N/A</v>
      </c>
      <c r="V189" t="e">
        <f>Applications!T190</f>
        <v>#N/A</v>
      </c>
      <c r="W189" t="e">
        <f>Applications!U190</f>
        <v>#N/A</v>
      </c>
      <c r="X189" t="b">
        <f>Applications!V190</f>
        <v>0</v>
      </c>
      <c r="Y189" t="e">
        <f>Applications!W190</f>
        <v>#N/A</v>
      </c>
      <c r="Z189" t="e">
        <f>Applications!X190</f>
        <v>#N/A</v>
      </c>
      <c r="AA189" t="e">
        <f>Applications!Y190</f>
        <v>#N/A</v>
      </c>
      <c r="AB189">
        <f>Applications!Z190</f>
        <v>0</v>
      </c>
      <c r="AC189">
        <f>Applications!AA190</f>
        <v>0</v>
      </c>
      <c r="AD189">
        <f>Applications!AB190</f>
        <v>0</v>
      </c>
      <c r="AE189">
        <f>Applications!AC190</f>
        <v>0</v>
      </c>
    </row>
    <row r="190" spans="1:31">
      <c r="A190">
        <f>Applications!A191</f>
        <v>0</v>
      </c>
      <c r="B190" t="e">
        <f>VLOOKUP($A190,Customer_Data!$A$1:$R$161,3,TRUE)</f>
        <v>#N/A</v>
      </c>
      <c r="C190" t="e">
        <f>VLOOKUP($A190,Customer_Data!$A$1:$R$161,4,TRUE)</f>
        <v>#N/A</v>
      </c>
      <c r="D190" t="e">
        <f>VLOOKUP($A190,Customer_Data!$A$1:$R$161,5,TRUE)</f>
        <v>#N/A</v>
      </c>
      <c r="E190" t="e">
        <f>VLOOKUP($A190,Customer_Data!$A$1:$R$161,6,TRUE)</f>
        <v>#N/A</v>
      </c>
      <c r="F190" s="207">
        <f>Applications!B191</f>
        <v>0</v>
      </c>
      <c r="G190" s="207">
        <f>Applications!E191</f>
        <v>0</v>
      </c>
      <c r="H190" t="str">
        <f>Applications!F191</f>
        <v/>
      </c>
      <c r="I190" s="207">
        <f>Applications!G191</f>
        <v>0</v>
      </c>
      <c r="J190" t="str">
        <f>Applications!H191</f>
        <v/>
      </c>
      <c r="L190" t="str">
        <f>Applications!J191</f>
        <v/>
      </c>
      <c r="M190" t="e">
        <f>Applications!K191</f>
        <v>#N/A</v>
      </c>
      <c r="N190" t="e">
        <f>Applications!L191</f>
        <v>#N/A</v>
      </c>
      <c r="O190" t="e">
        <f>Applications!M191</f>
        <v>#N/A</v>
      </c>
      <c r="P190" t="str">
        <f>Applications!N191</f>
        <v/>
      </c>
      <c r="Q190" t="e">
        <f>Applications!O191</f>
        <v>#N/A</v>
      </c>
      <c r="R190" t="e">
        <f>Applications!P191</f>
        <v>#N/A</v>
      </c>
      <c r="S190" t="e">
        <f>Applications!Q191</f>
        <v>#N/A</v>
      </c>
      <c r="T190" t="str">
        <f>Applications!R191</f>
        <v/>
      </c>
      <c r="U190" t="e">
        <f>Applications!S191</f>
        <v>#N/A</v>
      </c>
      <c r="V190" t="e">
        <f>Applications!T191</f>
        <v>#N/A</v>
      </c>
      <c r="W190" t="e">
        <f>Applications!U191</f>
        <v>#N/A</v>
      </c>
      <c r="X190" t="b">
        <f>Applications!V191</f>
        <v>0</v>
      </c>
      <c r="Y190" t="e">
        <f>Applications!W191</f>
        <v>#N/A</v>
      </c>
      <c r="Z190" t="e">
        <f>Applications!X191</f>
        <v>#N/A</v>
      </c>
      <c r="AA190" t="e">
        <f>Applications!Y191</f>
        <v>#N/A</v>
      </c>
      <c r="AB190">
        <f>Applications!Z191</f>
        <v>0</v>
      </c>
      <c r="AC190">
        <f>Applications!AA191</f>
        <v>0</v>
      </c>
      <c r="AD190">
        <f>Applications!AB191</f>
        <v>0</v>
      </c>
      <c r="AE190">
        <f>Applications!AC191</f>
        <v>0</v>
      </c>
    </row>
    <row r="191" spans="1:31">
      <c r="A191">
        <f>Applications!A192</f>
        <v>0</v>
      </c>
      <c r="B191" t="e">
        <f>VLOOKUP($A191,Customer_Data!$A$1:$R$161,3,TRUE)</f>
        <v>#N/A</v>
      </c>
      <c r="C191" t="e">
        <f>VLOOKUP($A191,Customer_Data!$A$1:$R$161,4,TRUE)</f>
        <v>#N/A</v>
      </c>
      <c r="D191" t="e">
        <f>VLOOKUP($A191,Customer_Data!$A$1:$R$161,5,TRUE)</f>
        <v>#N/A</v>
      </c>
      <c r="E191" t="e">
        <f>VLOOKUP($A191,Customer_Data!$A$1:$R$161,6,TRUE)</f>
        <v>#N/A</v>
      </c>
      <c r="F191" s="207">
        <f>Applications!B192</f>
        <v>0</v>
      </c>
      <c r="G191" s="207">
        <f>Applications!E192</f>
        <v>0</v>
      </c>
      <c r="H191" t="str">
        <f>Applications!F192</f>
        <v/>
      </c>
      <c r="I191" s="207">
        <f>Applications!G192</f>
        <v>0</v>
      </c>
      <c r="J191" t="str">
        <f>Applications!H192</f>
        <v/>
      </c>
      <c r="L191" t="str">
        <f>Applications!J192</f>
        <v/>
      </c>
      <c r="M191" t="e">
        <f>Applications!K192</f>
        <v>#N/A</v>
      </c>
      <c r="N191" t="e">
        <f>Applications!L192</f>
        <v>#N/A</v>
      </c>
      <c r="O191" t="e">
        <f>Applications!M192</f>
        <v>#N/A</v>
      </c>
      <c r="P191" t="str">
        <f>Applications!N192</f>
        <v/>
      </c>
      <c r="Q191" t="e">
        <f>Applications!O192</f>
        <v>#N/A</v>
      </c>
      <c r="R191" t="e">
        <f>Applications!P192</f>
        <v>#N/A</v>
      </c>
      <c r="S191" t="e">
        <f>Applications!Q192</f>
        <v>#N/A</v>
      </c>
      <c r="T191" t="str">
        <f>Applications!R192</f>
        <v/>
      </c>
      <c r="U191" t="e">
        <f>Applications!S192</f>
        <v>#N/A</v>
      </c>
      <c r="V191" t="e">
        <f>Applications!T192</f>
        <v>#N/A</v>
      </c>
      <c r="W191" t="e">
        <f>Applications!U192</f>
        <v>#N/A</v>
      </c>
      <c r="X191" t="b">
        <f>Applications!V192</f>
        <v>0</v>
      </c>
      <c r="Y191" t="e">
        <f>Applications!W192</f>
        <v>#N/A</v>
      </c>
      <c r="Z191" t="e">
        <f>Applications!X192</f>
        <v>#N/A</v>
      </c>
      <c r="AA191" t="e">
        <f>Applications!Y192</f>
        <v>#N/A</v>
      </c>
      <c r="AB191">
        <f>Applications!Z192</f>
        <v>0</v>
      </c>
      <c r="AC191">
        <f>Applications!AA192</f>
        <v>0</v>
      </c>
      <c r="AD191">
        <f>Applications!AB192</f>
        <v>0</v>
      </c>
      <c r="AE191">
        <f>Applications!AC192</f>
        <v>0</v>
      </c>
    </row>
    <row r="192" spans="1:31">
      <c r="A192">
        <f>Applications!A193</f>
        <v>0</v>
      </c>
      <c r="B192" t="e">
        <f>VLOOKUP($A192,Customer_Data!$A$1:$R$161,3,TRUE)</f>
        <v>#N/A</v>
      </c>
      <c r="C192" t="e">
        <f>VLOOKUP($A192,Customer_Data!$A$1:$R$161,4,TRUE)</f>
        <v>#N/A</v>
      </c>
      <c r="D192" t="e">
        <f>VLOOKUP($A192,Customer_Data!$A$1:$R$161,5,TRUE)</f>
        <v>#N/A</v>
      </c>
      <c r="E192" t="e">
        <f>VLOOKUP($A192,Customer_Data!$A$1:$R$161,6,TRUE)</f>
        <v>#N/A</v>
      </c>
      <c r="F192" s="207">
        <f>Applications!B193</f>
        <v>0</v>
      </c>
      <c r="G192" s="207">
        <f>Applications!E193</f>
        <v>0</v>
      </c>
      <c r="H192" t="str">
        <f>Applications!F193</f>
        <v/>
      </c>
      <c r="I192" s="207">
        <f>Applications!G193</f>
        <v>0</v>
      </c>
      <c r="J192" t="str">
        <f>Applications!H193</f>
        <v/>
      </c>
      <c r="L192" t="str">
        <f>Applications!J193</f>
        <v/>
      </c>
      <c r="M192" t="e">
        <f>Applications!K193</f>
        <v>#N/A</v>
      </c>
      <c r="N192" t="e">
        <f>Applications!L193</f>
        <v>#N/A</v>
      </c>
      <c r="O192" t="e">
        <f>Applications!M193</f>
        <v>#N/A</v>
      </c>
      <c r="P192" t="str">
        <f>Applications!N193</f>
        <v/>
      </c>
      <c r="Q192" t="e">
        <f>Applications!O193</f>
        <v>#N/A</v>
      </c>
      <c r="R192" t="e">
        <f>Applications!P193</f>
        <v>#N/A</v>
      </c>
      <c r="S192" t="e">
        <f>Applications!Q193</f>
        <v>#N/A</v>
      </c>
      <c r="T192" t="str">
        <f>Applications!R193</f>
        <v/>
      </c>
      <c r="U192" t="e">
        <f>Applications!S193</f>
        <v>#N/A</v>
      </c>
      <c r="V192" t="e">
        <f>Applications!T193</f>
        <v>#N/A</v>
      </c>
      <c r="W192" t="e">
        <f>Applications!U193</f>
        <v>#N/A</v>
      </c>
      <c r="X192" t="b">
        <f>Applications!V193</f>
        <v>0</v>
      </c>
      <c r="Y192" t="e">
        <f>Applications!W193</f>
        <v>#N/A</v>
      </c>
      <c r="Z192" t="e">
        <f>Applications!X193</f>
        <v>#N/A</v>
      </c>
      <c r="AA192" t="e">
        <f>Applications!Y193</f>
        <v>#N/A</v>
      </c>
      <c r="AB192">
        <f>Applications!Z193</f>
        <v>0</v>
      </c>
      <c r="AC192">
        <f>Applications!AA193</f>
        <v>0</v>
      </c>
      <c r="AD192">
        <f>Applications!AB193</f>
        <v>0</v>
      </c>
      <c r="AE192">
        <f>Applications!AC193</f>
        <v>0</v>
      </c>
    </row>
    <row r="193" spans="1:31">
      <c r="A193">
        <f>Applications!A194</f>
        <v>0</v>
      </c>
      <c r="B193" t="e">
        <f>VLOOKUP($A193,Customer_Data!$A$1:$R$161,3,TRUE)</f>
        <v>#N/A</v>
      </c>
      <c r="C193" t="e">
        <f>VLOOKUP($A193,Customer_Data!$A$1:$R$161,4,TRUE)</f>
        <v>#N/A</v>
      </c>
      <c r="D193" t="e">
        <f>VLOOKUP($A193,Customer_Data!$A$1:$R$161,5,TRUE)</f>
        <v>#N/A</v>
      </c>
      <c r="E193" t="e">
        <f>VLOOKUP($A193,Customer_Data!$A$1:$R$161,6,TRUE)</f>
        <v>#N/A</v>
      </c>
      <c r="F193" s="207">
        <f>Applications!B194</f>
        <v>0</v>
      </c>
      <c r="G193" s="207">
        <f>Applications!E194</f>
        <v>0</v>
      </c>
      <c r="H193" t="str">
        <f>Applications!F194</f>
        <v/>
      </c>
      <c r="I193" s="207">
        <f>Applications!G194</f>
        <v>0</v>
      </c>
      <c r="J193" t="str">
        <f>Applications!H194</f>
        <v/>
      </c>
      <c r="L193" t="str">
        <f>Applications!J194</f>
        <v/>
      </c>
      <c r="M193" t="e">
        <f>Applications!K194</f>
        <v>#N/A</v>
      </c>
      <c r="N193" t="e">
        <f>Applications!L194</f>
        <v>#N/A</v>
      </c>
      <c r="O193" t="e">
        <f>Applications!M194</f>
        <v>#N/A</v>
      </c>
      <c r="P193" t="str">
        <f>Applications!N194</f>
        <v/>
      </c>
      <c r="Q193" t="e">
        <f>Applications!O194</f>
        <v>#N/A</v>
      </c>
      <c r="R193" t="e">
        <f>Applications!P194</f>
        <v>#N/A</v>
      </c>
      <c r="S193" t="e">
        <f>Applications!Q194</f>
        <v>#N/A</v>
      </c>
      <c r="T193" t="str">
        <f>Applications!R194</f>
        <v/>
      </c>
      <c r="U193" t="e">
        <f>Applications!S194</f>
        <v>#N/A</v>
      </c>
      <c r="V193" t="e">
        <f>Applications!T194</f>
        <v>#N/A</v>
      </c>
      <c r="W193" t="e">
        <f>Applications!U194</f>
        <v>#N/A</v>
      </c>
      <c r="X193" t="b">
        <f>Applications!V194</f>
        <v>0</v>
      </c>
      <c r="Y193" t="e">
        <f>Applications!W194</f>
        <v>#N/A</v>
      </c>
      <c r="Z193" t="e">
        <f>Applications!X194</f>
        <v>#N/A</v>
      </c>
      <c r="AA193" t="e">
        <f>Applications!Y194</f>
        <v>#N/A</v>
      </c>
      <c r="AB193">
        <f>Applications!Z194</f>
        <v>0</v>
      </c>
      <c r="AC193">
        <f>Applications!AA194</f>
        <v>0</v>
      </c>
      <c r="AD193">
        <f>Applications!AB194</f>
        <v>0</v>
      </c>
      <c r="AE193">
        <f>Applications!AC194</f>
        <v>0</v>
      </c>
    </row>
  </sheetData>
  <sortState xmlns:xlrd2="http://schemas.microsoft.com/office/spreadsheetml/2017/richdata2" ref="A2:AT153">
    <sortCondition ref="F2:F153"/>
  </sortState>
  <pageMargins left="0.25" right="0.25" top="0.75" bottom="0.75" header="0.3" footer="0.3"/>
  <pageSetup scale="2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00AF-94F4-4F91-BC53-F93FE9B37CDF}">
  <sheetPr codeName="Sheet9">
    <pageSetUpPr fitToPage="1"/>
  </sheetPr>
  <dimension ref="A1:U39"/>
  <sheetViews>
    <sheetView zoomScale="50" zoomScaleNormal="50" workbookViewId="0">
      <selection activeCell="N18" sqref="N18"/>
    </sheetView>
  </sheetViews>
  <sheetFormatPr defaultRowHeight="13.2"/>
  <cols>
    <col min="1" max="1" width="16.109375" customWidth="1"/>
    <col min="2" max="2" width="12.88671875" bestFit="1" customWidth="1"/>
    <col min="3" max="3" width="18" bestFit="1" customWidth="1"/>
    <col min="4" max="4" width="19.5546875" customWidth="1"/>
    <col min="5" max="5" width="3.44140625" customWidth="1"/>
    <col min="6" max="6" width="20.5546875" bestFit="1" customWidth="1"/>
    <col min="7" max="7" width="20" customWidth="1"/>
    <col min="8" max="8" width="25.88671875" customWidth="1"/>
    <col min="9" max="9" width="19.109375" customWidth="1"/>
    <col min="10" max="10" width="3.44140625" customWidth="1"/>
    <col min="11" max="11" width="17" customWidth="1"/>
    <col min="12" max="12" width="15.21875" bestFit="1" customWidth="1"/>
    <col min="13" max="13" width="17.77734375" bestFit="1" customWidth="1"/>
    <col min="14" max="14" width="14.6640625" customWidth="1"/>
    <col min="15" max="15" width="5.6640625" customWidth="1"/>
    <col min="16" max="16" width="3.44140625" customWidth="1"/>
    <col min="17" max="17" width="20.77734375" customWidth="1"/>
    <col min="19" max="19" width="10.5546875" bestFit="1" customWidth="1"/>
    <col min="21" max="21" width="10.33203125" customWidth="1"/>
    <col min="24" max="24" width="12.109375" customWidth="1"/>
  </cols>
  <sheetData>
    <row r="1" spans="1:21" ht="13.8" thickBot="1"/>
    <row r="2" spans="1:21">
      <c r="A2" s="137" t="s">
        <v>297</v>
      </c>
      <c r="B2" s="138"/>
      <c r="C2" s="138"/>
      <c r="D2" s="139"/>
      <c r="F2" s="137" t="s">
        <v>599</v>
      </c>
      <c r="G2" s="138"/>
      <c r="H2" s="138"/>
      <c r="I2" s="139"/>
      <c r="K2" s="137" t="s">
        <v>310</v>
      </c>
      <c r="L2" s="138"/>
      <c r="M2" s="138"/>
      <c r="N2" s="138"/>
      <c r="O2" s="139"/>
      <c r="Q2" s="137" t="s">
        <v>244</v>
      </c>
      <c r="R2" s="138"/>
      <c r="S2" s="138"/>
      <c r="T2" s="138"/>
      <c r="U2" s="139"/>
    </row>
    <row r="3" spans="1:21">
      <c r="A3" s="54"/>
      <c r="D3" s="56" t="s">
        <v>366</v>
      </c>
      <c r="F3" s="54"/>
      <c r="I3" s="56" t="s">
        <v>366</v>
      </c>
      <c r="K3" s="54"/>
      <c r="N3" t="s">
        <v>366</v>
      </c>
      <c r="O3" s="56"/>
      <c r="Q3" s="54"/>
      <c r="T3" t="s">
        <v>366</v>
      </c>
      <c r="U3" s="56"/>
    </row>
    <row r="4" spans="1:21" ht="28.8">
      <c r="A4" s="140" t="s">
        <v>107</v>
      </c>
      <c r="B4" t="s">
        <v>295</v>
      </c>
      <c r="C4" t="s">
        <v>337</v>
      </c>
      <c r="D4" s="56" t="s">
        <v>373</v>
      </c>
      <c r="F4" s="197" t="s">
        <v>301</v>
      </c>
      <c r="G4" s="196" t="s">
        <v>302</v>
      </c>
      <c r="H4" s="196" t="s">
        <v>332</v>
      </c>
      <c r="I4" s="198" t="s">
        <v>368</v>
      </c>
      <c r="K4" s="140" t="s">
        <v>300</v>
      </c>
      <c r="L4" s="125" t="s">
        <v>295</v>
      </c>
      <c r="M4" s="125" t="s">
        <v>337</v>
      </c>
      <c r="N4" s="125" t="s">
        <v>330</v>
      </c>
      <c r="O4" s="56"/>
      <c r="Q4" s="140" t="s">
        <v>292</v>
      </c>
      <c r="R4" s="125" t="s">
        <v>293</v>
      </c>
      <c r="S4" s="125" t="s">
        <v>331</v>
      </c>
      <c r="T4" s="125" t="s">
        <v>371</v>
      </c>
      <c r="U4" s="56"/>
    </row>
    <row r="5" spans="1:21" ht="28.8">
      <c r="A5" s="54" t="s">
        <v>252</v>
      </c>
      <c r="B5" t="s">
        <v>317</v>
      </c>
      <c r="C5" t="s">
        <v>336</v>
      </c>
      <c r="D5" s="56" t="s">
        <v>372</v>
      </c>
      <c r="F5" s="140" t="s">
        <v>107</v>
      </c>
      <c r="G5" t="s">
        <v>295</v>
      </c>
      <c r="H5" t="s">
        <v>337</v>
      </c>
      <c r="I5" s="56" t="s">
        <v>373</v>
      </c>
      <c r="K5" s="54" t="s">
        <v>299</v>
      </c>
      <c r="L5" t="s">
        <v>311</v>
      </c>
      <c r="M5" t="s">
        <v>338</v>
      </c>
      <c r="N5" t="s">
        <v>340</v>
      </c>
      <c r="O5" s="56"/>
      <c r="Q5" s="140" t="s">
        <v>252</v>
      </c>
      <c r="R5" s="125" t="s">
        <v>317</v>
      </c>
      <c r="S5" s="125" t="s">
        <v>336</v>
      </c>
      <c r="T5" s="125" t="s">
        <v>372</v>
      </c>
      <c r="U5" s="56"/>
    </row>
    <row r="6" spans="1:21" ht="28.8">
      <c r="A6" s="54" t="s">
        <v>105</v>
      </c>
      <c r="B6" t="s">
        <v>303</v>
      </c>
      <c r="C6" t="s">
        <v>333</v>
      </c>
      <c r="D6" s="56" t="s">
        <v>369</v>
      </c>
      <c r="F6" s="140" t="s">
        <v>300</v>
      </c>
      <c r="G6" t="s">
        <v>303</v>
      </c>
      <c r="H6" t="s">
        <v>333</v>
      </c>
      <c r="I6" s="56" t="s">
        <v>369</v>
      </c>
      <c r="K6" s="140" t="s">
        <v>63</v>
      </c>
      <c r="L6" t="s">
        <v>312</v>
      </c>
      <c r="M6" t="s">
        <v>339</v>
      </c>
      <c r="N6" t="s">
        <v>341</v>
      </c>
      <c r="O6" s="56"/>
      <c r="Q6" s="140" t="s">
        <v>300</v>
      </c>
      <c r="R6" s="125" t="s">
        <v>295</v>
      </c>
      <c r="S6" s="125" t="s">
        <v>337</v>
      </c>
      <c r="T6" s="125" t="s">
        <v>373</v>
      </c>
      <c r="U6" s="56"/>
    </row>
    <row r="7" spans="1:21" ht="14.4">
      <c r="A7" s="54" t="s">
        <v>564</v>
      </c>
      <c r="B7" t="s">
        <v>565</v>
      </c>
      <c r="C7" t="s">
        <v>566</v>
      </c>
      <c r="D7" s="56" t="s">
        <v>560</v>
      </c>
      <c r="F7" s="54"/>
      <c r="I7" s="56"/>
      <c r="K7" s="140" t="s">
        <v>110</v>
      </c>
      <c r="L7" t="s">
        <v>328</v>
      </c>
      <c r="N7" t="s">
        <v>367</v>
      </c>
      <c r="O7" s="56"/>
      <c r="Q7" s="54"/>
      <c r="U7" s="56"/>
    </row>
    <row r="8" spans="1:21" ht="28.8">
      <c r="A8" s="54"/>
      <c r="D8" s="56"/>
      <c r="F8" s="54" t="s">
        <v>610</v>
      </c>
      <c r="G8" t="s">
        <v>613</v>
      </c>
      <c r="H8" t="s">
        <v>614</v>
      </c>
      <c r="I8" s="56" t="s">
        <v>615</v>
      </c>
      <c r="K8" s="140" t="s">
        <v>251</v>
      </c>
      <c r="L8" t="s">
        <v>335</v>
      </c>
      <c r="N8" t="s">
        <v>405</v>
      </c>
      <c r="O8" s="56"/>
      <c r="Q8" s="140" t="s">
        <v>63</v>
      </c>
      <c r="R8" s="125" t="s">
        <v>296</v>
      </c>
      <c r="S8" s="125" t="s">
        <v>334</v>
      </c>
      <c r="T8" s="125" t="s">
        <v>370</v>
      </c>
      <c r="U8" s="56"/>
    </row>
    <row r="9" spans="1:21" ht="14.4">
      <c r="A9" s="54" t="s">
        <v>110</v>
      </c>
      <c r="B9" t="s">
        <v>558</v>
      </c>
      <c r="C9" t="s">
        <v>559</v>
      </c>
      <c r="D9" s="56" t="s">
        <v>330</v>
      </c>
      <c r="F9" s="200" t="s">
        <v>63</v>
      </c>
      <c r="G9" s="201" t="s">
        <v>296</v>
      </c>
      <c r="H9" s="201" t="s">
        <v>334</v>
      </c>
      <c r="I9" s="202" t="s">
        <v>370</v>
      </c>
      <c r="K9" s="54" t="s">
        <v>309</v>
      </c>
      <c r="O9" s="56"/>
      <c r="Q9" s="140" t="s">
        <v>306</v>
      </c>
      <c r="U9" s="56"/>
    </row>
    <row r="10" spans="1:21" ht="29.4" thickBot="1">
      <c r="A10" s="141" t="s">
        <v>251</v>
      </c>
      <c r="B10" s="142" t="s">
        <v>335</v>
      </c>
      <c r="C10" s="142"/>
      <c r="D10" s="58" t="s">
        <v>405</v>
      </c>
      <c r="F10" s="140" t="s">
        <v>110</v>
      </c>
      <c r="G10" t="s">
        <v>600</v>
      </c>
      <c r="I10" s="56" t="s">
        <v>330</v>
      </c>
      <c r="K10" s="57" t="s">
        <v>308</v>
      </c>
      <c r="L10" s="142"/>
      <c r="M10" s="142"/>
      <c r="N10" s="142"/>
      <c r="O10" s="58"/>
      <c r="Q10" s="140" t="s">
        <v>251</v>
      </c>
      <c r="R10" t="s">
        <v>335</v>
      </c>
      <c r="T10" t="s">
        <v>405</v>
      </c>
      <c r="U10" s="56"/>
    </row>
    <row r="11" spans="1:21" ht="29.4" thickBot="1">
      <c r="F11" s="141" t="s">
        <v>251</v>
      </c>
      <c r="G11" s="142" t="s">
        <v>335</v>
      </c>
      <c r="H11" s="142"/>
      <c r="I11" s="58" t="s">
        <v>405</v>
      </c>
      <c r="Q11" s="143" t="s">
        <v>307</v>
      </c>
      <c r="R11" s="142"/>
      <c r="S11" s="142"/>
      <c r="T11" s="142"/>
      <c r="U11" s="58"/>
    </row>
    <row r="12" spans="1:21" ht="13.8" thickBot="1"/>
    <row r="13" spans="1:21" ht="13.8" thickBot="1">
      <c r="A13" s="1" t="s">
        <v>285</v>
      </c>
      <c r="K13" s="144" t="s">
        <v>245</v>
      </c>
      <c r="M13" s="1"/>
    </row>
    <row r="14" spans="1:21">
      <c r="A14" t="s">
        <v>298</v>
      </c>
      <c r="F14" s="137" t="s">
        <v>313</v>
      </c>
      <c r="G14" s="138"/>
      <c r="H14" s="138"/>
      <c r="I14" s="139"/>
      <c r="K14" s="60"/>
      <c r="L14" t="s">
        <v>630</v>
      </c>
    </row>
    <row r="15" spans="1:21">
      <c r="A15" t="s">
        <v>254</v>
      </c>
      <c r="F15" s="54"/>
      <c r="I15" s="192" t="s">
        <v>342</v>
      </c>
      <c r="K15" s="60" t="s">
        <v>282</v>
      </c>
      <c r="L15" t="s">
        <v>629</v>
      </c>
    </row>
    <row r="16" spans="1:21" ht="14.4">
      <c r="A16" t="s">
        <v>254</v>
      </c>
      <c r="B16" t="s">
        <v>255</v>
      </c>
      <c r="F16" s="140" t="s">
        <v>63</v>
      </c>
      <c r="G16" t="s">
        <v>312</v>
      </c>
      <c r="H16" t="s">
        <v>339</v>
      </c>
      <c r="I16" s="56" t="s">
        <v>343</v>
      </c>
      <c r="K16" s="60" t="s">
        <v>406</v>
      </c>
    </row>
    <row r="17" spans="1:11" ht="14.4">
      <c r="A17" t="s">
        <v>257</v>
      </c>
      <c r="B17" t="s">
        <v>258</v>
      </c>
      <c r="F17" s="140" t="s">
        <v>537</v>
      </c>
      <c r="G17" t="s">
        <v>538</v>
      </c>
      <c r="H17" t="s">
        <v>539</v>
      </c>
      <c r="I17" t="s">
        <v>341</v>
      </c>
      <c r="K17" s="60" t="s">
        <v>284</v>
      </c>
    </row>
    <row r="18" spans="1:11" ht="13.8" thickBot="1">
      <c r="A18" t="s">
        <v>98</v>
      </c>
      <c r="B18" t="s">
        <v>266</v>
      </c>
      <c r="F18" s="57" t="s">
        <v>299</v>
      </c>
      <c r="G18" s="142" t="s">
        <v>311</v>
      </c>
      <c r="H18" s="142" t="s">
        <v>338</v>
      </c>
      <c r="I18" s="58" t="s">
        <v>344</v>
      </c>
      <c r="K18" s="61" t="s">
        <v>329</v>
      </c>
    </row>
    <row r="19" spans="1:11">
      <c r="B19" t="s">
        <v>267</v>
      </c>
    </row>
    <row r="20" spans="1:11" ht="13.8" thickBot="1">
      <c r="A20" t="s">
        <v>256</v>
      </c>
      <c r="B20" t="s">
        <v>286</v>
      </c>
    </row>
    <row r="21" spans="1:11">
      <c r="F21" s="137" t="s">
        <v>246</v>
      </c>
      <c r="G21" s="138"/>
      <c r="H21" s="138"/>
      <c r="I21" s="139"/>
    </row>
    <row r="22" spans="1:11">
      <c r="F22" s="54"/>
      <c r="I22" s="56"/>
    </row>
    <row r="23" spans="1:11">
      <c r="F23" s="54" t="s">
        <v>247</v>
      </c>
      <c r="H23" t="s">
        <v>22</v>
      </c>
      <c r="I23" s="56" t="s">
        <v>269</v>
      </c>
    </row>
    <row r="24" spans="1:11" ht="28.8">
      <c r="F24" s="54" t="s">
        <v>248</v>
      </c>
      <c r="H24" s="145" t="s">
        <v>270</v>
      </c>
      <c r="I24" s="56" t="s">
        <v>271</v>
      </c>
    </row>
    <row r="25" spans="1:11" ht="28.8">
      <c r="F25" s="54" t="s">
        <v>235</v>
      </c>
      <c r="H25" s="145" t="s">
        <v>603</v>
      </c>
      <c r="I25" s="189" t="s">
        <v>511</v>
      </c>
    </row>
    <row r="26" spans="1:11" ht="28.8">
      <c r="F26" s="54" t="s">
        <v>259</v>
      </c>
      <c r="H26" s="145" t="s">
        <v>603</v>
      </c>
      <c r="I26" t="s">
        <v>510</v>
      </c>
    </row>
    <row r="27" spans="1:11">
      <c r="F27" s="54" t="s">
        <v>249</v>
      </c>
      <c r="H27" s="126" t="s">
        <v>360</v>
      </c>
      <c r="I27" s="56" t="s">
        <v>409</v>
      </c>
    </row>
    <row r="28" spans="1:11" ht="53.4">
      <c r="F28" s="199" t="s">
        <v>604</v>
      </c>
      <c r="G28" s="145" t="s">
        <v>605</v>
      </c>
      <c r="H28" t="s">
        <v>602</v>
      </c>
      <c r="I28" s="56" t="s">
        <v>317</v>
      </c>
    </row>
    <row r="29" spans="1:11">
      <c r="F29" s="54" t="s">
        <v>250</v>
      </c>
      <c r="H29" t="s">
        <v>288</v>
      </c>
      <c r="I29" s="56"/>
    </row>
    <row r="30" spans="1:11" ht="57.6">
      <c r="F30" s="54" t="s">
        <v>253</v>
      </c>
      <c r="H30" t="s">
        <v>304</v>
      </c>
      <c r="I30" s="146" t="s">
        <v>305</v>
      </c>
    </row>
    <row r="31" spans="1:11">
      <c r="F31" s="54"/>
      <c r="I31" s="56"/>
    </row>
    <row r="32" spans="1:11">
      <c r="F32" s="54" t="s">
        <v>260</v>
      </c>
      <c r="I32" s="56"/>
    </row>
    <row r="33" spans="6:9">
      <c r="F33" s="54"/>
      <c r="G33" t="s">
        <v>261</v>
      </c>
      <c r="I33" s="56" t="s">
        <v>63</v>
      </c>
    </row>
    <row r="34" spans="6:9">
      <c r="F34" s="54"/>
      <c r="G34" t="s">
        <v>262</v>
      </c>
      <c r="I34" s="56" t="s">
        <v>63</v>
      </c>
    </row>
    <row r="35" spans="6:9">
      <c r="F35" s="54"/>
      <c r="G35" t="s">
        <v>263</v>
      </c>
      <c r="I35" s="56" t="s">
        <v>407</v>
      </c>
    </row>
    <row r="36" spans="6:9">
      <c r="F36" s="54"/>
      <c r="G36" t="s">
        <v>264</v>
      </c>
      <c r="I36" s="56" t="s">
        <v>408</v>
      </c>
    </row>
    <row r="37" spans="6:9">
      <c r="F37" s="54"/>
      <c r="G37" t="s">
        <v>265</v>
      </c>
      <c r="I37" s="56" t="s">
        <v>398</v>
      </c>
    </row>
    <row r="38" spans="6:9">
      <c r="F38" s="54"/>
      <c r="G38" t="s">
        <v>622</v>
      </c>
      <c r="I38" s="56" t="s">
        <v>623</v>
      </c>
    </row>
    <row r="39" spans="6:9" ht="15" thickBot="1">
      <c r="F39" s="57"/>
      <c r="G39" s="142" t="s">
        <v>316</v>
      </c>
      <c r="H39" s="142"/>
      <c r="I39" s="147" t="s">
        <v>300</v>
      </c>
    </row>
  </sheetData>
  <pageMargins left="0.7" right="0.7" top="0.75" bottom="0.75" header="0.3" footer="0.3"/>
  <pageSetup scale="3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9A99-6A6E-4DD3-8EB4-18275271F7F2}">
  <sheetPr codeName="Sheet11">
    <pageSetUpPr fitToPage="1"/>
  </sheetPr>
  <dimension ref="B2:M20"/>
  <sheetViews>
    <sheetView workbookViewId="0">
      <selection activeCell="F14" sqref="F14"/>
    </sheetView>
  </sheetViews>
  <sheetFormatPr defaultRowHeight="13.2"/>
  <cols>
    <col min="2" max="2" width="28" bestFit="1" customWidth="1"/>
    <col min="3" max="3" width="14.109375" customWidth="1"/>
    <col min="4" max="4" width="28.109375" bestFit="1" customWidth="1"/>
    <col min="5" max="5" width="3.5546875" customWidth="1"/>
    <col min="6" max="6" width="33.109375" bestFit="1" customWidth="1"/>
    <col min="7" max="7" width="4.109375" customWidth="1"/>
    <col min="13" max="13" width="29.5546875" customWidth="1"/>
  </cols>
  <sheetData>
    <row r="2" spans="2:13" s="182" customFormat="1" ht="13.8">
      <c r="B2" s="182" t="s">
        <v>485</v>
      </c>
      <c r="D2" s="182" t="s">
        <v>486</v>
      </c>
      <c r="F2" s="182" t="s">
        <v>487</v>
      </c>
      <c r="H2" s="182" t="s">
        <v>496</v>
      </c>
      <c r="M2"/>
    </row>
    <row r="3" spans="2:13">
      <c r="D3" t="s">
        <v>534</v>
      </c>
      <c r="H3" t="s">
        <v>248</v>
      </c>
      <c r="K3" s="183"/>
      <c r="M3" s="184"/>
    </row>
    <row r="4" spans="2:13" ht="52.8">
      <c r="B4" t="s">
        <v>488</v>
      </c>
      <c r="C4" s="126" t="s">
        <v>531</v>
      </c>
      <c r="D4" t="s">
        <v>491</v>
      </c>
      <c r="F4" t="s">
        <v>266</v>
      </c>
      <c r="H4" t="s">
        <v>249</v>
      </c>
      <c r="K4" s="183"/>
      <c r="M4" s="185"/>
    </row>
    <row r="5" spans="2:13" ht="39.6">
      <c r="B5" s="126" t="s">
        <v>533</v>
      </c>
      <c r="C5" s="126" t="s">
        <v>532</v>
      </c>
      <c r="F5" t="s">
        <v>267</v>
      </c>
      <c r="G5" s="183"/>
      <c r="H5" t="s">
        <v>259</v>
      </c>
      <c r="M5" s="184"/>
    </row>
    <row r="6" spans="2:13">
      <c r="B6" t="s">
        <v>489</v>
      </c>
      <c r="C6" t="s">
        <v>498</v>
      </c>
      <c r="F6" t="s">
        <v>492</v>
      </c>
      <c r="H6" t="s">
        <v>235</v>
      </c>
      <c r="K6" t="s">
        <v>512</v>
      </c>
      <c r="M6" s="185"/>
    </row>
    <row r="7" spans="2:13">
      <c r="B7" t="s">
        <v>490</v>
      </c>
      <c r="C7" t="s">
        <v>493</v>
      </c>
      <c r="H7" t="s">
        <v>250</v>
      </c>
    </row>
    <row r="8" spans="2:13">
      <c r="H8" t="s">
        <v>268</v>
      </c>
    </row>
    <row r="9" spans="2:13">
      <c r="I9" t="s">
        <v>494</v>
      </c>
    </row>
    <row r="10" spans="2:13" ht="15.6">
      <c r="B10" s="190" t="s">
        <v>499</v>
      </c>
      <c r="I10" t="s">
        <v>497</v>
      </c>
    </row>
    <row r="11" spans="2:13">
      <c r="B11" t="s">
        <v>500</v>
      </c>
      <c r="C11" s="186" t="s">
        <v>501</v>
      </c>
      <c r="D11" t="s">
        <v>536</v>
      </c>
    </row>
    <row r="12" spans="2:13">
      <c r="B12" t="s">
        <v>502</v>
      </c>
      <c r="C12" s="183">
        <v>82</v>
      </c>
      <c r="H12" t="s">
        <v>535</v>
      </c>
    </row>
    <row r="13" spans="2:13">
      <c r="B13" t="s">
        <v>503</v>
      </c>
      <c r="C13" s="186" t="s">
        <v>501</v>
      </c>
      <c r="D13" t="s">
        <v>527</v>
      </c>
      <c r="I13" t="s">
        <v>261</v>
      </c>
    </row>
    <row r="14" spans="2:13">
      <c r="B14" t="s">
        <v>246</v>
      </c>
      <c r="C14" s="186"/>
      <c r="I14" t="s">
        <v>253</v>
      </c>
    </row>
    <row r="15" spans="2:13">
      <c r="B15" s="186" t="s">
        <v>504</v>
      </c>
      <c r="C15" s="186" t="s">
        <v>501</v>
      </c>
      <c r="D15" t="s">
        <v>506</v>
      </c>
      <c r="I15" t="s">
        <v>263</v>
      </c>
    </row>
    <row r="16" spans="2:13">
      <c r="B16" s="186" t="s">
        <v>249</v>
      </c>
      <c r="C16" s="186" t="s">
        <v>501</v>
      </c>
      <c r="D16" s="187" t="s">
        <v>509</v>
      </c>
      <c r="I16" t="s">
        <v>264</v>
      </c>
    </row>
    <row r="17" spans="2:9">
      <c r="B17" s="186" t="s">
        <v>259</v>
      </c>
      <c r="C17" s="186"/>
      <c r="D17" t="s">
        <v>529</v>
      </c>
      <c r="I17" t="s">
        <v>265</v>
      </c>
    </row>
    <row r="18" spans="2:9">
      <c r="B18" s="186" t="s">
        <v>235</v>
      </c>
      <c r="C18" s="186"/>
      <c r="D18" t="s">
        <v>529</v>
      </c>
      <c r="I18" t="s">
        <v>316</v>
      </c>
    </row>
    <row r="19" spans="2:9">
      <c r="B19" t="s">
        <v>507</v>
      </c>
      <c r="C19" s="186" t="s">
        <v>501</v>
      </c>
      <c r="D19" t="s">
        <v>517</v>
      </c>
    </row>
    <row r="20" spans="2:9">
      <c r="B20" t="s">
        <v>495</v>
      </c>
      <c r="C20" s="186" t="s">
        <v>501</v>
      </c>
      <c r="D20" t="s">
        <v>530</v>
      </c>
      <c r="H20" t="s">
        <v>528</v>
      </c>
    </row>
  </sheetData>
  <pageMargins left="0.7" right="0.7" top="0.75" bottom="0.75" header="0.3" footer="0.3"/>
  <pageSetup scale="6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012E-69DF-4724-B168-87F7B0D2F539}">
  <sheetPr codeName="Sheet10"/>
  <dimension ref="A1:R64"/>
  <sheetViews>
    <sheetView topLeftCell="B1" workbookViewId="0">
      <selection activeCell="G19" sqref="G19"/>
    </sheetView>
  </sheetViews>
  <sheetFormatPr defaultRowHeight="13.2"/>
  <cols>
    <col min="1" max="1" width="16.109375" customWidth="1"/>
    <col min="2" max="2" width="20.5546875" customWidth="1"/>
    <col min="3" max="3" width="18" bestFit="1" customWidth="1"/>
    <col min="4" max="4" width="18" customWidth="1"/>
    <col min="5" max="5" width="3.44140625" customWidth="1"/>
    <col min="6" max="6" width="20.5546875" bestFit="1" customWidth="1"/>
    <col min="7" max="7" width="13.88671875" customWidth="1"/>
    <col min="8" max="8" width="10.88671875" customWidth="1"/>
    <col min="9" max="9" width="8.21875" customWidth="1"/>
    <col min="10" max="10" width="3.44140625" customWidth="1"/>
    <col min="11" max="11" width="17" customWidth="1"/>
    <col min="12" max="12" width="12.5546875" customWidth="1"/>
    <col min="13" max="13" width="16.21875" customWidth="1"/>
    <col min="14" max="14" width="13.6640625" customWidth="1"/>
    <col min="15" max="15" width="5.6640625" customWidth="1"/>
    <col min="16" max="16" width="13.109375" customWidth="1"/>
    <col min="23" max="23" width="12.109375" customWidth="1"/>
  </cols>
  <sheetData>
    <row r="1" spans="1:18">
      <c r="L1" t="s">
        <v>386</v>
      </c>
      <c r="P1" t="s">
        <v>387</v>
      </c>
    </row>
    <row r="2" spans="1:18">
      <c r="A2" s="1" t="s">
        <v>297</v>
      </c>
      <c r="N2" t="s">
        <v>374</v>
      </c>
    </row>
    <row r="3" spans="1:18">
      <c r="D3" t="s">
        <v>366</v>
      </c>
      <c r="F3" t="s">
        <v>376</v>
      </c>
      <c r="G3" t="s">
        <v>437</v>
      </c>
      <c r="K3" t="s">
        <v>252</v>
      </c>
      <c r="L3" s="2">
        <v>87</v>
      </c>
      <c r="M3" t="s">
        <v>348</v>
      </c>
      <c r="N3" s="127">
        <f>L3/(2.5*128)</f>
        <v>0.27187499999999998</v>
      </c>
      <c r="P3" s="127">
        <v>108.17</v>
      </c>
      <c r="Q3" t="s">
        <v>348</v>
      </c>
    </row>
    <row r="4" spans="1:18" ht="14.4">
      <c r="A4" s="125" t="s">
        <v>107</v>
      </c>
      <c r="B4" t="s">
        <v>295</v>
      </c>
      <c r="C4" t="s">
        <v>337</v>
      </c>
      <c r="D4" t="s">
        <v>373</v>
      </c>
      <c r="F4" s="127">
        <f>40*N4</f>
        <v>42.5</v>
      </c>
      <c r="G4" s="127">
        <f>F4/2</f>
        <v>21.25</v>
      </c>
      <c r="K4" t="s">
        <v>349</v>
      </c>
      <c r="L4" s="2">
        <v>136</v>
      </c>
      <c r="M4" t="s">
        <v>436</v>
      </c>
      <c r="N4" s="127">
        <f>L4/(128)</f>
        <v>1.0625</v>
      </c>
      <c r="P4" s="127"/>
    </row>
    <row r="5" spans="1:18">
      <c r="A5" t="s">
        <v>252</v>
      </c>
      <c r="B5" t="s">
        <v>317</v>
      </c>
      <c r="C5" t="s">
        <v>336</v>
      </c>
      <c r="D5" t="s">
        <v>372</v>
      </c>
      <c r="F5" s="127">
        <f>100*N3</f>
        <v>27.187499999999996</v>
      </c>
      <c r="G5" s="127">
        <f t="shared" ref="G5:G8" si="0">F5/2</f>
        <v>13.593749999999998</v>
      </c>
      <c r="K5" t="s">
        <v>38</v>
      </c>
      <c r="L5" s="2">
        <v>30</v>
      </c>
      <c r="M5" t="s">
        <v>350</v>
      </c>
      <c r="N5" s="127">
        <f>L5/32</f>
        <v>0.9375</v>
      </c>
      <c r="P5" s="127">
        <v>43.53</v>
      </c>
      <c r="Q5" t="s">
        <v>388</v>
      </c>
    </row>
    <row r="6" spans="1:18">
      <c r="A6" t="s">
        <v>105</v>
      </c>
      <c r="B6" t="s">
        <v>303</v>
      </c>
      <c r="C6" t="s">
        <v>333</v>
      </c>
      <c r="D6" t="s">
        <v>369</v>
      </c>
      <c r="F6" s="127">
        <f>60*N5</f>
        <v>56.25</v>
      </c>
      <c r="G6" s="127">
        <f t="shared" si="0"/>
        <v>28.125</v>
      </c>
      <c r="K6" t="s">
        <v>351</v>
      </c>
      <c r="L6" s="2">
        <v>93.75</v>
      </c>
      <c r="M6" t="s">
        <v>353</v>
      </c>
      <c r="N6" s="127">
        <f>L6/8</f>
        <v>11.71875</v>
      </c>
      <c r="P6" s="127">
        <v>26.65</v>
      </c>
      <c r="Q6" t="s">
        <v>352</v>
      </c>
    </row>
    <row r="7" spans="1:18" ht="27" customHeight="1">
      <c r="A7" t="s">
        <v>564</v>
      </c>
      <c r="B7" t="s">
        <v>565</v>
      </c>
      <c r="C7" t="s">
        <v>566</v>
      </c>
      <c r="D7" t="s">
        <v>567</v>
      </c>
      <c r="F7" s="127">
        <f>0.7*N7</f>
        <v>5.6</v>
      </c>
      <c r="G7" s="127">
        <f t="shared" si="0"/>
        <v>2.8</v>
      </c>
      <c r="K7" t="s">
        <v>564</v>
      </c>
      <c r="L7" s="2">
        <v>32</v>
      </c>
      <c r="M7" t="s">
        <v>568</v>
      </c>
      <c r="N7" s="127">
        <f>L7/4</f>
        <v>8</v>
      </c>
      <c r="P7" s="127"/>
    </row>
    <row r="8" spans="1:18" ht="26.4">
      <c r="A8" t="s">
        <v>110</v>
      </c>
      <c r="B8" t="s">
        <v>328</v>
      </c>
      <c r="D8" t="s">
        <v>367</v>
      </c>
      <c r="F8" s="127">
        <f>(3*32)*$N$16</f>
        <v>6.6270000000000007</v>
      </c>
      <c r="G8" s="127">
        <f t="shared" si="0"/>
        <v>3.3135000000000003</v>
      </c>
      <c r="K8" t="s">
        <v>301</v>
      </c>
      <c r="L8" s="2">
        <v>1968.4</v>
      </c>
      <c r="M8" t="s">
        <v>354</v>
      </c>
      <c r="N8" s="127">
        <f>L8/128</f>
        <v>15.378125000000001</v>
      </c>
      <c r="P8" s="131" t="s">
        <v>392</v>
      </c>
      <c r="Q8" t="s">
        <v>391</v>
      </c>
      <c r="R8" t="s">
        <v>393</v>
      </c>
    </row>
    <row r="9" spans="1:18" ht="28.8">
      <c r="A9" s="125"/>
      <c r="F9" s="128">
        <f>SUM(F4:F8)</f>
        <v>138.1645</v>
      </c>
      <c r="G9" s="127">
        <f>SUM(G4:G8)</f>
        <v>69.082250000000002</v>
      </c>
      <c r="H9" s="128">
        <f>F9/108.9</f>
        <v>1.2687281910009183</v>
      </c>
      <c r="K9" s="125" t="s">
        <v>356</v>
      </c>
      <c r="L9" s="2">
        <v>99</v>
      </c>
      <c r="M9" t="s">
        <v>357</v>
      </c>
      <c r="N9" s="127">
        <f>L9/1.25</f>
        <v>79.2</v>
      </c>
      <c r="P9" s="127">
        <v>98</v>
      </c>
      <c r="Q9" t="s">
        <v>357</v>
      </c>
    </row>
    <row r="10" spans="1:18" ht="14.4">
      <c r="A10" s="1" t="s">
        <v>243</v>
      </c>
      <c r="H10" s="1" t="s">
        <v>377</v>
      </c>
      <c r="K10" s="125" t="s">
        <v>428</v>
      </c>
      <c r="L10" s="2">
        <v>530.83000000000004</v>
      </c>
      <c r="M10" t="s">
        <v>371</v>
      </c>
      <c r="N10" s="127">
        <f>L10/20</f>
        <v>26.541500000000003</v>
      </c>
      <c r="P10" s="127"/>
    </row>
    <row r="11" spans="1:18" ht="14.4">
      <c r="D11" t="s">
        <v>366</v>
      </c>
      <c r="K11" s="125" t="s">
        <v>23</v>
      </c>
      <c r="L11" s="2">
        <v>132.79</v>
      </c>
      <c r="M11" t="s">
        <v>358</v>
      </c>
      <c r="N11" s="127">
        <f>L11/50</f>
        <v>2.6557999999999997</v>
      </c>
      <c r="O11" t="s">
        <v>375</v>
      </c>
      <c r="P11" s="127">
        <v>135.80000000000001</v>
      </c>
      <c r="Q11" t="s">
        <v>358</v>
      </c>
    </row>
    <row r="12" spans="1:18" ht="14.4">
      <c r="A12" s="196" t="s">
        <v>301</v>
      </c>
      <c r="B12" s="196" t="s">
        <v>302</v>
      </c>
      <c r="C12" s="196" t="s">
        <v>332</v>
      </c>
      <c r="D12" s="196" t="s">
        <v>368</v>
      </c>
      <c r="F12" s="127">
        <f>15*N8</f>
        <v>230.671875</v>
      </c>
      <c r="G12" s="127">
        <f t="shared" ref="G12:G15" si="1">F12/2</f>
        <v>115.3359375</v>
      </c>
      <c r="K12" s="125" t="s">
        <v>359</v>
      </c>
      <c r="L12" s="2">
        <v>54.61</v>
      </c>
      <c r="M12" t="s">
        <v>327</v>
      </c>
      <c r="N12" s="127">
        <f>L12/64</f>
        <v>0.85328124999999999</v>
      </c>
      <c r="P12" s="127"/>
    </row>
    <row r="13" spans="1:18" ht="14.4">
      <c r="A13" s="125" t="s">
        <v>107</v>
      </c>
      <c r="B13" t="s">
        <v>295</v>
      </c>
      <c r="C13" t="s">
        <v>337</v>
      </c>
      <c r="D13" t="s">
        <v>373</v>
      </c>
      <c r="F13" s="127">
        <f>60*N5</f>
        <v>56.25</v>
      </c>
      <c r="G13" s="127">
        <f t="shared" si="1"/>
        <v>28.125</v>
      </c>
      <c r="K13" s="125" t="s">
        <v>273</v>
      </c>
      <c r="L13" s="2">
        <v>85.83</v>
      </c>
      <c r="M13" t="s">
        <v>354</v>
      </c>
      <c r="N13" s="127">
        <f>L13/128</f>
        <v>0.67054687499999999</v>
      </c>
      <c r="P13" s="127"/>
    </row>
    <row r="14" spans="1:18" ht="14.4">
      <c r="A14" s="125" t="s">
        <v>300</v>
      </c>
      <c r="B14" t="s">
        <v>303</v>
      </c>
      <c r="C14" t="s">
        <v>333</v>
      </c>
      <c r="D14" t="s">
        <v>369</v>
      </c>
      <c r="F14" s="127">
        <f>2.5*N9</f>
        <v>198</v>
      </c>
      <c r="G14" s="127">
        <f t="shared" si="1"/>
        <v>99</v>
      </c>
      <c r="K14" s="125" t="s">
        <v>361</v>
      </c>
      <c r="L14" s="2">
        <v>47.03</v>
      </c>
      <c r="M14" t="s">
        <v>362</v>
      </c>
      <c r="N14" s="127">
        <f>L14/32</f>
        <v>1.4696875</v>
      </c>
      <c r="P14" s="127"/>
    </row>
    <row r="15" spans="1:18" ht="14.4">
      <c r="A15" s="125" t="s">
        <v>63</v>
      </c>
      <c r="B15" t="s">
        <v>296</v>
      </c>
      <c r="C15" t="s">
        <v>334</v>
      </c>
      <c r="D15" t="s">
        <v>370</v>
      </c>
      <c r="F15" s="127">
        <f>(2.5)*$N$9</f>
        <v>198</v>
      </c>
      <c r="G15" s="127">
        <f t="shared" si="1"/>
        <v>99</v>
      </c>
      <c r="H15" s="128">
        <f>F16/108.9</f>
        <v>6.2710915977961426</v>
      </c>
      <c r="K15" s="125" t="s">
        <v>318</v>
      </c>
      <c r="L15" s="2">
        <v>300</v>
      </c>
      <c r="M15" t="s">
        <v>363</v>
      </c>
      <c r="P15" s="127">
        <v>307.02</v>
      </c>
      <c r="Q15" t="s">
        <v>363</v>
      </c>
    </row>
    <row r="16" spans="1:18" ht="43.2">
      <c r="A16" s="125" t="s">
        <v>110</v>
      </c>
      <c r="B16" t="s">
        <v>600</v>
      </c>
      <c r="D16" t="s">
        <v>330</v>
      </c>
      <c r="F16" s="128">
        <f>SUM(F12:F15)</f>
        <v>682.921875</v>
      </c>
      <c r="G16" s="127">
        <f>SUM(G12:G15)</f>
        <v>341.4609375</v>
      </c>
      <c r="H16" s="1" t="s">
        <v>377</v>
      </c>
      <c r="K16" s="125" t="s">
        <v>364</v>
      </c>
      <c r="L16" s="2">
        <v>88.36</v>
      </c>
      <c r="M16" t="s">
        <v>365</v>
      </c>
      <c r="N16" s="127">
        <f>L16/(2.5*4*128)</f>
        <v>6.9031250000000002E-2</v>
      </c>
      <c r="P16" s="127"/>
    </row>
    <row r="17" spans="1:17" ht="43.2">
      <c r="K17" s="125" t="s">
        <v>355</v>
      </c>
      <c r="L17" s="2">
        <v>37.04</v>
      </c>
      <c r="M17" t="s">
        <v>354</v>
      </c>
      <c r="N17" s="127">
        <f>L17/128</f>
        <v>0.28937499999999999</v>
      </c>
      <c r="P17" s="127">
        <v>81.95</v>
      </c>
      <c r="Q17" t="s">
        <v>348</v>
      </c>
    </row>
    <row r="18" spans="1:17" ht="14.4">
      <c r="A18" s="1" t="s">
        <v>310</v>
      </c>
      <c r="K18" s="125" t="s">
        <v>68</v>
      </c>
      <c r="L18" s="2">
        <v>108.93</v>
      </c>
      <c r="M18" t="s">
        <v>348</v>
      </c>
      <c r="N18" s="127">
        <f>L18/(2.5*128)</f>
        <v>0.34040625000000002</v>
      </c>
      <c r="P18" s="127"/>
    </row>
    <row r="19" spans="1:17" ht="14.4">
      <c r="D19" t="s">
        <v>366</v>
      </c>
      <c r="F19" s="127">
        <f>40*N5</f>
        <v>37.5</v>
      </c>
      <c r="G19" s="127">
        <f t="shared" ref="G19:G22" si="2">F19/2</f>
        <v>18.75</v>
      </c>
      <c r="K19" s="125" t="s">
        <v>389</v>
      </c>
      <c r="P19" s="127">
        <v>46.58</v>
      </c>
      <c r="Q19" t="s">
        <v>390</v>
      </c>
    </row>
    <row r="20" spans="1:17" ht="14.4">
      <c r="A20" s="125" t="s">
        <v>294</v>
      </c>
      <c r="B20" s="125" t="s">
        <v>295</v>
      </c>
      <c r="C20" s="125" t="s">
        <v>337</v>
      </c>
      <c r="D20" s="125" t="s">
        <v>373</v>
      </c>
      <c r="F20" s="127">
        <f>0.66*N6</f>
        <v>7.734375</v>
      </c>
      <c r="G20" s="127">
        <f t="shared" si="2"/>
        <v>3.8671875</v>
      </c>
      <c r="K20" t="s">
        <v>513</v>
      </c>
      <c r="L20" s="2">
        <v>15.33</v>
      </c>
      <c r="M20" t="s">
        <v>514</v>
      </c>
      <c r="N20" s="127">
        <f>L20/16</f>
        <v>0.958125</v>
      </c>
    </row>
    <row r="21" spans="1:17" ht="14.4">
      <c r="A21" t="s">
        <v>299</v>
      </c>
      <c r="B21" t="s">
        <v>311</v>
      </c>
      <c r="C21" t="s">
        <v>338</v>
      </c>
      <c r="D21" t="s">
        <v>340</v>
      </c>
      <c r="F21" s="127">
        <f>2.66*N9</f>
        <v>210.67200000000003</v>
      </c>
      <c r="G21" s="127">
        <f t="shared" si="2"/>
        <v>105.33600000000001</v>
      </c>
      <c r="K21" s="125" t="s">
        <v>400</v>
      </c>
      <c r="L21" s="2">
        <v>72.66</v>
      </c>
      <c r="M21" t="s">
        <v>515</v>
      </c>
      <c r="N21" s="127">
        <f>L21/30</f>
        <v>2.4219999999999997</v>
      </c>
      <c r="O21" t="s">
        <v>375</v>
      </c>
    </row>
    <row r="22" spans="1:17" ht="28.8">
      <c r="A22" s="125" t="s">
        <v>63</v>
      </c>
      <c r="B22" t="s">
        <v>312</v>
      </c>
      <c r="C22" t="s">
        <v>339</v>
      </c>
      <c r="D22" t="s">
        <v>341</v>
      </c>
      <c r="F22" s="127">
        <f>(3*32)*$N$16</f>
        <v>6.6270000000000007</v>
      </c>
      <c r="G22" s="127">
        <f t="shared" si="2"/>
        <v>3.3135000000000003</v>
      </c>
      <c r="H22" s="128">
        <f>F23/108.9</f>
        <v>2.41077479338843</v>
      </c>
      <c r="J22" s="1" t="s">
        <v>245</v>
      </c>
      <c r="K22" s="125" t="s">
        <v>524</v>
      </c>
      <c r="L22" s="2">
        <v>82.77</v>
      </c>
      <c r="M22" t="s">
        <v>348</v>
      </c>
      <c r="N22" s="127">
        <v>0.26</v>
      </c>
      <c r="P22" s="127">
        <f>N22*2.66</f>
        <v>0.6916000000000001</v>
      </c>
      <c r="Q22" t="s">
        <v>516</v>
      </c>
    </row>
    <row r="23" spans="1:17" ht="14.4">
      <c r="A23" s="125" t="s">
        <v>110</v>
      </c>
      <c r="B23" t="s">
        <v>328</v>
      </c>
      <c r="D23" t="s">
        <v>367</v>
      </c>
      <c r="F23" s="128">
        <f>SUM(F19:F22)</f>
        <v>262.53337500000004</v>
      </c>
      <c r="G23" s="127">
        <f>SUM(G19:G22)</f>
        <v>131.26668750000002</v>
      </c>
      <c r="H23" s="1" t="s">
        <v>377</v>
      </c>
      <c r="J23" t="s">
        <v>282</v>
      </c>
      <c r="K23" s="125"/>
      <c r="L23" s="2"/>
      <c r="N23" s="127"/>
      <c r="P23" s="127"/>
    </row>
    <row r="24" spans="1:17">
      <c r="J24" t="s">
        <v>283</v>
      </c>
      <c r="N24" s="127"/>
    </row>
    <row r="25" spans="1:17">
      <c r="A25" s="1" t="s">
        <v>244</v>
      </c>
      <c r="J25" t="s">
        <v>284</v>
      </c>
      <c r="L25" s="2">
        <v>48</v>
      </c>
      <c r="M25" t="s">
        <v>358</v>
      </c>
      <c r="N25" s="127">
        <v>0.96</v>
      </c>
      <c r="O25" t="s">
        <v>375</v>
      </c>
    </row>
    <row r="26" spans="1:17">
      <c r="D26" t="s">
        <v>366</v>
      </c>
      <c r="F26" s="127">
        <f>20*N5</f>
        <v>18.75</v>
      </c>
      <c r="G26" s="127">
        <f t="shared" ref="G26:G29" si="3">F26/2</f>
        <v>9.375</v>
      </c>
      <c r="J26" t="s">
        <v>329</v>
      </c>
      <c r="N26" s="127"/>
    </row>
    <row r="27" spans="1:17" ht="14.4">
      <c r="A27" s="125" t="s">
        <v>52</v>
      </c>
      <c r="B27" s="125" t="s">
        <v>293</v>
      </c>
      <c r="C27" s="125" t="s">
        <v>331</v>
      </c>
      <c r="D27" s="125" t="s">
        <v>371</v>
      </c>
      <c r="F27" s="127">
        <f>100*N3</f>
        <v>27.187499999999996</v>
      </c>
      <c r="G27" s="127">
        <f t="shared" si="3"/>
        <v>13.593749999999998</v>
      </c>
      <c r="N27" s="127" t="s">
        <v>526</v>
      </c>
    </row>
    <row r="28" spans="1:17" ht="14.4">
      <c r="A28" s="125" t="s">
        <v>252</v>
      </c>
      <c r="B28" s="125" t="s">
        <v>317</v>
      </c>
      <c r="C28" s="125" t="s">
        <v>336</v>
      </c>
      <c r="D28" s="125" t="s">
        <v>372</v>
      </c>
      <c r="F28" s="127">
        <f>40*N5</f>
        <v>37.5</v>
      </c>
      <c r="G28" s="127">
        <f t="shared" si="3"/>
        <v>18.75</v>
      </c>
      <c r="J28" s="1" t="s">
        <v>246</v>
      </c>
      <c r="N28" s="127"/>
    </row>
    <row r="29" spans="1:17" ht="14.4">
      <c r="A29" s="125" t="s">
        <v>294</v>
      </c>
      <c r="B29" s="125" t="s">
        <v>295</v>
      </c>
      <c r="C29" s="125" t="s">
        <v>337</v>
      </c>
      <c r="D29" s="125" t="s">
        <v>373</v>
      </c>
      <c r="F29" s="127">
        <f>2.5*N10</f>
        <v>66.353750000000005</v>
      </c>
      <c r="G29" s="127">
        <f t="shared" si="3"/>
        <v>33.176875000000003</v>
      </c>
      <c r="H29" s="128">
        <f>F30/108.9</f>
        <v>1.375493572084481</v>
      </c>
    </row>
    <row r="30" spans="1:17" ht="14.4">
      <c r="A30" s="125" t="s">
        <v>428</v>
      </c>
      <c r="B30" s="125" t="s">
        <v>296</v>
      </c>
      <c r="C30" s="125" t="s">
        <v>334</v>
      </c>
      <c r="D30" s="125" t="s">
        <v>370</v>
      </c>
      <c r="F30" s="128">
        <f>SUM(F26:F29)</f>
        <v>149.79124999999999</v>
      </c>
      <c r="G30" s="127">
        <f>SUM(G26:G29)</f>
        <v>74.895624999999995</v>
      </c>
      <c r="H30" s="1" t="s">
        <v>377</v>
      </c>
      <c r="J30" t="s">
        <v>247</v>
      </c>
    </row>
    <row r="31" spans="1:17">
      <c r="J31" t="s">
        <v>248</v>
      </c>
    </row>
    <row r="32" spans="1:17">
      <c r="A32" s="1" t="s">
        <v>313</v>
      </c>
      <c r="F32">
        <v>12.45</v>
      </c>
      <c r="G32" s="127">
        <f>F32*H29</f>
        <v>17.124894972451788</v>
      </c>
      <c r="J32" t="s">
        <v>235</v>
      </c>
      <c r="L32" t="s">
        <v>22</v>
      </c>
      <c r="M32" t="s">
        <v>269</v>
      </c>
    </row>
    <row r="33" spans="1:14" ht="14.4">
      <c r="D33" t="s">
        <v>342</v>
      </c>
      <c r="G33" s="127"/>
      <c r="J33" t="s">
        <v>259</v>
      </c>
      <c r="L33" s="29" t="s">
        <v>270</v>
      </c>
      <c r="N33" t="s">
        <v>271</v>
      </c>
    </row>
    <row r="34" spans="1:14" ht="14.4">
      <c r="A34" s="125" t="s">
        <v>63</v>
      </c>
      <c r="B34" t="s">
        <v>312</v>
      </c>
      <c r="C34" t="s">
        <v>339</v>
      </c>
      <c r="D34" t="s">
        <v>343</v>
      </c>
      <c r="G34" s="127"/>
      <c r="J34" t="s">
        <v>249</v>
      </c>
      <c r="M34" t="s">
        <v>272</v>
      </c>
    </row>
    <row r="35" spans="1:14">
      <c r="A35" t="s">
        <v>299</v>
      </c>
      <c r="B35" t="s">
        <v>311</v>
      </c>
      <c r="C35" t="s">
        <v>338</v>
      </c>
      <c r="D35" t="s">
        <v>344</v>
      </c>
      <c r="G35" s="127"/>
      <c r="J35" t="s">
        <v>268</v>
      </c>
      <c r="M35" t="s">
        <v>272</v>
      </c>
    </row>
    <row r="36" spans="1:14" ht="26.4">
      <c r="J36" t="s">
        <v>250</v>
      </c>
      <c r="M36" s="126" t="s">
        <v>345</v>
      </c>
      <c r="N36" t="s">
        <v>346</v>
      </c>
    </row>
    <row r="37" spans="1:14">
      <c r="J37" t="s">
        <v>253</v>
      </c>
    </row>
    <row r="38" spans="1:14">
      <c r="L38" t="s">
        <v>288</v>
      </c>
    </row>
    <row r="39" spans="1:14" ht="14.4">
      <c r="J39" t="s">
        <v>260</v>
      </c>
      <c r="L39" t="s">
        <v>304</v>
      </c>
      <c r="M39" s="29" t="s">
        <v>305</v>
      </c>
    </row>
    <row r="43" spans="1:14">
      <c r="K43" t="s">
        <v>261</v>
      </c>
      <c r="M43" t="s">
        <v>63</v>
      </c>
    </row>
    <row r="44" spans="1:14">
      <c r="K44" t="s">
        <v>262</v>
      </c>
      <c r="M44" t="s">
        <v>63</v>
      </c>
    </row>
    <row r="45" spans="1:14">
      <c r="K45" t="s">
        <v>263</v>
      </c>
      <c r="M45" t="s">
        <v>287</v>
      </c>
    </row>
    <row r="46" spans="1:14">
      <c r="K46" t="s">
        <v>264</v>
      </c>
      <c r="M46" t="s">
        <v>324</v>
      </c>
    </row>
    <row r="47" spans="1:14">
      <c r="K47" t="s">
        <v>265</v>
      </c>
      <c r="M47" t="s">
        <v>347</v>
      </c>
    </row>
    <row r="48" spans="1:14">
      <c r="K48" t="s">
        <v>316</v>
      </c>
      <c r="N48" t="s">
        <v>294</v>
      </c>
    </row>
    <row r="50" spans="12:17">
      <c r="L50" t="s">
        <v>361</v>
      </c>
    </row>
    <row r="51" spans="12:17">
      <c r="L51" t="s">
        <v>410</v>
      </c>
      <c r="M51" t="s">
        <v>362</v>
      </c>
      <c r="N51" s="2">
        <v>47.03</v>
      </c>
      <c r="P51" s="127">
        <f>(N51/4)/43.56</f>
        <v>0.26991505968778695</v>
      </c>
      <c r="Q51" t="s">
        <v>508</v>
      </c>
    </row>
    <row r="52" spans="12:17">
      <c r="M52" t="s">
        <v>416</v>
      </c>
      <c r="N52" s="2">
        <v>27.51</v>
      </c>
    </row>
    <row r="53" spans="12:17">
      <c r="L53" t="s">
        <v>389</v>
      </c>
      <c r="M53" t="s">
        <v>390</v>
      </c>
      <c r="N53" s="2">
        <v>419.42</v>
      </c>
      <c r="P53" s="127">
        <f>N53/25</f>
        <v>16.776800000000001</v>
      </c>
    </row>
    <row r="54" spans="12:17">
      <c r="M54" t="s">
        <v>390</v>
      </c>
      <c r="N54" s="2">
        <v>42.16</v>
      </c>
    </row>
    <row r="55" spans="12:17">
      <c r="N55" s="2"/>
    </row>
    <row r="56" spans="12:17">
      <c r="L56" t="s">
        <v>505</v>
      </c>
      <c r="N56" s="2">
        <v>49.95</v>
      </c>
      <c r="P56" s="127">
        <f>N56/25</f>
        <v>1.9980000000000002</v>
      </c>
      <c r="Q56" t="s">
        <v>375</v>
      </c>
    </row>
    <row r="57" spans="12:17">
      <c r="N57" s="2"/>
      <c r="P57" s="127"/>
    </row>
    <row r="58" spans="12:17" ht="26.4">
      <c r="L58" s="126" t="s">
        <v>272</v>
      </c>
      <c r="M58" s="188" t="s">
        <v>354</v>
      </c>
      <c r="N58" s="2">
        <v>85.53</v>
      </c>
      <c r="P58" s="127">
        <v>0.66</v>
      </c>
    </row>
    <row r="59" spans="12:17">
      <c r="N59" s="2"/>
    </row>
    <row r="60" spans="12:17">
      <c r="N60" s="2"/>
    </row>
    <row r="61" spans="12:17">
      <c r="N61" s="2"/>
    </row>
    <row r="62" spans="12:17">
      <c r="N62" s="2"/>
    </row>
    <row r="63" spans="12:17">
      <c r="N63" s="2"/>
    </row>
    <row r="64" spans="12:17">
      <c r="N64" s="2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D171-F335-4553-A912-AF2475042648}">
  <sheetPr codeName="Sheet3"/>
  <dimension ref="A1:P32"/>
  <sheetViews>
    <sheetView workbookViewId="0">
      <pane ySplit="1" topLeftCell="A20" activePane="bottomLeft" state="frozen"/>
      <selection pane="bottomLeft" activeCell="I10" sqref="I10"/>
    </sheetView>
  </sheetViews>
  <sheetFormatPr defaultRowHeight="13.2"/>
  <cols>
    <col min="1" max="1" width="17.6640625" bestFit="1" customWidth="1"/>
    <col min="2" max="2" width="22.77734375" customWidth="1"/>
    <col min="3" max="3" width="14.33203125" customWidth="1"/>
    <col min="4" max="4" width="8.88671875" customWidth="1"/>
    <col min="5" max="5" width="18.88671875" bestFit="1" customWidth="1"/>
    <col min="7" max="7" width="17.6640625" bestFit="1" customWidth="1"/>
    <col min="9" max="9" width="23.6640625" bestFit="1" customWidth="1"/>
    <col min="11" max="11" width="21.88671875" bestFit="1" customWidth="1"/>
    <col min="12" max="12" width="17" bestFit="1" customWidth="1"/>
    <col min="13" max="13" width="17" customWidth="1"/>
    <col min="14" max="14" width="13.109375" bestFit="1" customWidth="1"/>
    <col min="257" max="257" width="17.6640625" bestFit="1" customWidth="1"/>
    <col min="258" max="258" width="22.77734375" customWidth="1"/>
    <col min="259" max="259" width="14.33203125" bestFit="1" customWidth="1"/>
    <col min="261" max="261" width="18.88671875" bestFit="1" customWidth="1"/>
    <col min="263" max="263" width="17.6640625" bestFit="1" customWidth="1"/>
    <col min="265" max="265" width="23.6640625" bestFit="1" customWidth="1"/>
    <col min="267" max="267" width="21.88671875" bestFit="1" customWidth="1"/>
    <col min="513" max="513" width="17.6640625" bestFit="1" customWidth="1"/>
    <col min="514" max="514" width="22.77734375" customWidth="1"/>
    <col min="515" max="515" width="14.33203125" bestFit="1" customWidth="1"/>
    <col min="517" max="517" width="18.88671875" bestFit="1" customWidth="1"/>
    <col min="519" max="519" width="17.6640625" bestFit="1" customWidth="1"/>
    <col min="521" max="521" width="23.6640625" bestFit="1" customWidth="1"/>
    <col min="523" max="523" width="21.88671875" bestFit="1" customWidth="1"/>
    <col min="769" max="769" width="17.6640625" bestFit="1" customWidth="1"/>
    <col min="770" max="770" width="22.77734375" customWidth="1"/>
    <col min="771" max="771" width="14.33203125" bestFit="1" customWidth="1"/>
    <col min="773" max="773" width="18.88671875" bestFit="1" customWidth="1"/>
    <col min="775" max="775" width="17.6640625" bestFit="1" customWidth="1"/>
    <col min="777" max="777" width="23.6640625" bestFit="1" customWidth="1"/>
    <col min="779" max="779" width="21.88671875" bestFit="1" customWidth="1"/>
    <col min="1025" max="1025" width="17.6640625" bestFit="1" customWidth="1"/>
    <col min="1026" max="1026" width="22.77734375" customWidth="1"/>
    <col min="1027" max="1027" width="14.33203125" bestFit="1" customWidth="1"/>
    <col min="1029" max="1029" width="18.88671875" bestFit="1" customWidth="1"/>
    <col min="1031" max="1031" width="17.6640625" bestFit="1" customWidth="1"/>
    <col min="1033" max="1033" width="23.6640625" bestFit="1" customWidth="1"/>
    <col min="1035" max="1035" width="21.88671875" bestFit="1" customWidth="1"/>
    <col min="1281" max="1281" width="17.6640625" bestFit="1" customWidth="1"/>
    <col min="1282" max="1282" width="22.77734375" customWidth="1"/>
    <col min="1283" max="1283" width="14.33203125" bestFit="1" customWidth="1"/>
    <col min="1285" max="1285" width="18.88671875" bestFit="1" customWidth="1"/>
    <col min="1287" max="1287" width="17.6640625" bestFit="1" customWidth="1"/>
    <col min="1289" max="1289" width="23.6640625" bestFit="1" customWidth="1"/>
    <col min="1291" max="1291" width="21.88671875" bestFit="1" customWidth="1"/>
    <col min="1537" max="1537" width="17.6640625" bestFit="1" customWidth="1"/>
    <col min="1538" max="1538" width="22.77734375" customWidth="1"/>
    <col min="1539" max="1539" width="14.33203125" bestFit="1" customWidth="1"/>
    <col min="1541" max="1541" width="18.88671875" bestFit="1" customWidth="1"/>
    <col min="1543" max="1543" width="17.6640625" bestFit="1" customWidth="1"/>
    <col min="1545" max="1545" width="23.6640625" bestFit="1" customWidth="1"/>
    <col min="1547" max="1547" width="21.88671875" bestFit="1" customWidth="1"/>
    <col min="1793" max="1793" width="17.6640625" bestFit="1" customWidth="1"/>
    <col min="1794" max="1794" width="22.77734375" customWidth="1"/>
    <col min="1795" max="1795" width="14.33203125" bestFit="1" customWidth="1"/>
    <col min="1797" max="1797" width="18.88671875" bestFit="1" customWidth="1"/>
    <col min="1799" max="1799" width="17.6640625" bestFit="1" customWidth="1"/>
    <col min="1801" max="1801" width="23.6640625" bestFit="1" customWidth="1"/>
    <col min="1803" max="1803" width="21.88671875" bestFit="1" customWidth="1"/>
    <col min="2049" max="2049" width="17.6640625" bestFit="1" customWidth="1"/>
    <col min="2050" max="2050" width="22.77734375" customWidth="1"/>
    <col min="2051" max="2051" width="14.33203125" bestFit="1" customWidth="1"/>
    <col min="2053" max="2053" width="18.88671875" bestFit="1" customWidth="1"/>
    <col min="2055" max="2055" width="17.6640625" bestFit="1" customWidth="1"/>
    <col min="2057" max="2057" width="23.6640625" bestFit="1" customWidth="1"/>
    <col min="2059" max="2059" width="21.88671875" bestFit="1" customWidth="1"/>
    <col min="2305" max="2305" width="17.6640625" bestFit="1" customWidth="1"/>
    <col min="2306" max="2306" width="22.77734375" customWidth="1"/>
    <col min="2307" max="2307" width="14.33203125" bestFit="1" customWidth="1"/>
    <col min="2309" max="2309" width="18.88671875" bestFit="1" customWidth="1"/>
    <col min="2311" max="2311" width="17.6640625" bestFit="1" customWidth="1"/>
    <col min="2313" max="2313" width="23.6640625" bestFit="1" customWidth="1"/>
    <col min="2315" max="2315" width="21.88671875" bestFit="1" customWidth="1"/>
    <col min="2561" max="2561" width="17.6640625" bestFit="1" customWidth="1"/>
    <col min="2562" max="2562" width="22.77734375" customWidth="1"/>
    <col min="2563" max="2563" width="14.33203125" bestFit="1" customWidth="1"/>
    <col min="2565" max="2565" width="18.88671875" bestFit="1" customWidth="1"/>
    <col min="2567" max="2567" width="17.6640625" bestFit="1" customWidth="1"/>
    <col min="2569" max="2569" width="23.6640625" bestFit="1" customWidth="1"/>
    <col min="2571" max="2571" width="21.88671875" bestFit="1" customWidth="1"/>
    <col min="2817" max="2817" width="17.6640625" bestFit="1" customWidth="1"/>
    <col min="2818" max="2818" width="22.77734375" customWidth="1"/>
    <col min="2819" max="2819" width="14.33203125" bestFit="1" customWidth="1"/>
    <col min="2821" max="2821" width="18.88671875" bestFit="1" customWidth="1"/>
    <col min="2823" max="2823" width="17.6640625" bestFit="1" customWidth="1"/>
    <col min="2825" max="2825" width="23.6640625" bestFit="1" customWidth="1"/>
    <col min="2827" max="2827" width="21.88671875" bestFit="1" customWidth="1"/>
    <col min="3073" max="3073" width="17.6640625" bestFit="1" customWidth="1"/>
    <col min="3074" max="3074" width="22.77734375" customWidth="1"/>
    <col min="3075" max="3075" width="14.33203125" bestFit="1" customWidth="1"/>
    <col min="3077" max="3077" width="18.88671875" bestFit="1" customWidth="1"/>
    <col min="3079" max="3079" width="17.6640625" bestFit="1" customWidth="1"/>
    <col min="3081" max="3081" width="23.6640625" bestFit="1" customWidth="1"/>
    <col min="3083" max="3083" width="21.88671875" bestFit="1" customWidth="1"/>
    <col min="3329" max="3329" width="17.6640625" bestFit="1" customWidth="1"/>
    <col min="3330" max="3330" width="22.77734375" customWidth="1"/>
    <col min="3331" max="3331" width="14.33203125" bestFit="1" customWidth="1"/>
    <col min="3333" max="3333" width="18.88671875" bestFit="1" customWidth="1"/>
    <col min="3335" max="3335" width="17.6640625" bestFit="1" customWidth="1"/>
    <col min="3337" max="3337" width="23.6640625" bestFit="1" customWidth="1"/>
    <col min="3339" max="3339" width="21.88671875" bestFit="1" customWidth="1"/>
    <col min="3585" max="3585" width="17.6640625" bestFit="1" customWidth="1"/>
    <col min="3586" max="3586" width="22.77734375" customWidth="1"/>
    <col min="3587" max="3587" width="14.33203125" bestFit="1" customWidth="1"/>
    <col min="3589" max="3589" width="18.88671875" bestFit="1" customWidth="1"/>
    <col min="3591" max="3591" width="17.6640625" bestFit="1" customWidth="1"/>
    <col min="3593" max="3593" width="23.6640625" bestFit="1" customWidth="1"/>
    <col min="3595" max="3595" width="21.88671875" bestFit="1" customWidth="1"/>
    <col min="3841" max="3841" width="17.6640625" bestFit="1" customWidth="1"/>
    <col min="3842" max="3842" width="22.77734375" customWidth="1"/>
    <col min="3843" max="3843" width="14.33203125" bestFit="1" customWidth="1"/>
    <col min="3845" max="3845" width="18.88671875" bestFit="1" customWidth="1"/>
    <col min="3847" max="3847" width="17.6640625" bestFit="1" customWidth="1"/>
    <col min="3849" max="3849" width="23.6640625" bestFit="1" customWidth="1"/>
    <col min="3851" max="3851" width="21.88671875" bestFit="1" customWidth="1"/>
    <col min="4097" max="4097" width="17.6640625" bestFit="1" customWidth="1"/>
    <col min="4098" max="4098" width="22.77734375" customWidth="1"/>
    <col min="4099" max="4099" width="14.33203125" bestFit="1" customWidth="1"/>
    <col min="4101" max="4101" width="18.88671875" bestFit="1" customWidth="1"/>
    <col min="4103" max="4103" width="17.6640625" bestFit="1" customWidth="1"/>
    <col min="4105" max="4105" width="23.6640625" bestFit="1" customWidth="1"/>
    <col min="4107" max="4107" width="21.88671875" bestFit="1" customWidth="1"/>
    <col min="4353" max="4353" width="17.6640625" bestFit="1" customWidth="1"/>
    <col min="4354" max="4354" width="22.77734375" customWidth="1"/>
    <col min="4355" max="4355" width="14.33203125" bestFit="1" customWidth="1"/>
    <col min="4357" max="4357" width="18.88671875" bestFit="1" customWidth="1"/>
    <col min="4359" max="4359" width="17.6640625" bestFit="1" customWidth="1"/>
    <col min="4361" max="4361" width="23.6640625" bestFit="1" customWidth="1"/>
    <col min="4363" max="4363" width="21.88671875" bestFit="1" customWidth="1"/>
    <col min="4609" max="4609" width="17.6640625" bestFit="1" customWidth="1"/>
    <col min="4610" max="4610" width="22.77734375" customWidth="1"/>
    <col min="4611" max="4611" width="14.33203125" bestFit="1" customWidth="1"/>
    <col min="4613" max="4613" width="18.88671875" bestFit="1" customWidth="1"/>
    <col min="4615" max="4615" width="17.6640625" bestFit="1" customWidth="1"/>
    <col min="4617" max="4617" width="23.6640625" bestFit="1" customWidth="1"/>
    <col min="4619" max="4619" width="21.88671875" bestFit="1" customWidth="1"/>
    <col min="4865" max="4865" width="17.6640625" bestFit="1" customWidth="1"/>
    <col min="4866" max="4866" width="22.77734375" customWidth="1"/>
    <col min="4867" max="4867" width="14.33203125" bestFit="1" customWidth="1"/>
    <col min="4869" max="4869" width="18.88671875" bestFit="1" customWidth="1"/>
    <col min="4871" max="4871" width="17.6640625" bestFit="1" customWidth="1"/>
    <col min="4873" max="4873" width="23.6640625" bestFit="1" customWidth="1"/>
    <col min="4875" max="4875" width="21.88671875" bestFit="1" customWidth="1"/>
    <col min="5121" max="5121" width="17.6640625" bestFit="1" customWidth="1"/>
    <col min="5122" max="5122" width="22.77734375" customWidth="1"/>
    <col min="5123" max="5123" width="14.33203125" bestFit="1" customWidth="1"/>
    <col min="5125" max="5125" width="18.88671875" bestFit="1" customWidth="1"/>
    <col min="5127" max="5127" width="17.6640625" bestFit="1" customWidth="1"/>
    <col min="5129" max="5129" width="23.6640625" bestFit="1" customWidth="1"/>
    <col min="5131" max="5131" width="21.88671875" bestFit="1" customWidth="1"/>
    <col min="5377" max="5377" width="17.6640625" bestFit="1" customWidth="1"/>
    <col min="5378" max="5378" width="22.77734375" customWidth="1"/>
    <col min="5379" max="5379" width="14.33203125" bestFit="1" customWidth="1"/>
    <col min="5381" max="5381" width="18.88671875" bestFit="1" customWidth="1"/>
    <col min="5383" max="5383" width="17.6640625" bestFit="1" customWidth="1"/>
    <col min="5385" max="5385" width="23.6640625" bestFit="1" customWidth="1"/>
    <col min="5387" max="5387" width="21.88671875" bestFit="1" customWidth="1"/>
    <col min="5633" max="5633" width="17.6640625" bestFit="1" customWidth="1"/>
    <col min="5634" max="5634" width="22.77734375" customWidth="1"/>
    <col min="5635" max="5635" width="14.33203125" bestFit="1" customWidth="1"/>
    <col min="5637" max="5637" width="18.88671875" bestFit="1" customWidth="1"/>
    <col min="5639" max="5639" width="17.6640625" bestFit="1" customWidth="1"/>
    <col min="5641" max="5641" width="23.6640625" bestFit="1" customWidth="1"/>
    <col min="5643" max="5643" width="21.88671875" bestFit="1" customWidth="1"/>
    <col min="5889" max="5889" width="17.6640625" bestFit="1" customWidth="1"/>
    <col min="5890" max="5890" width="22.77734375" customWidth="1"/>
    <col min="5891" max="5891" width="14.33203125" bestFit="1" customWidth="1"/>
    <col min="5893" max="5893" width="18.88671875" bestFit="1" customWidth="1"/>
    <col min="5895" max="5895" width="17.6640625" bestFit="1" customWidth="1"/>
    <col min="5897" max="5897" width="23.6640625" bestFit="1" customWidth="1"/>
    <col min="5899" max="5899" width="21.88671875" bestFit="1" customWidth="1"/>
    <col min="6145" max="6145" width="17.6640625" bestFit="1" customWidth="1"/>
    <col min="6146" max="6146" width="22.77734375" customWidth="1"/>
    <col min="6147" max="6147" width="14.33203125" bestFit="1" customWidth="1"/>
    <col min="6149" max="6149" width="18.88671875" bestFit="1" customWidth="1"/>
    <col min="6151" max="6151" width="17.6640625" bestFit="1" customWidth="1"/>
    <col min="6153" max="6153" width="23.6640625" bestFit="1" customWidth="1"/>
    <col min="6155" max="6155" width="21.88671875" bestFit="1" customWidth="1"/>
    <col min="6401" max="6401" width="17.6640625" bestFit="1" customWidth="1"/>
    <col min="6402" max="6402" width="22.77734375" customWidth="1"/>
    <col min="6403" max="6403" width="14.33203125" bestFit="1" customWidth="1"/>
    <col min="6405" max="6405" width="18.88671875" bestFit="1" customWidth="1"/>
    <col min="6407" max="6407" width="17.6640625" bestFit="1" customWidth="1"/>
    <col min="6409" max="6409" width="23.6640625" bestFit="1" customWidth="1"/>
    <col min="6411" max="6411" width="21.88671875" bestFit="1" customWidth="1"/>
    <col min="6657" max="6657" width="17.6640625" bestFit="1" customWidth="1"/>
    <col min="6658" max="6658" width="22.77734375" customWidth="1"/>
    <col min="6659" max="6659" width="14.33203125" bestFit="1" customWidth="1"/>
    <col min="6661" max="6661" width="18.88671875" bestFit="1" customWidth="1"/>
    <col min="6663" max="6663" width="17.6640625" bestFit="1" customWidth="1"/>
    <col min="6665" max="6665" width="23.6640625" bestFit="1" customWidth="1"/>
    <col min="6667" max="6667" width="21.88671875" bestFit="1" customWidth="1"/>
    <col min="6913" max="6913" width="17.6640625" bestFit="1" customWidth="1"/>
    <col min="6914" max="6914" width="22.77734375" customWidth="1"/>
    <col min="6915" max="6915" width="14.33203125" bestFit="1" customWidth="1"/>
    <col min="6917" max="6917" width="18.88671875" bestFit="1" customWidth="1"/>
    <col min="6919" max="6919" width="17.6640625" bestFit="1" customWidth="1"/>
    <col min="6921" max="6921" width="23.6640625" bestFit="1" customWidth="1"/>
    <col min="6923" max="6923" width="21.88671875" bestFit="1" customWidth="1"/>
    <col min="7169" max="7169" width="17.6640625" bestFit="1" customWidth="1"/>
    <col min="7170" max="7170" width="22.77734375" customWidth="1"/>
    <col min="7171" max="7171" width="14.33203125" bestFit="1" customWidth="1"/>
    <col min="7173" max="7173" width="18.88671875" bestFit="1" customWidth="1"/>
    <col min="7175" max="7175" width="17.6640625" bestFit="1" customWidth="1"/>
    <col min="7177" max="7177" width="23.6640625" bestFit="1" customWidth="1"/>
    <col min="7179" max="7179" width="21.88671875" bestFit="1" customWidth="1"/>
    <col min="7425" max="7425" width="17.6640625" bestFit="1" customWidth="1"/>
    <col min="7426" max="7426" width="22.77734375" customWidth="1"/>
    <col min="7427" max="7427" width="14.33203125" bestFit="1" customWidth="1"/>
    <col min="7429" max="7429" width="18.88671875" bestFit="1" customWidth="1"/>
    <col min="7431" max="7431" width="17.6640625" bestFit="1" customWidth="1"/>
    <col min="7433" max="7433" width="23.6640625" bestFit="1" customWidth="1"/>
    <col min="7435" max="7435" width="21.88671875" bestFit="1" customWidth="1"/>
    <col min="7681" max="7681" width="17.6640625" bestFit="1" customWidth="1"/>
    <col min="7682" max="7682" width="22.77734375" customWidth="1"/>
    <col min="7683" max="7683" width="14.33203125" bestFit="1" customWidth="1"/>
    <col min="7685" max="7685" width="18.88671875" bestFit="1" customWidth="1"/>
    <col min="7687" max="7687" width="17.6640625" bestFit="1" customWidth="1"/>
    <col min="7689" max="7689" width="23.6640625" bestFit="1" customWidth="1"/>
    <col min="7691" max="7691" width="21.88671875" bestFit="1" customWidth="1"/>
    <col min="7937" max="7937" width="17.6640625" bestFit="1" customWidth="1"/>
    <col min="7938" max="7938" width="22.77734375" customWidth="1"/>
    <col min="7939" max="7939" width="14.33203125" bestFit="1" customWidth="1"/>
    <col min="7941" max="7941" width="18.88671875" bestFit="1" customWidth="1"/>
    <col min="7943" max="7943" width="17.6640625" bestFit="1" customWidth="1"/>
    <col min="7945" max="7945" width="23.6640625" bestFit="1" customWidth="1"/>
    <col min="7947" max="7947" width="21.88671875" bestFit="1" customWidth="1"/>
    <col min="8193" max="8193" width="17.6640625" bestFit="1" customWidth="1"/>
    <col min="8194" max="8194" width="22.77734375" customWidth="1"/>
    <col min="8195" max="8195" width="14.33203125" bestFit="1" customWidth="1"/>
    <col min="8197" max="8197" width="18.88671875" bestFit="1" customWidth="1"/>
    <col min="8199" max="8199" width="17.6640625" bestFit="1" customWidth="1"/>
    <col min="8201" max="8201" width="23.6640625" bestFit="1" customWidth="1"/>
    <col min="8203" max="8203" width="21.88671875" bestFit="1" customWidth="1"/>
    <col min="8449" max="8449" width="17.6640625" bestFit="1" customWidth="1"/>
    <col min="8450" max="8450" width="22.77734375" customWidth="1"/>
    <col min="8451" max="8451" width="14.33203125" bestFit="1" customWidth="1"/>
    <col min="8453" max="8453" width="18.88671875" bestFit="1" customWidth="1"/>
    <col min="8455" max="8455" width="17.6640625" bestFit="1" customWidth="1"/>
    <col min="8457" max="8457" width="23.6640625" bestFit="1" customWidth="1"/>
    <col min="8459" max="8459" width="21.88671875" bestFit="1" customWidth="1"/>
    <col min="8705" max="8705" width="17.6640625" bestFit="1" customWidth="1"/>
    <col min="8706" max="8706" width="22.77734375" customWidth="1"/>
    <col min="8707" max="8707" width="14.33203125" bestFit="1" customWidth="1"/>
    <col min="8709" max="8709" width="18.88671875" bestFit="1" customWidth="1"/>
    <col min="8711" max="8711" width="17.6640625" bestFit="1" customWidth="1"/>
    <col min="8713" max="8713" width="23.6640625" bestFit="1" customWidth="1"/>
    <col min="8715" max="8715" width="21.88671875" bestFit="1" customWidth="1"/>
    <col min="8961" max="8961" width="17.6640625" bestFit="1" customWidth="1"/>
    <col min="8962" max="8962" width="22.77734375" customWidth="1"/>
    <col min="8963" max="8963" width="14.33203125" bestFit="1" customWidth="1"/>
    <col min="8965" max="8965" width="18.88671875" bestFit="1" customWidth="1"/>
    <col min="8967" max="8967" width="17.6640625" bestFit="1" customWidth="1"/>
    <col min="8969" max="8969" width="23.6640625" bestFit="1" customWidth="1"/>
    <col min="8971" max="8971" width="21.88671875" bestFit="1" customWidth="1"/>
    <col min="9217" max="9217" width="17.6640625" bestFit="1" customWidth="1"/>
    <col min="9218" max="9218" width="22.77734375" customWidth="1"/>
    <col min="9219" max="9219" width="14.33203125" bestFit="1" customWidth="1"/>
    <col min="9221" max="9221" width="18.88671875" bestFit="1" customWidth="1"/>
    <col min="9223" max="9223" width="17.6640625" bestFit="1" customWidth="1"/>
    <col min="9225" max="9225" width="23.6640625" bestFit="1" customWidth="1"/>
    <col min="9227" max="9227" width="21.88671875" bestFit="1" customWidth="1"/>
    <col min="9473" max="9473" width="17.6640625" bestFit="1" customWidth="1"/>
    <col min="9474" max="9474" width="22.77734375" customWidth="1"/>
    <col min="9475" max="9475" width="14.33203125" bestFit="1" customWidth="1"/>
    <col min="9477" max="9477" width="18.88671875" bestFit="1" customWidth="1"/>
    <col min="9479" max="9479" width="17.6640625" bestFit="1" customWidth="1"/>
    <col min="9481" max="9481" width="23.6640625" bestFit="1" customWidth="1"/>
    <col min="9483" max="9483" width="21.88671875" bestFit="1" customWidth="1"/>
    <col min="9729" max="9729" width="17.6640625" bestFit="1" customWidth="1"/>
    <col min="9730" max="9730" width="22.77734375" customWidth="1"/>
    <col min="9731" max="9731" width="14.33203125" bestFit="1" customWidth="1"/>
    <col min="9733" max="9733" width="18.88671875" bestFit="1" customWidth="1"/>
    <col min="9735" max="9735" width="17.6640625" bestFit="1" customWidth="1"/>
    <col min="9737" max="9737" width="23.6640625" bestFit="1" customWidth="1"/>
    <col min="9739" max="9739" width="21.88671875" bestFit="1" customWidth="1"/>
    <col min="9985" max="9985" width="17.6640625" bestFit="1" customWidth="1"/>
    <col min="9986" max="9986" width="22.77734375" customWidth="1"/>
    <col min="9987" max="9987" width="14.33203125" bestFit="1" customWidth="1"/>
    <col min="9989" max="9989" width="18.88671875" bestFit="1" customWidth="1"/>
    <col min="9991" max="9991" width="17.6640625" bestFit="1" customWidth="1"/>
    <col min="9993" max="9993" width="23.6640625" bestFit="1" customWidth="1"/>
    <col min="9995" max="9995" width="21.88671875" bestFit="1" customWidth="1"/>
    <col min="10241" max="10241" width="17.6640625" bestFit="1" customWidth="1"/>
    <col min="10242" max="10242" width="22.77734375" customWidth="1"/>
    <col min="10243" max="10243" width="14.33203125" bestFit="1" customWidth="1"/>
    <col min="10245" max="10245" width="18.88671875" bestFit="1" customWidth="1"/>
    <col min="10247" max="10247" width="17.6640625" bestFit="1" customWidth="1"/>
    <col min="10249" max="10249" width="23.6640625" bestFit="1" customWidth="1"/>
    <col min="10251" max="10251" width="21.88671875" bestFit="1" customWidth="1"/>
    <col min="10497" max="10497" width="17.6640625" bestFit="1" customWidth="1"/>
    <col min="10498" max="10498" width="22.77734375" customWidth="1"/>
    <col min="10499" max="10499" width="14.33203125" bestFit="1" customWidth="1"/>
    <col min="10501" max="10501" width="18.88671875" bestFit="1" customWidth="1"/>
    <col min="10503" max="10503" width="17.6640625" bestFit="1" customWidth="1"/>
    <col min="10505" max="10505" width="23.6640625" bestFit="1" customWidth="1"/>
    <col min="10507" max="10507" width="21.88671875" bestFit="1" customWidth="1"/>
    <col min="10753" max="10753" width="17.6640625" bestFit="1" customWidth="1"/>
    <col min="10754" max="10754" width="22.77734375" customWidth="1"/>
    <col min="10755" max="10755" width="14.33203125" bestFit="1" customWidth="1"/>
    <col min="10757" max="10757" width="18.88671875" bestFit="1" customWidth="1"/>
    <col min="10759" max="10759" width="17.6640625" bestFit="1" customWidth="1"/>
    <col min="10761" max="10761" width="23.6640625" bestFit="1" customWidth="1"/>
    <col min="10763" max="10763" width="21.88671875" bestFit="1" customWidth="1"/>
    <col min="11009" max="11009" width="17.6640625" bestFit="1" customWidth="1"/>
    <col min="11010" max="11010" width="22.77734375" customWidth="1"/>
    <col min="11011" max="11011" width="14.33203125" bestFit="1" customWidth="1"/>
    <col min="11013" max="11013" width="18.88671875" bestFit="1" customWidth="1"/>
    <col min="11015" max="11015" width="17.6640625" bestFit="1" customWidth="1"/>
    <col min="11017" max="11017" width="23.6640625" bestFit="1" customWidth="1"/>
    <col min="11019" max="11019" width="21.88671875" bestFit="1" customWidth="1"/>
    <col min="11265" max="11265" width="17.6640625" bestFit="1" customWidth="1"/>
    <col min="11266" max="11266" width="22.77734375" customWidth="1"/>
    <col min="11267" max="11267" width="14.33203125" bestFit="1" customWidth="1"/>
    <col min="11269" max="11269" width="18.88671875" bestFit="1" customWidth="1"/>
    <col min="11271" max="11271" width="17.6640625" bestFit="1" customWidth="1"/>
    <col min="11273" max="11273" width="23.6640625" bestFit="1" customWidth="1"/>
    <col min="11275" max="11275" width="21.88671875" bestFit="1" customWidth="1"/>
    <col min="11521" max="11521" width="17.6640625" bestFit="1" customWidth="1"/>
    <col min="11522" max="11522" width="22.77734375" customWidth="1"/>
    <col min="11523" max="11523" width="14.33203125" bestFit="1" customWidth="1"/>
    <col min="11525" max="11525" width="18.88671875" bestFit="1" customWidth="1"/>
    <col min="11527" max="11527" width="17.6640625" bestFit="1" customWidth="1"/>
    <col min="11529" max="11529" width="23.6640625" bestFit="1" customWidth="1"/>
    <col min="11531" max="11531" width="21.88671875" bestFit="1" customWidth="1"/>
    <col min="11777" max="11777" width="17.6640625" bestFit="1" customWidth="1"/>
    <col min="11778" max="11778" width="22.77734375" customWidth="1"/>
    <col min="11779" max="11779" width="14.33203125" bestFit="1" customWidth="1"/>
    <col min="11781" max="11781" width="18.88671875" bestFit="1" customWidth="1"/>
    <col min="11783" max="11783" width="17.6640625" bestFit="1" customWidth="1"/>
    <col min="11785" max="11785" width="23.6640625" bestFit="1" customWidth="1"/>
    <col min="11787" max="11787" width="21.88671875" bestFit="1" customWidth="1"/>
    <col min="12033" max="12033" width="17.6640625" bestFit="1" customWidth="1"/>
    <col min="12034" max="12034" width="22.77734375" customWidth="1"/>
    <col min="12035" max="12035" width="14.33203125" bestFit="1" customWidth="1"/>
    <col min="12037" max="12037" width="18.88671875" bestFit="1" customWidth="1"/>
    <col min="12039" max="12039" width="17.6640625" bestFit="1" customWidth="1"/>
    <col min="12041" max="12041" width="23.6640625" bestFit="1" customWidth="1"/>
    <col min="12043" max="12043" width="21.88671875" bestFit="1" customWidth="1"/>
    <col min="12289" max="12289" width="17.6640625" bestFit="1" customWidth="1"/>
    <col min="12290" max="12290" width="22.77734375" customWidth="1"/>
    <col min="12291" max="12291" width="14.33203125" bestFit="1" customWidth="1"/>
    <col min="12293" max="12293" width="18.88671875" bestFit="1" customWidth="1"/>
    <col min="12295" max="12295" width="17.6640625" bestFit="1" customWidth="1"/>
    <col min="12297" max="12297" width="23.6640625" bestFit="1" customWidth="1"/>
    <col min="12299" max="12299" width="21.88671875" bestFit="1" customWidth="1"/>
    <col min="12545" max="12545" width="17.6640625" bestFit="1" customWidth="1"/>
    <col min="12546" max="12546" width="22.77734375" customWidth="1"/>
    <col min="12547" max="12547" width="14.33203125" bestFit="1" customWidth="1"/>
    <col min="12549" max="12549" width="18.88671875" bestFit="1" customWidth="1"/>
    <col min="12551" max="12551" width="17.6640625" bestFit="1" customWidth="1"/>
    <col min="12553" max="12553" width="23.6640625" bestFit="1" customWidth="1"/>
    <col min="12555" max="12555" width="21.88671875" bestFit="1" customWidth="1"/>
    <col min="12801" max="12801" width="17.6640625" bestFit="1" customWidth="1"/>
    <col min="12802" max="12802" width="22.77734375" customWidth="1"/>
    <col min="12803" max="12803" width="14.33203125" bestFit="1" customWidth="1"/>
    <col min="12805" max="12805" width="18.88671875" bestFit="1" customWidth="1"/>
    <col min="12807" max="12807" width="17.6640625" bestFit="1" customWidth="1"/>
    <col min="12809" max="12809" width="23.6640625" bestFit="1" customWidth="1"/>
    <col min="12811" max="12811" width="21.88671875" bestFit="1" customWidth="1"/>
    <col min="13057" max="13057" width="17.6640625" bestFit="1" customWidth="1"/>
    <col min="13058" max="13058" width="22.77734375" customWidth="1"/>
    <col min="13059" max="13059" width="14.33203125" bestFit="1" customWidth="1"/>
    <col min="13061" max="13061" width="18.88671875" bestFit="1" customWidth="1"/>
    <col min="13063" max="13063" width="17.6640625" bestFit="1" customWidth="1"/>
    <col min="13065" max="13065" width="23.6640625" bestFit="1" customWidth="1"/>
    <col min="13067" max="13067" width="21.88671875" bestFit="1" customWidth="1"/>
    <col min="13313" max="13313" width="17.6640625" bestFit="1" customWidth="1"/>
    <col min="13314" max="13314" width="22.77734375" customWidth="1"/>
    <col min="13315" max="13315" width="14.33203125" bestFit="1" customWidth="1"/>
    <col min="13317" max="13317" width="18.88671875" bestFit="1" customWidth="1"/>
    <col min="13319" max="13319" width="17.6640625" bestFit="1" customWidth="1"/>
    <col min="13321" max="13321" width="23.6640625" bestFit="1" customWidth="1"/>
    <col min="13323" max="13323" width="21.88671875" bestFit="1" customWidth="1"/>
    <col min="13569" max="13569" width="17.6640625" bestFit="1" customWidth="1"/>
    <col min="13570" max="13570" width="22.77734375" customWidth="1"/>
    <col min="13571" max="13571" width="14.33203125" bestFit="1" customWidth="1"/>
    <col min="13573" max="13573" width="18.88671875" bestFit="1" customWidth="1"/>
    <col min="13575" max="13575" width="17.6640625" bestFit="1" customWidth="1"/>
    <col min="13577" max="13577" width="23.6640625" bestFit="1" customWidth="1"/>
    <col min="13579" max="13579" width="21.88671875" bestFit="1" customWidth="1"/>
    <col min="13825" max="13825" width="17.6640625" bestFit="1" customWidth="1"/>
    <col min="13826" max="13826" width="22.77734375" customWidth="1"/>
    <col min="13827" max="13827" width="14.33203125" bestFit="1" customWidth="1"/>
    <col min="13829" max="13829" width="18.88671875" bestFit="1" customWidth="1"/>
    <col min="13831" max="13831" width="17.6640625" bestFit="1" customWidth="1"/>
    <col min="13833" max="13833" width="23.6640625" bestFit="1" customWidth="1"/>
    <col min="13835" max="13835" width="21.88671875" bestFit="1" customWidth="1"/>
    <col min="14081" max="14081" width="17.6640625" bestFit="1" customWidth="1"/>
    <col min="14082" max="14082" width="22.77734375" customWidth="1"/>
    <col min="14083" max="14083" width="14.33203125" bestFit="1" customWidth="1"/>
    <col min="14085" max="14085" width="18.88671875" bestFit="1" customWidth="1"/>
    <col min="14087" max="14087" width="17.6640625" bestFit="1" customWidth="1"/>
    <col min="14089" max="14089" width="23.6640625" bestFit="1" customWidth="1"/>
    <col min="14091" max="14091" width="21.88671875" bestFit="1" customWidth="1"/>
    <col min="14337" max="14337" width="17.6640625" bestFit="1" customWidth="1"/>
    <col min="14338" max="14338" width="22.77734375" customWidth="1"/>
    <col min="14339" max="14339" width="14.33203125" bestFit="1" customWidth="1"/>
    <col min="14341" max="14341" width="18.88671875" bestFit="1" customWidth="1"/>
    <col min="14343" max="14343" width="17.6640625" bestFit="1" customWidth="1"/>
    <col min="14345" max="14345" width="23.6640625" bestFit="1" customWidth="1"/>
    <col min="14347" max="14347" width="21.88671875" bestFit="1" customWidth="1"/>
    <col min="14593" max="14593" width="17.6640625" bestFit="1" customWidth="1"/>
    <col min="14594" max="14594" width="22.77734375" customWidth="1"/>
    <col min="14595" max="14595" width="14.33203125" bestFit="1" customWidth="1"/>
    <col min="14597" max="14597" width="18.88671875" bestFit="1" customWidth="1"/>
    <col min="14599" max="14599" width="17.6640625" bestFit="1" customWidth="1"/>
    <col min="14601" max="14601" width="23.6640625" bestFit="1" customWidth="1"/>
    <col min="14603" max="14603" width="21.88671875" bestFit="1" customWidth="1"/>
    <col min="14849" max="14849" width="17.6640625" bestFit="1" customWidth="1"/>
    <col min="14850" max="14850" width="22.77734375" customWidth="1"/>
    <col min="14851" max="14851" width="14.33203125" bestFit="1" customWidth="1"/>
    <col min="14853" max="14853" width="18.88671875" bestFit="1" customWidth="1"/>
    <col min="14855" max="14855" width="17.6640625" bestFit="1" customWidth="1"/>
    <col min="14857" max="14857" width="23.6640625" bestFit="1" customWidth="1"/>
    <col min="14859" max="14859" width="21.88671875" bestFit="1" customWidth="1"/>
    <col min="15105" max="15105" width="17.6640625" bestFit="1" customWidth="1"/>
    <col min="15106" max="15106" width="22.77734375" customWidth="1"/>
    <col min="15107" max="15107" width="14.33203125" bestFit="1" customWidth="1"/>
    <col min="15109" max="15109" width="18.88671875" bestFit="1" customWidth="1"/>
    <col min="15111" max="15111" width="17.6640625" bestFit="1" customWidth="1"/>
    <col min="15113" max="15113" width="23.6640625" bestFit="1" customWidth="1"/>
    <col min="15115" max="15115" width="21.88671875" bestFit="1" customWidth="1"/>
    <col min="15361" max="15361" width="17.6640625" bestFit="1" customWidth="1"/>
    <col min="15362" max="15362" width="22.77734375" customWidth="1"/>
    <col min="15363" max="15363" width="14.33203125" bestFit="1" customWidth="1"/>
    <col min="15365" max="15365" width="18.88671875" bestFit="1" customWidth="1"/>
    <col min="15367" max="15367" width="17.6640625" bestFit="1" customWidth="1"/>
    <col min="15369" max="15369" width="23.6640625" bestFit="1" customWidth="1"/>
    <col min="15371" max="15371" width="21.88671875" bestFit="1" customWidth="1"/>
    <col min="15617" max="15617" width="17.6640625" bestFit="1" customWidth="1"/>
    <col min="15618" max="15618" width="22.77734375" customWidth="1"/>
    <col min="15619" max="15619" width="14.33203125" bestFit="1" customWidth="1"/>
    <col min="15621" max="15621" width="18.88671875" bestFit="1" customWidth="1"/>
    <col min="15623" max="15623" width="17.6640625" bestFit="1" customWidth="1"/>
    <col min="15625" max="15625" width="23.6640625" bestFit="1" customWidth="1"/>
    <col min="15627" max="15627" width="21.88671875" bestFit="1" customWidth="1"/>
    <col min="15873" max="15873" width="17.6640625" bestFit="1" customWidth="1"/>
    <col min="15874" max="15874" width="22.77734375" customWidth="1"/>
    <col min="15875" max="15875" width="14.33203125" bestFit="1" customWidth="1"/>
    <col min="15877" max="15877" width="18.88671875" bestFit="1" customWidth="1"/>
    <col min="15879" max="15879" width="17.6640625" bestFit="1" customWidth="1"/>
    <col min="15881" max="15881" width="23.6640625" bestFit="1" customWidth="1"/>
    <col min="15883" max="15883" width="21.88671875" bestFit="1" customWidth="1"/>
    <col min="16129" max="16129" width="17.6640625" bestFit="1" customWidth="1"/>
    <col min="16130" max="16130" width="22.77734375" customWidth="1"/>
    <col min="16131" max="16131" width="14.33203125" bestFit="1" customWidth="1"/>
    <col min="16133" max="16133" width="18.88671875" bestFit="1" customWidth="1"/>
    <col min="16135" max="16135" width="17.6640625" bestFit="1" customWidth="1"/>
    <col min="16137" max="16137" width="23.6640625" bestFit="1" customWidth="1"/>
    <col min="16139" max="16139" width="21.88671875" bestFit="1" customWidth="1"/>
  </cols>
  <sheetData>
    <row r="1" spans="1:14" s="26" customFormat="1" ht="54" customHeight="1">
      <c r="A1" s="26" t="s">
        <v>17</v>
      </c>
      <c r="C1" s="26" t="s">
        <v>18</v>
      </c>
      <c r="E1" s="26" t="s">
        <v>19</v>
      </c>
      <c r="G1" s="26" t="s">
        <v>20</v>
      </c>
      <c r="I1" s="26" t="s">
        <v>21</v>
      </c>
      <c r="K1" s="26" t="s">
        <v>180</v>
      </c>
      <c r="L1" s="194" t="s">
        <v>583</v>
      </c>
      <c r="M1" s="194" t="s">
        <v>584</v>
      </c>
      <c r="N1" s="194" t="s">
        <v>585</v>
      </c>
    </row>
    <row r="2" spans="1:14" ht="15.6">
      <c r="A2" s="28" t="s">
        <v>410</v>
      </c>
      <c r="B2" s="27"/>
      <c r="I2" s="30" t="s">
        <v>411</v>
      </c>
      <c r="K2" s="31"/>
    </row>
    <row r="3" spans="1:14" ht="27">
      <c r="A3" s="28" t="s">
        <v>273</v>
      </c>
      <c r="C3" s="30" t="s">
        <v>275</v>
      </c>
      <c r="E3" s="30" t="s">
        <v>274</v>
      </c>
      <c r="G3" s="30" t="s">
        <v>276</v>
      </c>
      <c r="I3" s="30" t="s">
        <v>274</v>
      </c>
    </row>
    <row r="4" spans="1:14" ht="27">
      <c r="A4" s="28" t="s">
        <v>361</v>
      </c>
      <c r="B4" s="27"/>
      <c r="C4" s="30" t="s">
        <v>413</v>
      </c>
      <c r="E4" s="30" t="s">
        <v>414</v>
      </c>
      <c r="G4" s="30" t="s">
        <v>525</v>
      </c>
      <c r="I4" s="126" t="s">
        <v>412</v>
      </c>
      <c r="K4" s="30" t="s">
        <v>415</v>
      </c>
      <c r="L4">
        <v>8</v>
      </c>
    </row>
    <row r="5" spans="1:14" ht="15.6">
      <c r="A5" s="28" t="s">
        <v>610</v>
      </c>
      <c r="B5" s="27"/>
      <c r="C5" s="30" t="s">
        <v>611</v>
      </c>
      <c r="E5" s="30" t="s">
        <v>65</v>
      </c>
      <c r="G5" s="30" t="s">
        <v>35</v>
      </c>
      <c r="I5" s="126" t="s">
        <v>66</v>
      </c>
      <c r="K5" s="30" t="s">
        <v>612</v>
      </c>
      <c r="N5" t="s">
        <v>613</v>
      </c>
    </row>
    <row r="6" spans="1:14" ht="27">
      <c r="A6" s="28" t="s">
        <v>518</v>
      </c>
      <c r="C6" s="30" t="s">
        <v>519</v>
      </c>
      <c r="D6" s="30"/>
      <c r="E6" s="30" t="s">
        <v>520</v>
      </c>
      <c r="F6" s="30"/>
      <c r="G6" s="30" t="s">
        <v>521</v>
      </c>
      <c r="H6" s="30"/>
      <c r="I6" s="30" t="s">
        <v>522</v>
      </c>
      <c r="J6" s="30"/>
      <c r="K6" s="30" t="s">
        <v>523</v>
      </c>
    </row>
    <row r="7" spans="1:14" ht="15.6">
      <c r="A7" s="28" t="s">
        <v>428</v>
      </c>
      <c r="B7" s="27"/>
      <c r="C7" s="30" t="s">
        <v>429</v>
      </c>
      <c r="E7" s="30" t="s">
        <v>65</v>
      </c>
      <c r="G7" s="30" t="s">
        <v>35</v>
      </c>
      <c r="I7" s="30" t="s">
        <v>66</v>
      </c>
      <c r="K7" s="126" t="s">
        <v>430</v>
      </c>
      <c r="L7">
        <v>1.33</v>
      </c>
      <c r="N7" t="s">
        <v>311</v>
      </c>
    </row>
    <row r="8" spans="1:14" ht="53.4">
      <c r="A8" s="28" t="s">
        <v>624</v>
      </c>
      <c r="B8" s="27"/>
      <c r="C8" s="30" t="s">
        <v>625</v>
      </c>
      <c r="E8" s="30" t="s">
        <v>626</v>
      </c>
      <c r="G8" s="30" t="s">
        <v>35</v>
      </c>
      <c r="I8" s="30" t="s">
        <v>627</v>
      </c>
      <c r="K8" s="30" t="s">
        <v>628</v>
      </c>
    </row>
    <row r="9" spans="1:14" ht="40.200000000000003">
      <c r="A9" s="28" t="s">
        <v>277</v>
      </c>
      <c r="C9" s="30" t="s">
        <v>278</v>
      </c>
      <c r="E9" s="30" t="s">
        <v>280</v>
      </c>
      <c r="G9" s="30" t="s">
        <v>281</v>
      </c>
      <c r="I9" s="30" t="s">
        <v>279</v>
      </c>
    </row>
    <row r="10" spans="1:14" ht="27">
      <c r="A10" s="28" t="s">
        <v>322</v>
      </c>
      <c r="B10" s="27"/>
      <c r="C10" s="30" t="s">
        <v>323</v>
      </c>
      <c r="E10" s="30" t="s">
        <v>320</v>
      </c>
      <c r="F10" s="30"/>
      <c r="G10" s="30" t="s">
        <v>35</v>
      </c>
      <c r="H10" s="30"/>
      <c r="I10" s="30" t="s">
        <v>321</v>
      </c>
      <c r="K10" s="30" t="s">
        <v>326</v>
      </c>
    </row>
    <row r="11" spans="1:14">
      <c r="A11" t="s">
        <v>111</v>
      </c>
      <c r="E11" t="s">
        <v>179</v>
      </c>
      <c r="I11" t="s">
        <v>179</v>
      </c>
      <c r="L11">
        <v>2.94</v>
      </c>
      <c r="M11" t="s">
        <v>184</v>
      </c>
    </row>
    <row r="12" spans="1:14" ht="15.6">
      <c r="A12" s="28" t="s">
        <v>400</v>
      </c>
      <c r="B12" s="27"/>
      <c r="C12" s="30" t="s">
        <v>401</v>
      </c>
      <c r="E12" s="30" t="s">
        <v>402</v>
      </c>
      <c r="F12" s="30"/>
      <c r="G12" s="30" t="s">
        <v>403</v>
      </c>
      <c r="H12" s="30"/>
      <c r="I12" s="30" t="s">
        <v>399</v>
      </c>
      <c r="K12" s="30" t="s">
        <v>404</v>
      </c>
    </row>
    <row r="13" spans="1:14" ht="27">
      <c r="A13" s="28" t="s">
        <v>288</v>
      </c>
      <c r="B13" s="27"/>
      <c r="C13" s="30" t="s">
        <v>289</v>
      </c>
      <c r="E13" s="30" t="s">
        <v>291</v>
      </c>
      <c r="G13" s="30" t="s">
        <v>290</v>
      </c>
      <c r="I13" s="30" t="s">
        <v>291</v>
      </c>
      <c r="K13" s="30"/>
    </row>
    <row r="14" spans="1:14" ht="27">
      <c r="A14" s="28" t="s">
        <v>601</v>
      </c>
      <c r="C14" s="30" t="s">
        <v>608</v>
      </c>
      <c r="E14" s="30" t="s">
        <v>274</v>
      </c>
      <c r="G14" s="30" t="s">
        <v>276</v>
      </c>
      <c r="I14" s="30" t="s">
        <v>274</v>
      </c>
      <c r="K14" t="s">
        <v>609</v>
      </c>
    </row>
    <row r="15" spans="1:14" ht="27">
      <c r="A15" s="28" t="s">
        <v>318</v>
      </c>
      <c r="B15" s="27"/>
      <c r="C15" s="30" t="s">
        <v>319</v>
      </c>
      <c r="E15" s="30" t="s">
        <v>320</v>
      </c>
      <c r="F15" s="30"/>
      <c r="G15" s="30" t="s">
        <v>35</v>
      </c>
      <c r="H15" s="30"/>
      <c r="I15" s="30" t="s">
        <v>321</v>
      </c>
      <c r="K15" s="30" t="s">
        <v>325</v>
      </c>
    </row>
    <row r="16" spans="1:14" ht="27">
      <c r="A16" s="28" t="s">
        <v>108</v>
      </c>
      <c r="B16" s="27" t="s">
        <v>561</v>
      </c>
      <c r="C16" s="30" t="s">
        <v>562</v>
      </c>
      <c r="E16" s="30" t="s">
        <v>34</v>
      </c>
      <c r="G16" s="30" t="s">
        <v>35</v>
      </c>
      <c r="I16" s="27" t="s">
        <v>34</v>
      </c>
      <c r="K16" s="30" t="s">
        <v>563</v>
      </c>
      <c r="L16">
        <v>0.28000000000000003</v>
      </c>
    </row>
    <row r="17" spans="1:16" ht="66.599999999999994">
      <c r="A17" s="28" t="s">
        <v>31</v>
      </c>
      <c r="B17" s="27" t="s">
        <v>32</v>
      </c>
      <c r="C17" s="30" t="s">
        <v>33</v>
      </c>
      <c r="E17" s="30" t="s">
        <v>34</v>
      </c>
      <c r="G17" s="30" t="s">
        <v>35</v>
      </c>
      <c r="I17" s="27" t="s">
        <v>34</v>
      </c>
      <c r="K17" s="30" t="s">
        <v>36</v>
      </c>
      <c r="L17">
        <v>0.33</v>
      </c>
    </row>
    <row r="18" spans="1:16" ht="27">
      <c r="A18" s="28" t="s">
        <v>31</v>
      </c>
      <c r="B18" s="27" t="s">
        <v>37</v>
      </c>
      <c r="C18" s="30"/>
      <c r="E18" s="30" t="s">
        <v>34</v>
      </c>
      <c r="G18" s="30" t="s">
        <v>35</v>
      </c>
      <c r="I18" s="27" t="s">
        <v>34</v>
      </c>
      <c r="K18" s="30"/>
      <c r="L18">
        <v>0.33</v>
      </c>
    </row>
    <row r="19" spans="1:16" ht="119.4">
      <c r="A19" s="28" t="s">
        <v>68</v>
      </c>
      <c r="B19" s="27"/>
      <c r="C19" s="30" t="s">
        <v>69</v>
      </c>
      <c r="E19" s="30" t="s">
        <v>70</v>
      </c>
      <c r="G19" s="30" t="s">
        <v>71</v>
      </c>
      <c r="I19" s="27" t="s">
        <v>70</v>
      </c>
      <c r="K19" s="30" t="s">
        <v>72</v>
      </c>
    </row>
    <row r="20" spans="1:16" ht="93">
      <c r="A20" s="28" t="s">
        <v>63</v>
      </c>
      <c r="B20" s="27"/>
      <c r="C20" s="30" t="s">
        <v>64</v>
      </c>
      <c r="E20" s="30" t="s">
        <v>65</v>
      </c>
      <c r="G20" s="30" t="s">
        <v>35</v>
      </c>
      <c r="I20" s="30" t="s">
        <v>66</v>
      </c>
      <c r="K20" s="30" t="s">
        <v>67</v>
      </c>
      <c r="L20">
        <v>1.33</v>
      </c>
      <c r="N20" t="s">
        <v>647</v>
      </c>
      <c r="P20" t="s">
        <v>648</v>
      </c>
    </row>
    <row r="21" spans="1:16" ht="79.8">
      <c r="A21" s="28" t="s">
        <v>181</v>
      </c>
      <c r="B21" s="27"/>
      <c r="C21" s="30" t="s">
        <v>58</v>
      </c>
      <c r="E21" s="30" t="s">
        <v>59</v>
      </c>
      <c r="G21" s="30" t="s">
        <v>60</v>
      </c>
      <c r="I21" s="30" t="s">
        <v>61</v>
      </c>
      <c r="K21" s="30" t="s">
        <v>62</v>
      </c>
      <c r="L21">
        <v>32</v>
      </c>
      <c r="M21">
        <v>40</v>
      </c>
      <c r="N21">
        <v>40</v>
      </c>
    </row>
    <row r="22" spans="1:16" ht="27">
      <c r="A22" s="28" t="s">
        <v>359</v>
      </c>
      <c r="B22" s="27"/>
      <c r="C22" s="30" t="s">
        <v>315</v>
      </c>
      <c r="E22" s="30" t="s">
        <v>314</v>
      </c>
      <c r="F22" s="30"/>
      <c r="G22" s="30" t="s">
        <v>41</v>
      </c>
      <c r="H22" s="30"/>
      <c r="I22" s="30" t="s">
        <v>314</v>
      </c>
      <c r="K22" s="30"/>
    </row>
    <row r="23" spans="1:16" ht="119.4">
      <c r="A23" s="28" t="s">
        <v>52</v>
      </c>
      <c r="B23" s="27"/>
      <c r="C23" s="30" t="s">
        <v>53</v>
      </c>
      <c r="E23" s="30" t="s">
        <v>54</v>
      </c>
      <c r="G23" s="30" t="s">
        <v>55</v>
      </c>
      <c r="I23" s="30" t="s">
        <v>56</v>
      </c>
      <c r="K23" s="30" t="s">
        <v>57</v>
      </c>
      <c r="L23">
        <v>16</v>
      </c>
      <c r="M23">
        <v>16</v>
      </c>
    </row>
    <row r="24" spans="1:16" ht="27">
      <c r="A24" s="28" t="s">
        <v>22</v>
      </c>
      <c r="B24" s="27" t="s">
        <v>23</v>
      </c>
      <c r="C24" s="30" t="s">
        <v>24</v>
      </c>
      <c r="D24" s="30"/>
      <c r="E24" s="30" t="s">
        <v>25</v>
      </c>
      <c r="F24" s="30"/>
      <c r="G24" s="30" t="s">
        <v>26</v>
      </c>
      <c r="I24" s="30" t="s">
        <v>27</v>
      </c>
      <c r="K24" s="30" t="s">
        <v>28</v>
      </c>
    </row>
    <row r="25" spans="1:16" ht="27">
      <c r="A25" s="28" t="s">
        <v>22</v>
      </c>
      <c r="B25" s="27" t="s">
        <v>29</v>
      </c>
      <c r="C25" s="30" t="s">
        <v>24</v>
      </c>
      <c r="E25" s="30" t="s">
        <v>25</v>
      </c>
      <c r="G25" s="30" t="s">
        <v>26</v>
      </c>
      <c r="I25" s="30" t="s">
        <v>30</v>
      </c>
      <c r="K25" s="30" t="s">
        <v>28</v>
      </c>
    </row>
    <row r="26" spans="1:16" ht="15.6">
      <c r="A26" s="28" t="s">
        <v>292</v>
      </c>
      <c r="B26" s="27" t="s">
        <v>44</v>
      </c>
      <c r="C26" s="30" t="s">
        <v>45</v>
      </c>
      <c r="E26" s="30" t="s">
        <v>46</v>
      </c>
      <c r="G26" s="30" t="s">
        <v>47</v>
      </c>
      <c r="I26" s="30" t="s">
        <v>48</v>
      </c>
      <c r="K26" s="30"/>
      <c r="L26">
        <v>24</v>
      </c>
      <c r="N26">
        <v>6</v>
      </c>
    </row>
    <row r="27" spans="1:16" ht="79.8">
      <c r="A27" s="28" t="s">
        <v>292</v>
      </c>
      <c r="B27" s="27" t="s">
        <v>49</v>
      </c>
      <c r="C27" s="30" t="s">
        <v>50</v>
      </c>
      <c r="E27" s="30" t="s">
        <v>46</v>
      </c>
      <c r="G27" s="30" t="s">
        <v>47</v>
      </c>
      <c r="I27" s="30" t="s">
        <v>48</v>
      </c>
      <c r="K27" s="30" t="s">
        <v>51</v>
      </c>
      <c r="L27">
        <v>24</v>
      </c>
    </row>
    <row r="28" spans="1:16">
      <c r="A28" t="s">
        <v>110</v>
      </c>
      <c r="B28" t="s">
        <v>552</v>
      </c>
      <c r="C28" s="126" t="s">
        <v>553</v>
      </c>
      <c r="E28" s="126" t="s">
        <v>554</v>
      </c>
      <c r="G28" s="126" t="s">
        <v>555</v>
      </c>
      <c r="I28" s="126" t="s">
        <v>556</v>
      </c>
      <c r="K28" s="30" t="s">
        <v>557</v>
      </c>
      <c r="L28">
        <v>12.8</v>
      </c>
      <c r="M28">
        <v>12.8</v>
      </c>
    </row>
    <row r="29" spans="1:16" ht="132.6">
      <c r="A29" s="28" t="s">
        <v>38</v>
      </c>
      <c r="B29" s="27"/>
      <c r="C29" s="30" t="s">
        <v>39</v>
      </c>
      <c r="E29" s="30" t="s">
        <v>40</v>
      </c>
      <c r="G29" s="30" t="s">
        <v>41</v>
      </c>
      <c r="I29" s="30" t="s">
        <v>42</v>
      </c>
      <c r="K29" s="30" t="s">
        <v>43</v>
      </c>
      <c r="L29">
        <v>24</v>
      </c>
      <c r="M29">
        <v>24</v>
      </c>
      <c r="N29">
        <v>16</v>
      </c>
    </row>
    <row r="30" spans="1:16" ht="15.6">
      <c r="A30" s="28" t="s">
        <v>602</v>
      </c>
      <c r="B30" s="27"/>
      <c r="C30" t="s">
        <v>606</v>
      </c>
      <c r="E30" s="30" t="s">
        <v>402</v>
      </c>
      <c r="F30" s="30"/>
      <c r="G30" s="30" t="s">
        <v>403</v>
      </c>
      <c r="H30" s="30"/>
      <c r="I30" s="30" t="s">
        <v>399</v>
      </c>
      <c r="K30" s="30" t="s">
        <v>607</v>
      </c>
      <c r="N30">
        <v>40</v>
      </c>
    </row>
    <row r="31" spans="1:16" ht="66.599999999999994">
      <c r="A31" s="28"/>
      <c r="B31" s="126" t="s">
        <v>636</v>
      </c>
      <c r="C31" t="s">
        <v>637</v>
      </c>
      <c r="E31" s="30" t="s">
        <v>638</v>
      </c>
      <c r="G31" s="30" t="s">
        <v>35</v>
      </c>
      <c r="I31" s="30" t="s">
        <v>638</v>
      </c>
      <c r="K31" s="30" t="s">
        <v>639</v>
      </c>
    </row>
    <row r="32" spans="1:16" ht="53.4">
      <c r="A32" s="28"/>
      <c r="B32" s="126" t="s">
        <v>635</v>
      </c>
      <c r="C32" s="30" t="s">
        <v>631</v>
      </c>
      <c r="E32" s="30" t="s">
        <v>632</v>
      </c>
      <c r="G32" s="30" t="s">
        <v>41</v>
      </c>
      <c r="I32" s="30" t="s">
        <v>633</v>
      </c>
      <c r="K32" s="30" t="s">
        <v>634</v>
      </c>
    </row>
  </sheetData>
  <sortState xmlns:xlrd2="http://schemas.microsoft.com/office/spreadsheetml/2017/richdata2" ref="A2:P32">
    <sortCondition ref="A2:A3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9A7D-6598-43B0-8A1C-77DE4DB83233}">
  <sheetPr codeName="Sheet21"/>
  <dimension ref="A1:P116"/>
  <sheetViews>
    <sheetView tabSelected="1" workbookViewId="0">
      <selection activeCell="G2" sqref="G2"/>
    </sheetView>
  </sheetViews>
  <sheetFormatPr defaultRowHeight="13.2"/>
  <cols>
    <col min="1" max="1" width="12" bestFit="1" customWidth="1"/>
    <col min="2" max="2" width="7.44140625" bestFit="1" customWidth="1"/>
    <col min="3" max="3" width="16.44140625" bestFit="1" customWidth="1"/>
    <col min="4" max="4" width="6.109375" bestFit="1" customWidth="1"/>
    <col min="5" max="5" width="4.44140625" bestFit="1" customWidth="1"/>
    <col min="6" max="6" width="4.88671875" bestFit="1" customWidth="1"/>
    <col min="7" max="7" width="5.6640625" bestFit="1" customWidth="1"/>
    <col min="8" max="8" width="4.88671875" style="47" bestFit="1" customWidth="1"/>
    <col min="9" max="9" width="7.44140625" bestFit="1" customWidth="1"/>
    <col min="10" max="10" width="18.109375" style="5" bestFit="1" customWidth="1"/>
    <col min="11" max="11" width="9.44140625" bestFit="1" customWidth="1"/>
    <col min="12" max="12" width="8.33203125" customWidth="1"/>
    <col min="13" max="13" width="8.77734375" bestFit="1" customWidth="1"/>
    <col min="14" max="14" width="8.77734375" style="152" customWidth="1"/>
    <col min="15" max="15" width="23.77734375" style="152" bestFit="1" customWidth="1"/>
    <col min="16" max="16" width="38.109375" bestFit="1" customWidth="1"/>
    <col min="17" max="17" width="17.44140625" customWidth="1"/>
    <col min="255" max="255" width="5.6640625" customWidth="1"/>
    <col min="256" max="256" width="20.6640625" customWidth="1"/>
    <col min="257" max="257" width="5.6640625" customWidth="1"/>
    <col min="258" max="258" width="20.6640625" customWidth="1"/>
    <col min="259" max="259" width="7.6640625" bestFit="1" customWidth="1"/>
    <col min="260" max="260" width="6.6640625" customWidth="1"/>
    <col min="261" max="261" width="5" customWidth="1"/>
    <col min="262" max="262" width="10.6640625" customWidth="1"/>
    <col min="263" max="263" width="4.6640625" customWidth="1"/>
    <col min="264" max="264" width="10.6640625" customWidth="1"/>
    <col min="265" max="266" width="7.88671875" customWidth="1"/>
    <col min="267" max="268" width="11.88671875" customWidth="1"/>
    <col min="269" max="269" width="20.6640625" customWidth="1"/>
    <col min="511" max="511" width="5.6640625" customWidth="1"/>
    <col min="512" max="512" width="20.6640625" customWidth="1"/>
    <col min="513" max="513" width="5.6640625" customWidth="1"/>
    <col min="514" max="514" width="20.6640625" customWidth="1"/>
    <col min="515" max="515" width="7.6640625" bestFit="1" customWidth="1"/>
    <col min="516" max="516" width="6.6640625" customWidth="1"/>
    <col min="517" max="517" width="5" customWidth="1"/>
    <col min="518" max="518" width="10.6640625" customWidth="1"/>
    <col min="519" max="519" width="4.6640625" customWidth="1"/>
    <col min="520" max="520" width="10.6640625" customWidth="1"/>
    <col min="521" max="522" width="7.88671875" customWidth="1"/>
    <col min="523" max="524" width="11.88671875" customWidth="1"/>
    <col min="525" max="525" width="20.6640625" customWidth="1"/>
    <col min="767" max="767" width="5.6640625" customWidth="1"/>
    <col min="768" max="768" width="20.6640625" customWidth="1"/>
    <col min="769" max="769" width="5.6640625" customWidth="1"/>
    <col min="770" max="770" width="20.6640625" customWidth="1"/>
    <col min="771" max="771" width="7.6640625" bestFit="1" customWidth="1"/>
    <col min="772" max="772" width="6.6640625" customWidth="1"/>
    <col min="773" max="773" width="5" customWidth="1"/>
    <col min="774" max="774" width="10.6640625" customWidth="1"/>
    <col min="775" max="775" width="4.6640625" customWidth="1"/>
    <col min="776" max="776" width="10.6640625" customWidth="1"/>
    <col min="777" max="778" width="7.88671875" customWidth="1"/>
    <col min="779" max="780" width="11.88671875" customWidth="1"/>
    <col min="781" max="781" width="20.6640625" customWidth="1"/>
    <col min="1023" max="1023" width="5.6640625" customWidth="1"/>
    <col min="1024" max="1024" width="20.6640625" customWidth="1"/>
    <col min="1025" max="1025" width="5.6640625" customWidth="1"/>
    <col min="1026" max="1026" width="20.6640625" customWidth="1"/>
    <col min="1027" max="1027" width="7.6640625" bestFit="1" customWidth="1"/>
    <col min="1028" max="1028" width="6.6640625" customWidth="1"/>
    <col min="1029" max="1029" width="5" customWidth="1"/>
    <col min="1030" max="1030" width="10.6640625" customWidth="1"/>
    <col min="1031" max="1031" width="4.6640625" customWidth="1"/>
    <col min="1032" max="1032" width="10.6640625" customWidth="1"/>
    <col min="1033" max="1034" width="7.88671875" customWidth="1"/>
    <col min="1035" max="1036" width="11.88671875" customWidth="1"/>
    <col min="1037" max="1037" width="20.6640625" customWidth="1"/>
    <col min="1279" max="1279" width="5.6640625" customWidth="1"/>
    <col min="1280" max="1280" width="20.6640625" customWidth="1"/>
    <col min="1281" max="1281" width="5.6640625" customWidth="1"/>
    <col min="1282" max="1282" width="20.6640625" customWidth="1"/>
    <col min="1283" max="1283" width="7.6640625" bestFit="1" customWidth="1"/>
    <col min="1284" max="1284" width="6.6640625" customWidth="1"/>
    <col min="1285" max="1285" width="5" customWidth="1"/>
    <col min="1286" max="1286" width="10.6640625" customWidth="1"/>
    <col min="1287" max="1287" width="4.6640625" customWidth="1"/>
    <col min="1288" max="1288" width="10.6640625" customWidth="1"/>
    <col min="1289" max="1290" width="7.88671875" customWidth="1"/>
    <col min="1291" max="1292" width="11.88671875" customWidth="1"/>
    <col min="1293" max="1293" width="20.6640625" customWidth="1"/>
    <col min="1535" max="1535" width="5.6640625" customWidth="1"/>
    <col min="1536" max="1536" width="20.6640625" customWidth="1"/>
    <col min="1537" max="1537" width="5.6640625" customWidth="1"/>
    <col min="1538" max="1538" width="20.6640625" customWidth="1"/>
    <col min="1539" max="1539" width="7.6640625" bestFit="1" customWidth="1"/>
    <col min="1540" max="1540" width="6.6640625" customWidth="1"/>
    <col min="1541" max="1541" width="5" customWidth="1"/>
    <col min="1542" max="1542" width="10.6640625" customWidth="1"/>
    <col min="1543" max="1543" width="4.6640625" customWidth="1"/>
    <col min="1544" max="1544" width="10.6640625" customWidth="1"/>
    <col min="1545" max="1546" width="7.88671875" customWidth="1"/>
    <col min="1547" max="1548" width="11.88671875" customWidth="1"/>
    <col min="1549" max="1549" width="20.6640625" customWidth="1"/>
    <col min="1791" max="1791" width="5.6640625" customWidth="1"/>
    <col min="1792" max="1792" width="20.6640625" customWidth="1"/>
    <col min="1793" max="1793" width="5.6640625" customWidth="1"/>
    <col min="1794" max="1794" width="20.6640625" customWidth="1"/>
    <col min="1795" max="1795" width="7.6640625" bestFit="1" customWidth="1"/>
    <col min="1796" max="1796" width="6.6640625" customWidth="1"/>
    <col min="1797" max="1797" width="5" customWidth="1"/>
    <col min="1798" max="1798" width="10.6640625" customWidth="1"/>
    <col min="1799" max="1799" width="4.6640625" customWidth="1"/>
    <col min="1800" max="1800" width="10.6640625" customWidth="1"/>
    <col min="1801" max="1802" width="7.88671875" customWidth="1"/>
    <col min="1803" max="1804" width="11.88671875" customWidth="1"/>
    <col min="1805" max="1805" width="20.6640625" customWidth="1"/>
    <col min="2047" max="2047" width="5.6640625" customWidth="1"/>
    <col min="2048" max="2048" width="20.6640625" customWidth="1"/>
    <col min="2049" max="2049" width="5.6640625" customWidth="1"/>
    <col min="2050" max="2050" width="20.6640625" customWidth="1"/>
    <col min="2051" max="2051" width="7.6640625" bestFit="1" customWidth="1"/>
    <col min="2052" max="2052" width="6.6640625" customWidth="1"/>
    <col min="2053" max="2053" width="5" customWidth="1"/>
    <col min="2054" max="2054" width="10.6640625" customWidth="1"/>
    <col min="2055" max="2055" width="4.6640625" customWidth="1"/>
    <col min="2056" max="2056" width="10.6640625" customWidth="1"/>
    <col min="2057" max="2058" width="7.88671875" customWidth="1"/>
    <col min="2059" max="2060" width="11.88671875" customWidth="1"/>
    <col min="2061" max="2061" width="20.6640625" customWidth="1"/>
    <col min="2303" max="2303" width="5.6640625" customWidth="1"/>
    <col min="2304" max="2304" width="20.6640625" customWidth="1"/>
    <col min="2305" max="2305" width="5.6640625" customWidth="1"/>
    <col min="2306" max="2306" width="20.6640625" customWidth="1"/>
    <col min="2307" max="2307" width="7.6640625" bestFit="1" customWidth="1"/>
    <col min="2308" max="2308" width="6.6640625" customWidth="1"/>
    <col min="2309" max="2309" width="5" customWidth="1"/>
    <col min="2310" max="2310" width="10.6640625" customWidth="1"/>
    <col min="2311" max="2311" width="4.6640625" customWidth="1"/>
    <col min="2312" max="2312" width="10.6640625" customWidth="1"/>
    <col min="2313" max="2314" width="7.88671875" customWidth="1"/>
    <col min="2315" max="2316" width="11.88671875" customWidth="1"/>
    <col min="2317" max="2317" width="20.6640625" customWidth="1"/>
    <col min="2559" max="2559" width="5.6640625" customWidth="1"/>
    <col min="2560" max="2560" width="20.6640625" customWidth="1"/>
    <col min="2561" max="2561" width="5.6640625" customWidth="1"/>
    <col min="2562" max="2562" width="20.6640625" customWidth="1"/>
    <col min="2563" max="2563" width="7.6640625" bestFit="1" customWidth="1"/>
    <col min="2564" max="2564" width="6.6640625" customWidth="1"/>
    <col min="2565" max="2565" width="5" customWidth="1"/>
    <col min="2566" max="2566" width="10.6640625" customWidth="1"/>
    <col min="2567" max="2567" width="4.6640625" customWidth="1"/>
    <col min="2568" max="2568" width="10.6640625" customWidth="1"/>
    <col min="2569" max="2570" width="7.88671875" customWidth="1"/>
    <col min="2571" max="2572" width="11.88671875" customWidth="1"/>
    <col min="2573" max="2573" width="20.6640625" customWidth="1"/>
    <col min="2815" max="2815" width="5.6640625" customWidth="1"/>
    <col min="2816" max="2816" width="20.6640625" customWidth="1"/>
    <col min="2817" max="2817" width="5.6640625" customWidth="1"/>
    <col min="2818" max="2818" width="20.6640625" customWidth="1"/>
    <col min="2819" max="2819" width="7.6640625" bestFit="1" customWidth="1"/>
    <col min="2820" max="2820" width="6.6640625" customWidth="1"/>
    <col min="2821" max="2821" width="5" customWidth="1"/>
    <col min="2822" max="2822" width="10.6640625" customWidth="1"/>
    <col min="2823" max="2823" width="4.6640625" customWidth="1"/>
    <col min="2824" max="2824" width="10.6640625" customWidth="1"/>
    <col min="2825" max="2826" width="7.88671875" customWidth="1"/>
    <col min="2827" max="2828" width="11.88671875" customWidth="1"/>
    <col min="2829" max="2829" width="20.6640625" customWidth="1"/>
    <col min="3071" max="3071" width="5.6640625" customWidth="1"/>
    <col min="3072" max="3072" width="20.6640625" customWidth="1"/>
    <col min="3073" max="3073" width="5.6640625" customWidth="1"/>
    <col min="3074" max="3074" width="20.6640625" customWidth="1"/>
    <col min="3075" max="3075" width="7.6640625" bestFit="1" customWidth="1"/>
    <col min="3076" max="3076" width="6.6640625" customWidth="1"/>
    <col min="3077" max="3077" width="5" customWidth="1"/>
    <col min="3078" max="3078" width="10.6640625" customWidth="1"/>
    <col min="3079" max="3079" width="4.6640625" customWidth="1"/>
    <col min="3080" max="3080" width="10.6640625" customWidth="1"/>
    <col min="3081" max="3082" width="7.88671875" customWidth="1"/>
    <col min="3083" max="3084" width="11.88671875" customWidth="1"/>
    <col min="3085" max="3085" width="20.6640625" customWidth="1"/>
    <col min="3327" max="3327" width="5.6640625" customWidth="1"/>
    <col min="3328" max="3328" width="20.6640625" customWidth="1"/>
    <col min="3329" max="3329" width="5.6640625" customWidth="1"/>
    <col min="3330" max="3330" width="20.6640625" customWidth="1"/>
    <col min="3331" max="3331" width="7.6640625" bestFit="1" customWidth="1"/>
    <col min="3332" max="3332" width="6.6640625" customWidth="1"/>
    <col min="3333" max="3333" width="5" customWidth="1"/>
    <col min="3334" max="3334" width="10.6640625" customWidth="1"/>
    <col min="3335" max="3335" width="4.6640625" customWidth="1"/>
    <col min="3336" max="3336" width="10.6640625" customWidth="1"/>
    <col min="3337" max="3338" width="7.88671875" customWidth="1"/>
    <col min="3339" max="3340" width="11.88671875" customWidth="1"/>
    <col min="3341" max="3341" width="20.6640625" customWidth="1"/>
    <col min="3583" max="3583" width="5.6640625" customWidth="1"/>
    <col min="3584" max="3584" width="20.6640625" customWidth="1"/>
    <col min="3585" max="3585" width="5.6640625" customWidth="1"/>
    <col min="3586" max="3586" width="20.6640625" customWidth="1"/>
    <col min="3587" max="3587" width="7.6640625" bestFit="1" customWidth="1"/>
    <col min="3588" max="3588" width="6.6640625" customWidth="1"/>
    <col min="3589" max="3589" width="5" customWidth="1"/>
    <col min="3590" max="3590" width="10.6640625" customWidth="1"/>
    <col min="3591" max="3591" width="4.6640625" customWidth="1"/>
    <col min="3592" max="3592" width="10.6640625" customWidth="1"/>
    <col min="3593" max="3594" width="7.88671875" customWidth="1"/>
    <col min="3595" max="3596" width="11.88671875" customWidth="1"/>
    <col min="3597" max="3597" width="20.6640625" customWidth="1"/>
    <col min="3839" max="3839" width="5.6640625" customWidth="1"/>
    <col min="3840" max="3840" width="20.6640625" customWidth="1"/>
    <col min="3841" max="3841" width="5.6640625" customWidth="1"/>
    <col min="3842" max="3842" width="20.6640625" customWidth="1"/>
    <col min="3843" max="3843" width="7.6640625" bestFit="1" customWidth="1"/>
    <col min="3844" max="3844" width="6.6640625" customWidth="1"/>
    <col min="3845" max="3845" width="5" customWidth="1"/>
    <col min="3846" max="3846" width="10.6640625" customWidth="1"/>
    <col min="3847" max="3847" width="4.6640625" customWidth="1"/>
    <col min="3848" max="3848" width="10.6640625" customWidth="1"/>
    <col min="3849" max="3850" width="7.88671875" customWidth="1"/>
    <col min="3851" max="3852" width="11.88671875" customWidth="1"/>
    <col min="3853" max="3853" width="20.6640625" customWidth="1"/>
    <col min="4095" max="4095" width="5.6640625" customWidth="1"/>
    <col min="4096" max="4096" width="20.6640625" customWidth="1"/>
    <col min="4097" max="4097" width="5.6640625" customWidth="1"/>
    <col min="4098" max="4098" width="20.6640625" customWidth="1"/>
    <col min="4099" max="4099" width="7.6640625" bestFit="1" customWidth="1"/>
    <col min="4100" max="4100" width="6.6640625" customWidth="1"/>
    <col min="4101" max="4101" width="5" customWidth="1"/>
    <col min="4102" max="4102" width="10.6640625" customWidth="1"/>
    <col min="4103" max="4103" width="4.6640625" customWidth="1"/>
    <col min="4104" max="4104" width="10.6640625" customWidth="1"/>
    <col min="4105" max="4106" width="7.88671875" customWidth="1"/>
    <col min="4107" max="4108" width="11.88671875" customWidth="1"/>
    <col min="4109" max="4109" width="20.6640625" customWidth="1"/>
    <col min="4351" max="4351" width="5.6640625" customWidth="1"/>
    <col min="4352" max="4352" width="20.6640625" customWidth="1"/>
    <col min="4353" max="4353" width="5.6640625" customWidth="1"/>
    <col min="4354" max="4354" width="20.6640625" customWidth="1"/>
    <col min="4355" max="4355" width="7.6640625" bestFit="1" customWidth="1"/>
    <col min="4356" max="4356" width="6.6640625" customWidth="1"/>
    <col min="4357" max="4357" width="5" customWidth="1"/>
    <col min="4358" max="4358" width="10.6640625" customWidth="1"/>
    <col min="4359" max="4359" width="4.6640625" customWidth="1"/>
    <col min="4360" max="4360" width="10.6640625" customWidth="1"/>
    <col min="4361" max="4362" width="7.88671875" customWidth="1"/>
    <col min="4363" max="4364" width="11.88671875" customWidth="1"/>
    <col min="4365" max="4365" width="20.6640625" customWidth="1"/>
    <col min="4607" max="4607" width="5.6640625" customWidth="1"/>
    <col min="4608" max="4608" width="20.6640625" customWidth="1"/>
    <col min="4609" max="4609" width="5.6640625" customWidth="1"/>
    <col min="4610" max="4610" width="20.6640625" customWidth="1"/>
    <col min="4611" max="4611" width="7.6640625" bestFit="1" customWidth="1"/>
    <col min="4612" max="4612" width="6.6640625" customWidth="1"/>
    <col min="4613" max="4613" width="5" customWidth="1"/>
    <col min="4614" max="4614" width="10.6640625" customWidth="1"/>
    <col min="4615" max="4615" width="4.6640625" customWidth="1"/>
    <col min="4616" max="4616" width="10.6640625" customWidth="1"/>
    <col min="4617" max="4618" width="7.88671875" customWidth="1"/>
    <col min="4619" max="4620" width="11.88671875" customWidth="1"/>
    <col min="4621" max="4621" width="20.6640625" customWidth="1"/>
    <col min="4863" max="4863" width="5.6640625" customWidth="1"/>
    <col min="4864" max="4864" width="20.6640625" customWidth="1"/>
    <col min="4865" max="4865" width="5.6640625" customWidth="1"/>
    <col min="4866" max="4866" width="20.6640625" customWidth="1"/>
    <col min="4867" max="4867" width="7.6640625" bestFit="1" customWidth="1"/>
    <col min="4868" max="4868" width="6.6640625" customWidth="1"/>
    <col min="4869" max="4869" width="5" customWidth="1"/>
    <col min="4870" max="4870" width="10.6640625" customWidth="1"/>
    <col min="4871" max="4871" width="4.6640625" customWidth="1"/>
    <col min="4872" max="4872" width="10.6640625" customWidth="1"/>
    <col min="4873" max="4874" width="7.88671875" customWidth="1"/>
    <col min="4875" max="4876" width="11.88671875" customWidth="1"/>
    <col min="4877" max="4877" width="20.6640625" customWidth="1"/>
    <col min="5119" max="5119" width="5.6640625" customWidth="1"/>
    <col min="5120" max="5120" width="20.6640625" customWidth="1"/>
    <col min="5121" max="5121" width="5.6640625" customWidth="1"/>
    <col min="5122" max="5122" width="20.6640625" customWidth="1"/>
    <col min="5123" max="5123" width="7.6640625" bestFit="1" customWidth="1"/>
    <col min="5124" max="5124" width="6.6640625" customWidth="1"/>
    <col min="5125" max="5125" width="5" customWidth="1"/>
    <col min="5126" max="5126" width="10.6640625" customWidth="1"/>
    <col min="5127" max="5127" width="4.6640625" customWidth="1"/>
    <col min="5128" max="5128" width="10.6640625" customWidth="1"/>
    <col min="5129" max="5130" width="7.88671875" customWidth="1"/>
    <col min="5131" max="5132" width="11.88671875" customWidth="1"/>
    <col min="5133" max="5133" width="20.6640625" customWidth="1"/>
    <col min="5375" max="5375" width="5.6640625" customWidth="1"/>
    <col min="5376" max="5376" width="20.6640625" customWidth="1"/>
    <col min="5377" max="5377" width="5.6640625" customWidth="1"/>
    <col min="5378" max="5378" width="20.6640625" customWidth="1"/>
    <col min="5379" max="5379" width="7.6640625" bestFit="1" customWidth="1"/>
    <col min="5380" max="5380" width="6.6640625" customWidth="1"/>
    <col min="5381" max="5381" width="5" customWidth="1"/>
    <col min="5382" max="5382" width="10.6640625" customWidth="1"/>
    <col min="5383" max="5383" width="4.6640625" customWidth="1"/>
    <col min="5384" max="5384" width="10.6640625" customWidth="1"/>
    <col min="5385" max="5386" width="7.88671875" customWidth="1"/>
    <col min="5387" max="5388" width="11.88671875" customWidth="1"/>
    <col min="5389" max="5389" width="20.6640625" customWidth="1"/>
    <col min="5631" max="5631" width="5.6640625" customWidth="1"/>
    <col min="5632" max="5632" width="20.6640625" customWidth="1"/>
    <col min="5633" max="5633" width="5.6640625" customWidth="1"/>
    <col min="5634" max="5634" width="20.6640625" customWidth="1"/>
    <col min="5635" max="5635" width="7.6640625" bestFit="1" customWidth="1"/>
    <col min="5636" max="5636" width="6.6640625" customWidth="1"/>
    <col min="5637" max="5637" width="5" customWidth="1"/>
    <col min="5638" max="5638" width="10.6640625" customWidth="1"/>
    <col min="5639" max="5639" width="4.6640625" customWidth="1"/>
    <col min="5640" max="5640" width="10.6640625" customWidth="1"/>
    <col min="5641" max="5642" width="7.88671875" customWidth="1"/>
    <col min="5643" max="5644" width="11.88671875" customWidth="1"/>
    <col min="5645" max="5645" width="20.6640625" customWidth="1"/>
    <col min="5887" max="5887" width="5.6640625" customWidth="1"/>
    <col min="5888" max="5888" width="20.6640625" customWidth="1"/>
    <col min="5889" max="5889" width="5.6640625" customWidth="1"/>
    <col min="5890" max="5890" width="20.6640625" customWidth="1"/>
    <col min="5891" max="5891" width="7.6640625" bestFit="1" customWidth="1"/>
    <col min="5892" max="5892" width="6.6640625" customWidth="1"/>
    <col min="5893" max="5893" width="5" customWidth="1"/>
    <col min="5894" max="5894" width="10.6640625" customWidth="1"/>
    <col min="5895" max="5895" width="4.6640625" customWidth="1"/>
    <col min="5896" max="5896" width="10.6640625" customWidth="1"/>
    <col min="5897" max="5898" width="7.88671875" customWidth="1"/>
    <col min="5899" max="5900" width="11.88671875" customWidth="1"/>
    <col min="5901" max="5901" width="20.6640625" customWidth="1"/>
    <col min="6143" max="6143" width="5.6640625" customWidth="1"/>
    <col min="6144" max="6144" width="20.6640625" customWidth="1"/>
    <col min="6145" max="6145" width="5.6640625" customWidth="1"/>
    <col min="6146" max="6146" width="20.6640625" customWidth="1"/>
    <col min="6147" max="6147" width="7.6640625" bestFit="1" customWidth="1"/>
    <col min="6148" max="6148" width="6.6640625" customWidth="1"/>
    <col min="6149" max="6149" width="5" customWidth="1"/>
    <col min="6150" max="6150" width="10.6640625" customWidth="1"/>
    <col min="6151" max="6151" width="4.6640625" customWidth="1"/>
    <col min="6152" max="6152" width="10.6640625" customWidth="1"/>
    <col min="6153" max="6154" width="7.88671875" customWidth="1"/>
    <col min="6155" max="6156" width="11.88671875" customWidth="1"/>
    <col min="6157" max="6157" width="20.6640625" customWidth="1"/>
    <col min="6399" max="6399" width="5.6640625" customWidth="1"/>
    <col min="6400" max="6400" width="20.6640625" customWidth="1"/>
    <col min="6401" max="6401" width="5.6640625" customWidth="1"/>
    <col min="6402" max="6402" width="20.6640625" customWidth="1"/>
    <col min="6403" max="6403" width="7.6640625" bestFit="1" customWidth="1"/>
    <col min="6404" max="6404" width="6.6640625" customWidth="1"/>
    <col min="6405" max="6405" width="5" customWidth="1"/>
    <col min="6406" max="6406" width="10.6640625" customWidth="1"/>
    <col min="6407" max="6407" width="4.6640625" customWidth="1"/>
    <col min="6408" max="6408" width="10.6640625" customWidth="1"/>
    <col min="6409" max="6410" width="7.88671875" customWidth="1"/>
    <col min="6411" max="6412" width="11.88671875" customWidth="1"/>
    <col min="6413" max="6413" width="20.6640625" customWidth="1"/>
    <col min="6655" max="6655" width="5.6640625" customWidth="1"/>
    <col min="6656" max="6656" width="20.6640625" customWidth="1"/>
    <col min="6657" max="6657" width="5.6640625" customWidth="1"/>
    <col min="6658" max="6658" width="20.6640625" customWidth="1"/>
    <col min="6659" max="6659" width="7.6640625" bestFit="1" customWidth="1"/>
    <col min="6660" max="6660" width="6.6640625" customWidth="1"/>
    <col min="6661" max="6661" width="5" customWidth="1"/>
    <col min="6662" max="6662" width="10.6640625" customWidth="1"/>
    <col min="6663" max="6663" width="4.6640625" customWidth="1"/>
    <col min="6664" max="6664" width="10.6640625" customWidth="1"/>
    <col min="6665" max="6666" width="7.88671875" customWidth="1"/>
    <col min="6667" max="6668" width="11.88671875" customWidth="1"/>
    <col min="6669" max="6669" width="20.6640625" customWidth="1"/>
    <col min="6911" max="6911" width="5.6640625" customWidth="1"/>
    <col min="6912" max="6912" width="20.6640625" customWidth="1"/>
    <col min="6913" max="6913" width="5.6640625" customWidth="1"/>
    <col min="6914" max="6914" width="20.6640625" customWidth="1"/>
    <col min="6915" max="6915" width="7.6640625" bestFit="1" customWidth="1"/>
    <col min="6916" max="6916" width="6.6640625" customWidth="1"/>
    <col min="6917" max="6917" width="5" customWidth="1"/>
    <col min="6918" max="6918" width="10.6640625" customWidth="1"/>
    <col min="6919" max="6919" width="4.6640625" customWidth="1"/>
    <col min="6920" max="6920" width="10.6640625" customWidth="1"/>
    <col min="6921" max="6922" width="7.88671875" customWidth="1"/>
    <col min="6923" max="6924" width="11.88671875" customWidth="1"/>
    <col min="6925" max="6925" width="20.6640625" customWidth="1"/>
    <col min="7167" max="7167" width="5.6640625" customWidth="1"/>
    <col min="7168" max="7168" width="20.6640625" customWidth="1"/>
    <col min="7169" max="7169" width="5.6640625" customWidth="1"/>
    <col min="7170" max="7170" width="20.6640625" customWidth="1"/>
    <col min="7171" max="7171" width="7.6640625" bestFit="1" customWidth="1"/>
    <col min="7172" max="7172" width="6.6640625" customWidth="1"/>
    <col min="7173" max="7173" width="5" customWidth="1"/>
    <col min="7174" max="7174" width="10.6640625" customWidth="1"/>
    <col min="7175" max="7175" width="4.6640625" customWidth="1"/>
    <col min="7176" max="7176" width="10.6640625" customWidth="1"/>
    <col min="7177" max="7178" width="7.88671875" customWidth="1"/>
    <col min="7179" max="7180" width="11.88671875" customWidth="1"/>
    <col min="7181" max="7181" width="20.6640625" customWidth="1"/>
    <col min="7423" max="7423" width="5.6640625" customWidth="1"/>
    <col min="7424" max="7424" width="20.6640625" customWidth="1"/>
    <col min="7425" max="7425" width="5.6640625" customWidth="1"/>
    <col min="7426" max="7426" width="20.6640625" customWidth="1"/>
    <col min="7427" max="7427" width="7.6640625" bestFit="1" customWidth="1"/>
    <col min="7428" max="7428" width="6.6640625" customWidth="1"/>
    <col min="7429" max="7429" width="5" customWidth="1"/>
    <col min="7430" max="7430" width="10.6640625" customWidth="1"/>
    <col min="7431" max="7431" width="4.6640625" customWidth="1"/>
    <col min="7432" max="7432" width="10.6640625" customWidth="1"/>
    <col min="7433" max="7434" width="7.88671875" customWidth="1"/>
    <col min="7435" max="7436" width="11.88671875" customWidth="1"/>
    <col min="7437" max="7437" width="20.6640625" customWidth="1"/>
    <col min="7679" max="7679" width="5.6640625" customWidth="1"/>
    <col min="7680" max="7680" width="20.6640625" customWidth="1"/>
    <col min="7681" max="7681" width="5.6640625" customWidth="1"/>
    <col min="7682" max="7682" width="20.6640625" customWidth="1"/>
    <col min="7683" max="7683" width="7.6640625" bestFit="1" customWidth="1"/>
    <col min="7684" max="7684" width="6.6640625" customWidth="1"/>
    <col min="7685" max="7685" width="5" customWidth="1"/>
    <col min="7686" max="7686" width="10.6640625" customWidth="1"/>
    <col min="7687" max="7687" width="4.6640625" customWidth="1"/>
    <col min="7688" max="7688" width="10.6640625" customWidth="1"/>
    <col min="7689" max="7690" width="7.88671875" customWidth="1"/>
    <col min="7691" max="7692" width="11.88671875" customWidth="1"/>
    <col min="7693" max="7693" width="20.6640625" customWidth="1"/>
    <col min="7935" max="7935" width="5.6640625" customWidth="1"/>
    <col min="7936" max="7936" width="20.6640625" customWidth="1"/>
    <col min="7937" max="7937" width="5.6640625" customWidth="1"/>
    <col min="7938" max="7938" width="20.6640625" customWidth="1"/>
    <col min="7939" max="7939" width="7.6640625" bestFit="1" customWidth="1"/>
    <col min="7940" max="7940" width="6.6640625" customWidth="1"/>
    <col min="7941" max="7941" width="5" customWidth="1"/>
    <col min="7942" max="7942" width="10.6640625" customWidth="1"/>
    <col min="7943" max="7943" width="4.6640625" customWidth="1"/>
    <col min="7944" max="7944" width="10.6640625" customWidth="1"/>
    <col min="7945" max="7946" width="7.88671875" customWidth="1"/>
    <col min="7947" max="7948" width="11.88671875" customWidth="1"/>
    <col min="7949" max="7949" width="20.6640625" customWidth="1"/>
    <col min="8191" max="8191" width="5.6640625" customWidth="1"/>
    <col min="8192" max="8192" width="20.6640625" customWidth="1"/>
    <col min="8193" max="8193" width="5.6640625" customWidth="1"/>
    <col min="8194" max="8194" width="20.6640625" customWidth="1"/>
    <col min="8195" max="8195" width="7.6640625" bestFit="1" customWidth="1"/>
    <col min="8196" max="8196" width="6.6640625" customWidth="1"/>
    <col min="8197" max="8197" width="5" customWidth="1"/>
    <col min="8198" max="8198" width="10.6640625" customWidth="1"/>
    <col min="8199" max="8199" width="4.6640625" customWidth="1"/>
    <col min="8200" max="8200" width="10.6640625" customWidth="1"/>
    <col min="8201" max="8202" width="7.88671875" customWidth="1"/>
    <col min="8203" max="8204" width="11.88671875" customWidth="1"/>
    <col min="8205" max="8205" width="20.6640625" customWidth="1"/>
    <col min="8447" max="8447" width="5.6640625" customWidth="1"/>
    <col min="8448" max="8448" width="20.6640625" customWidth="1"/>
    <col min="8449" max="8449" width="5.6640625" customWidth="1"/>
    <col min="8450" max="8450" width="20.6640625" customWidth="1"/>
    <col min="8451" max="8451" width="7.6640625" bestFit="1" customWidth="1"/>
    <col min="8452" max="8452" width="6.6640625" customWidth="1"/>
    <col min="8453" max="8453" width="5" customWidth="1"/>
    <col min="8454" max="8454" width="10.6640625" customWidth="1"/>
    <col min="8455" max="8455" width="4.6640625" customWidth="1"/>
    <col min="8456" max="8456" width="10.6640625" customWidth="1"/>
    <col min="8457" max="8458" width="7.88671875" customWidth="1"/>
    <col min="8459" max="8460" width="11.88671875" customWidth="1"/>
    <col min="8461" max="8461" width="20.6640625" customWidth="1"/>
    <col min="8703" max="8703" width="5.6640625" customWidth="1"/>
    <col min="8704" max="8704" width="20.6640625" customWidth="1"/>
    <col min="8705" max="8705" width="5.6640625" customWidth="1"/>
    <col min="8706" max="8706" width="20.6640625" customWidth="1"/>
    <col min="8707" max="8707" width="7.6640625" bestFit="1" customWidth="1"/>
    <col min="8708" max="8708" width="6.6640625" customWidth="1"/>
    <col min="8709" max="8709" width="5" customWidth="1"/>
    <col min="8710" max="8710" width="10.6640625" customWidth="1"/>
    <col min="8711" max="8711" width="4.6640625" customWidth="1"/>
    <col min="8712" max="8712" width="10.6640625" customWidth="1"/>
    <col min="8713" max="8714" width="7.88671875" customWidth="1"/>
    <col min="8715" max="8716" width="11.88671875" customWidth="1"/>
    <col min="8717" max="8717" width="20.6640625" customWidth="1"/>
    <col min="8959" max="8959" width="5.6640625" customWidth="1"/>
    <col min="8960" max="8960" width="20.6640625" customWidth="1"/>
    <col min="8961" max="8961" width="5.6640625" customWidth="1"/>
    <col min="8962" max="8962" width="20.6640625" customWidth="1"/>
    <col min="8963" max="8963" width="7.6640625" bestFit="1" customWidth="1"/>
    <col min="8964" max="8964" width="6.6640625" customWidth="1"/>
    <col min="8965" max="8965" width="5" customWidth="1"/>
    <col min="8966" max="8966" width="10.6640625" customWidth="1"/>
    <col min="8967" max="8967" width="4.6640625" customWidth="1"/>
    <col min="8968" max="8968" width="10.6640625" customWidth="1"/>
    <col min="8969" max="8970" width="7.88671875" customWidth="1"/>
    <col min="8971" max="8972" width="11.88671875" customWidth="1"/>
    <col min="8973" max="8973" width="20.6640625" customWidth="1"/>
    <col min="9215" max="9215" width="5.6640625" customWidth="1"/>
    <col min="9216" max="9216" width="20.6640625" customWidth="1"/>
    <col min="9217" max="9217" width="5.6640625" customWidth="1"/>
    <col min="9218" max="9218" width="20.6640625" customWidth="1"/>
    <col min="9219" max="9219" width="7.6640625" bestFit="1" customWidth="1"/>
    <col min="9220" max="9220" width="6.6640625" customWidth="1"/>
    <col min="9221" max="9221" width="5" customWidth="1"/>
    <col min="9222" max="9222" width="10.6640625" customWidth="1"/>
    <col min="9223" max="9223" width="4.6640625" customWidth="1"/>
    <col min="9224" max="9224" width="10.6640625" customWidth="1"/>
    <col min="9225" max="9226" width="7.88671875" customWidth="1"/>
    <col min="9227" max="9228" width="11.88671875" customWidth="1"/>
    <col min="9229" max="9229" width="20.6640625" customWidth="1"/>
    <col min="9471" max="9471" width="5.6640625" customWidth="1"/>
    <col min="9472" max="9472" width="20.6640625" customWidth="1"/>
    <col min="9473" max="9473" width="5.6640625" customWidth="1"/>
    <col min="9474" max="9474" width="20.6640625" customWidth="1"/>
    <col min="9475" max="9475" width="7.6640625" bestFit="1" customWidth="1"/>
    <col min="9476" max="9476" width="6.6640625" customWidth="1"/>
    <col min="9477" max="9477" width="5" customWidth="1"/>
    <col min="9478" max="9478" width="10.6640625" customWidth="1"/>
    <col min="9479" max="9479" width="4.6640625" customWidth="1"/>
    <col min="9480" max="9480" width="10.6640625" customWidth="1"/>
    <col min="9481" max="9482" width="7.88671875" customWidth="1"/>
    <col min="9483" max="9484" width="11.88671875" customWidth="1"/>
    <col min="9485" max="9485" width="20.6640625" customWidth="1"/>
    <col min="9727" max="9727" width="5.6640625" customWidth="1"/>
    <col min="9728" max="9728" width="20.6640625" customWidth="1"/>
    <col min="9729" max="9729" width="5.6640625" customWidth="1"/>
    <col min="9730" max="9730" width="20.6640625" customWidth="1"/>
    <col min="9731" max="9731" width="7.6640625" bestFit="1" customWidth="1"/>
    <col min="9732" max="9732" width="6.6640625" customWidth="1"/>
    <col min="9733" max="9733" width="5" customWidth="1"/>
    <col min="9734" max="9734" width="10.6640625" customWidth="1"/>
    <col min="9735" max="9735" width="4.6640625" customWidth="1"/>
    <col min="9736" max="9736" width="10.6640625" customWidth="1"/>
    <col min="9737" max="9738" width="7.88671875" customWidth="1"/>
    <col min="9739" max="9740" width="11.88671875" customWidth="1"/>
    <col min="9741" max="9741" width="20.6640625" customWidth="1"/>
    <col min="9983" max="9983" width="5.6640625" customWidth="1"/>
    <col min="9984" max="9984" width="20.6640625" customWidth="1"/>
    <col min="9985" max="9985" width="5.6640625" customWidth="1"/>
    <col min="9986" max="9986" width="20.6640625" customWidth="1"/>
    <col min="9987" max="9987" width="7.6640625" bestFit="1" customWidth="1"/>
    <col min="9988" max="9988" width="6.6640625" customWidth="1"/>
    <col min="9989" max="9989" width="5" customWidth="1"/>
    <col min="9990" max="9990" width="10.6640625" customWidth="1"/>
    <col min="9991" max="9991" width="4.6640625" customWidth="1"/>
    <col min="9992" max="9992" width="10.6640625" customWidth="1"/>
    <col min="9993" max="9994" width="7.88671875" customWidth="1"/>
    <col min="9995" max="9996" width="11.88671875" customWidth="1"/>
    <col min="9997" max="9997" width="20.6640625" customWidth="1"/>
    <col min="10239" max="10239" width="5.6640625" customWidth="1"/>
    <col min="10240" max="10240" width="20.6640625" customWidth="1"/>
    <col min="10241" max="10241" width="5.6640625" customWidth="1"/>
    <col min="10242" max="10242" width="20.6640625" customWidth="1"/>
    <col min="10243" max="10243" width="7.6640625" bestFit="1" customWidth="1"/>
    <col min="10244" max="10244" width="6.6640625" customWidth="1"/>
    <col min="10245" max="10245" width="5" customWidth="1"/>
    <col min="10246" max="10246" width="10.6640625" customWidth="1"/>
    <col min="10247" max="10247" width="4.6640625" customWidth="1"/>
    <col min="10248" max="10248" width="10.6640625" customWidth="1"/>
    <col min="10249" max="10250" width="7.88671875" customWidth="1"/>
    <col min="10251" max="10252" width="11.88671875" customWidth="1"/>
    <col min="10253" max="10253" width="20.6640625" customWidth="1"/>
    <col min="10495" max="10495" width="5.6640625" customWidth="1"/>
    <col min="10496" max="10496" width="20.6640625" customWidth="1"/>
    <col min="10497" max="10497" width="5.6640625" customWidth="1"/>
    <col min="10498" max="10498" width="20.6640625" customWidth="1"/>
    <col min="10499" max="10499" width="7.6640625" bestFit="1" customWidth="1"/>
    <col min="10500" max="10500" width="6.6640625" customWidth="1"/>
    <col min="10501" max="10501" width="5" customWidth="1"/>
    <col min="10502" max="10502" width="10.6640625" customWidth="1"/>
    <col min="10503" max="10503" width="4.6640625" customWidth="1"/>
    <col min="10504" max="10504" width="10.6640625" customWidth="1"/>
    <col min="10505" max="10506" width="7.88671875" customWidth="1"/>
    <col min="10507" max="10508" width="11.88671875" customWidth="1"/>
    <col min="10509" max="10509" width="20.6640625" customWidth="1"/>
    <col min="10751" max="10751" width="5.6640625" customWidth="1"/>
    <col min="10752" max="10752" width="20.6640625" customWidth="1"/>
    <col min="10753" max="10753" width="5.6640625" customWidth="1"/>
    <col min="10754" max="10754" width="20.6640625" customWidth="1"/>
    <col min="10755" max="10755" width="7.6640625" bestFit="1" customWidth="1"/>
    <col min="10756" max="10756" width="6.6640625" customWidth="1"/>
    <col min="10757" max="10757" width="5" customWidth="1"/>
    <col min="10758" max="10758" width="10.6640625" customWidth="1"/>
    <col min="10759" max="10759" width="4.6640625" customWidth="1"/>
    <col min="10760" max="10760" width="10.6640625" customWidth="1"/>
    <col min="10761" max="10762" width="7.88671875" customWidth="1"/>
    <col min="10763" max="10764" width="11.88671875" customWidth="1"/>
    <col min="10765" max="10765" width="20.6640625" customWidth="1"/>
    <col min="11007" max="11007" width="5.6640625" customWidth="1"/>
    <col min="11008" max="11008" width="20.6640625" customWidth="1"/>
    <col min="11009" max="11009" width="5.6640625" customWidth="1"/>
    <col min="11010" max="11010" width="20.6640625" customWidth="1"/>
    <col min="11011" max="11011" width="7.6640625" bestFit="1" customWidth="1"/>
    <col min="11012" max="11012" width="6.6640625" customWidth="1"/>
    <col min="11013" max="11013" width="5" customWidth="1"/>
    <col min="11014" max="11014" width="10.6640625" customWidth="1"/>
    <col min="11015" max="11015" width="4.6640625" customWidth="1"/>
    <col min="11016" max="11016" width="10.6640625" customWidth="1"/>
    <col min="11017" max="11018" width="7.88671875" customWidth="1"/>
    <col min="11019" max="11020" width="11.88671875" customWidth="1"/>
    <col min="11021" max="11021" width="20.6640625" customWidth="1"/>
    <col min="11263" max="11263" width="5.6640625" customWidth="1"/>
    <col min="11264" max="11264" width="20.6640625" customWidth="1"/>
    <col min="11265" max="11265" width="5.6640625" customWidth="1"/>
    <col min="11266" max="11266" width="20.6640625" customWidth="1"/>
    <col min="11267" max="11267" width="7.6640625" bestFit="1" customWidth="1"/>
    <col min="11268" max="11268" width="6.6640625" customWidth="1"/>
    <col min="11269" max="11269" width="5" customWidth="1"/>
    <col min="11270" max="11270" width="10.6640625" customWidth="1"/>
    <col min="11271" max="11271" width="4.6640625" customWidth="1"/>
    <col min="11272" max="11272" width="10.6640625" customWidth="1"/>
    <col min="11273" max="11274" width="7.88671875" customWidth="1"/>
    <col min="11275" max="11276" width="11.88671875" customWidth="1"/>
    <col min="11277" max="11277" width="20.6640625" customWidth="1"/>
    <col min="11519" max="11519" width="5.6640625" customWidth="1"/>
    <col min="11520" max="11520" width="20.6640625" customWidth="1"/>
    <col min="11521" max="11521" width="5.6640625" customWidth="1"/>
    <col min="11522" max="11522" width="20.6640625" customWidth="1"/>
    <col min="11523" max="11523" width="7.6640625" bestFit="1" customWidth="1"/>
    <col min="11524" max="11524" width="6.6640625" customWidth="1"/>
    <col min="11525" max="11525" width="5" customWidth="1"/>
    <col min="11526" max="11526" width="10.6640625" customWidth="1"/>
    <col min="11527" max="11527" width="4.6640625" customWidth="1"/>
    <col min="11528" max="11528" width="10.6640625" customWidth="1"/>
    <col min="11529" max="11530" width="7.88671875" customWidth="1"/>
    <col min="11531" max="11532" width="11.88671875" customWidth="1"/>
    <col min="11533" max="11533" width="20.6640625" customWidth="1"/>
    <col min="11775" max="11775" width="5.6640625" customWidth="1"/>
    <col min="11776" max="11776" width="20.6640625" customWidth="1"/>
    <col min="11777" max="11777" width="5.6640625" customWidth="1"/>
    <col min="11778" max="11778" width="20.6640625" customWidth="1"/>
    <col min="11779" max="11779" width="7.6640625" bestFit="1" customWidth="1"/>
    <col min="11780" max="11780" width="6.6640625" customWidth="1"/>
    <col min="11781" max="11781" width="5" customWidth="1"/>
    <col min="11782" max="11782" width="10.6640625" customWidth="1"/>
    <col min="11783" max="11783" width="4.6640625" customWidth="1"/>
    <col min="11784" max="11784" width="10.6640625" customWidth="1"/>
    <col min="11785" max="11786" width="7.88671875" customWidth="1"/>
    <col min="11787" max="11788" width="11.88671875" customWidth="1"/>
    <col min="11789" max="11789" width="20.6640625" customWidth="1"/>
    <col min="12031" max="12031" width="5.6640625" customWidth="1"/>
    <col min="12032" max="12032" width="20.6640625" customWidth="1"/>
    <col min="12033" max="12033" width="5.6640625" customWidth="1"/>
    <col min="12034" max="12034" width="20.6640625" customWidth="1"/>
    <col min="12035" max="12035" width="7.6640625" bestFit="1" customWidth="1"/>
    <col min="12036" max="12036" width="6.6640625" customWidth="1"/>
    <col min="12037" max="12037" width="5" customWidth="1"/>
    <col min="12038" max="12038" width="10.6640625" customWidth="1"/>
    <col min="12039" max="12039" width="4.6640625" customWidth="1"/>
    <col min="12040" max="12040" width="10.6640625" customWidth="1"/>
    <col min="12041" max="12042" width="7.88671875" customWidth="1"/>
    <col min="12043" max="12044" width="11.88671875" customWidth="1"/>
    <col min="12045" max="12045" width="20.6640625" customWidth="1"/>
    <col min="12287" max="12287" width="5.6640625" customWidth="1"/>
    <col min="12288" max="12288" width="20.6640625" customWidth="1"/>
    <col min="12289" max="12289" width="5.6640625" customWidth="1"/>
    <col min="12290" max="12290" width="20.6640625" customWidth="1"/>
    <col min="12291" max="12291" width="7.6640625" bestFit="1" customWidth="1"/>
    <col min="12292" max="12292" width="6.6640625" customWidth="1"/>
    <col min="12293" max="12293" width="5" customWidth="1"/>
    <col min="12294" max="12294" width="10.6640625" customWidth="1"/>
    <col min="12295" max="12295" width="4.6640625" customWidth="1"/>
    <col min="12296" max="12296" width="10.6640625" customWidth="1"/>
    <col min="12297" max="12298" width="7.88671875" customWidth="1"/>
    <col min="12299" max="12300" width="11.88671875" customWidth="1"/>
    <col min="12301" max="12301" width="20.6640625" customWidth="1"/>
    <col min="12543" max="12543" width="5.6640625" customWidth="1"/>
    <col min="12544" max="12544" width="20.6640625" customWidth="1"/>
    <col min="12545" max="12545" width="5.6640625" customWidth="1"/>
    <col min="12546" max="12546" width="20.6640625" customWidth="1"/>
    <col min="12547" max="12547" width="7.6640625" bestFit="1" customWidth="1"/>
    <col min="12548" max="12548" width="6.6640625" customWidth="1"/>
    <col min="12549" max="12549" width="5" customWidth="1"/>
    <col min="12550" max="12550" width="10.6640625" customWidth="1"/>
    <col min="12551" max="12551" width="4.6640625" customWidth="1"/>
    <col min="12552" max="12552" width="10.6640625" customWidth="1"/>
    <col min="12553" max="12554" width="7.88671875" customWidth="1"/>
    <col min="12555" max="12556" width="11.88671875" customWidth="1"/>
    <col min="12557" max="12557" width="20.6640625" customWidth="1"/>
    <col min="12799" max="12799" width="5.6640625" customWidth="1"/>
    <col min="12800" max="12800" width="20.6640625" customWidth="1"/>
    <col min="12801" max="12801" width="5.6640625" customWidth="1"/>
    <col min="12802" max="12802" width="20.6640625" customWidth="1"/>
    <col min="12803" max="12803" width="7.6640625" bestFit="1" customWidth="1"/>
    <col min="12804" max="12804" width="6.6640625" customWidth="1"/>
    <col min="12805" max="12805" width="5" customWidth="1"/>
    <col min="12806" max="12806" width="10.6640625" customWidth="1"/>
    <col min="12807" max="12807" width="4.6640625" customWidth="1"/>
    <col min="12808" max="12808" width="10.6640625" customWidth="1"/>
    <col min="12809" max="12810" width="7.88671875" customWidth="1"/>
    <col min="12811" max="12812" width="11.88671875" customWidth="1"/>
    <col min="12813" max="12813" width="20.6640625" customWidth="1"/>
    <col min="13055" max="13055" width="5.6640625" customWidth="1"/>
    <col min="13056" max="13056" width="20.6640625" customWidth="1"/>
    <col min="13057" max="13057" width="5.6640625" customWidth="1"/>
    <col min="13058" max="13058" width="20.6640625" customWidth="1"/>
    <col min="13059" max="13059" width="7.6640625" bestFit="1" customWidth="1"/>
    <col min="13060" max="13060" width="6.6640625" customWidth="1"/>
    <col min="13061" max="13061" width="5" customWidth="1"/>
    <col min="13062" max="13062" width="10.6640625" customWidth="1"/>
    <col min="13063" max="13063" width="4.6640625" customWidth="1"/>
    <col min="13064" max="13064" width="10.6640625" customWidth="1"/>
    <col min="13065" max="13066" width="7.88671875" customWidth="1"/>
    <col min="13067" max="13068" width="11.88671875" customWidth="1"/>
    <col min="13069" max="13069" width="20.6640625" customWidth="1"/>
    <col min="13311" max="13311" width="5.6640625" customWidth="1"/>
    <col min="13312" max="13312" width="20.6640625" customWidth="1"/>
    <col min="13313" max="13313" width="5.6640625" customWidth="1"/>
    <col min="13314" max="13314" width="20.6640625" customWidth="1"/>
    <col min="13315" max="13315" width="7.6640625" bestFit="1" customWidth="1"/>
    <col min="13316" max="13316" width="6.6640625" customWidth="1"/>
    <col min="13317" max="13317" width="5" customWidth="1"/>
    <col min="13318" max="13318" width="10.6640625" customWidth="1"/>
    <col min="13319" max="13319" width="4.6640625" customWidth="1"/>
    <col min="13320" max="13320" width="10.6640625" customWidth="1"/>
    <col min="13321" max="13322" width="7.88671875" customWidth="1"/>
    <col min="13323" max="13324" width="11.88671875" customWidth="1"/>
    <col min="13325" max="13325" width="20.6640625" customWidth="1"/>
    <col min="13567" max="13567" width="5.6640625" customWidth="1"/>
    <col min="13568" max="13568" width="20.6640625" customWidth="1"/>
    <col min="13569" max="13569" width="5.6640625" customWidth="1"/>
    <col min="13570" max="13570" width="20.6640625" customWidth="1"/>
    <col min="13571" max="13571" width="7.6640625" bestFit="1" customWidth="1"/>
    <col min="13572" max="13572" width="6.6640625" customWidth="1"/>
    <col min="13573" max="13573" width="5" customWidth="1"/>
    <col min="13574" max="13574" width="10.6640625" customWidth="1"/>
    <col min="13575" max="13575" width="4.6640625" customWidth="1"/>
    <col min="13576" max="13576" width="10.6640625" customWidth="1"/>
    <col min="13577" max="13578" width="7.88671875" customWidth="1"/>
    <col min="13579" max="13580" width="11.88671875" customWidth="1"/>
    <col min="13581" max="13581" width="20.6640625" customWidth="1"/>
    <col min="13823" max="13823" width="5.6640625" customWidth="1"/>
    <col min="13824" max="13824" width="20.6640625" customWidth="1"/>
    <col min="13825" max="13825" width="5.6640625" customWidth="1"/>
    <col min="13826" max="13826" width="20.6640625" customWidth="1"/>
    <col min="13827" max="13827" width="7.6640625" bestFit="1" customWidth="1"/>
    <col min="13828" max="13828" width="6.6640625" customWidth="1"/>
    <col min="13829" max="13829" width="5" customWidth="1"/>
    <col min="13830" max="13830" width="10.6640625" customWidth="1"/>
    <col min="13831" max="13831" width="4.6640625" customWidth="1"/>
    <col min="13832" max="13832" width="10.6640625" customWidth="1"/>
    <col min="13833" max="13834" width="7.88671875" customWidth="1"/>
    <col min="13835" max="13836" width="11.88671875" customWidth="1"/>
    <col min="13837" max="13837" width="20.6640625" customWidth="1"/>
    <col min="14079" max="14079" width="5.6640625" customWidth="1"/>
    <col min="14080" max="14080" width="20.6640625" customWidth="1"/>
    <col min="14081" max="14081" width="5.6640625" customWidth="1"/>
    <col min="14082" max="14082" width="20.6640625" customWidth="1"/>
    <col min="14083" max="14083" width="7.6640625" bestFit="1" customWidth="1"/>
    <col min="14084" max="14084" width="6.6640625" customWidth="1"/>
    <col min="14085" max="14085" width="5" customWidth="1"/>
    <col min="14086" max="14086" width="10.6640625" customWidth="1"/>
    <col min="14087" max="14087" width="4.6640625" customWidth="1"/>
    <col min="14088" max="14088" width="10.6640625" customWidth="1"/>
    <col min="14089" max="14090" width="7.88671875" customWidth="1"/>
    <col min="14091" max="14092" width="11.88671875" customWidth="1"/>
    <col min="14093" max="14093" width="20.6640625" customWidth="1"/>
    <col min="14335" max="14335" width="5.6640625" customWidth="1"/>
    <col min="14336" max="14336" width="20.6640625" customWidth="1"/>
    <col min="14337" max="14337" width="5.6640625" customWidth="1"/>
    <col min="14338" max="14338" width="20.6640625" customWidth="1"/>
    <col min="14339" max="14339" width="7.6640625" bestFit="1" customWidth="1"/>
    <col min="14340" max="14340" width="6.6640625" customWidth="1"/>
    <col min="14341" max="14341" width="5" customWidth="1"/>
    <col min="14342" max="14342" width="10.6640625" customWidth="1"/>
    <col min="14343" max="14343" width="4.6640625" customWidth="1"/>
    <col min="14344" max="14344" width="10.6640625" customWidth="1"/>
    <col min="14345" max="14346" width="7.88671875" customWidth="1"/>
    <col min="14347" max="14348" width="11.88671875" customWidth="1"/>
    <col min="14349" max="14349" width="20.6640625" customWidth="1"/>
    <col min="14591" max="14591" width="5.6640625" customWidth="1"/>
    <col min="14592" max="14592" width="20.6640625" customWidth="1"/>
    <col min="14593" max="14593" width="5.6640625" customWidth="1"/>
    <col min="14594" max="14594" width="20.6640625" customWidth="1"/>
    <col min="14595" max="14595" width="7.6640625" bestFit="1" customWidth="1"/>
    <col min="14596" max="14596" width="6.6640625" customWidth="1"/>
    <col min="14597" max="14597" width="5" customWidth="1"/>
    <col min="14598" max="14598" width="10.6640625" customWidth="1"/>
    <col min="14599" max="14599" width="4.6640625" customWidth="1"/>
    <col min="14600" max="14600" width="10.6640625" customWidth="1"/>
    <col min="14601" max="14602" width="7.88671875" customWidth="1"/>
    <col min="14603" max="14604" width="11.88671875" customWidth="1"/>
    <col min="14605" max="14605" width="20.6640625" customWidth="1"/>
    <col min="14847" max="14847" width="5.6640625" customWidth="1"/>
    <col min="14848" max="14848" width="20.6640625" customWidth="1"/>
    <col min="14849" max="14849" width="5.6640625" customWidth="1"/>
    <col min="14850" max="14850" width="20.6640625" customWidth="1"/>
    <col min="14851" max="14851" width="7.6640625" bestFit="1" customWidth="1"/>
    <col min="14852" max="14852" width="6.6640625" customWidth="1"/>
    <col min="14853" max="14853" width="5" customWidth="1"/>
    <col min="14854" max="14854" width="10.6640625" customWidth="1"/>
    <col min="14855" max="14855" width="4.6640625" customWidth="1"/>
    <col min="14856" max="14856" width="10.6640625" customWidth="1"/>
    <col min="14857" max="14858" width="7.88671875" customWidth="1"/>
    <col min="14859" max="14860" width="11.88671875" customWidth="1"/>
    <col min="14861" max="14861" width="20.6640625" customWidth="1"/>
    <col min="15103" max="15103" width="5.6640625" customWidth="1"/>
    <col min="15104" max="15104" width="20.6640625" customWidth="1"/>
    <col min="15105" max="15105" width="5.6640625" customWidth="1"/>
    <col min="15106" max="15106" width="20.6640625" customWidth="1"/>
    <col min="15107" max="15107" width="7.6640625" bestFit="1" customWidth="1"/>
    <col min="15108" max="15108" width="6.6640625" customWidth="1"/>
    <col min="15109" max="15109" width="5" customWidth="1"/>
    <col min="15110" max="15110" width="10.6640625" customWidth="1"/>
    <col min="15111" max="15111" width="4.6640625" customWidth="1"/>
    <col min="15112" max="15112" width="10.6640625" customWidth="1"/>
    <col min="15113" max="15114" width="7.88671875" customWidth="1"/>
    <col min="15115" max="15116" width="11.88671875" customWidth="1"/>
    <col min="15117" max="15117" width="20.6640625" customWidth="1"/>
    <col min="15359" max="15359" width="5.6640625" customWidth="1"/>
    <col min="15360" max="15360" width="20.6640625" customWidth="1"/>
    <col min="15361" max="15361" width="5.6640625" customWidth="1"/>
    <col min="15362" max="15362" width="20.6640625" customWidth="1"/>
    <col min="15363" max="15363" width="7.6640625" bestFit="1" customWidth="1"/>
    <col min="15364" max="15364" width="6.6640625" customWidth="1"/>
    <col min="15365" max="15365" width="5" customWidth="1"/>
    <col min="15366" max="15366" width="10.6640625" customWidth="1"/>
    <col min="15367" max="15367" width="4.6640625" customWidth="1"/>
    <col min="15368" max="15368" width="10.6640625" customWidth="1"/>
    <col min="15369" max="15370" width="7.88671875" customWidth="1"/>
    <col min="15371" max="15372" width="11.88671875" customWidth="1"/>
    <col min="15373" max="15373" width="20.6640625" customWidth="1"/>
    <col min="15615" max="15615" width="5.6640625" customWidth="1"/>
    <col min="15616" max="15616" width="20.6640625" customWidth="1"/>
    <col min="15617" max="15617" width="5.6640625" customWidth="1"/>
    <col min="15618" max="15618" width="20.6640625" customWidth="1"/>
    <col min="15619" max="15619" width="7.6640625" bestFit="1" customWidth="1"/>
    <col min="15620" max="15620" width="6.6640625" customWidth="1"/>
    <col min="15621" max="15621" width="5" customWidth="1"/>
    <col min="15622" max="15622" width="10.6640625" customWidth="1"/>
    <col min="15623" max="15623" width="4.6640625" customWidth="1"/>
    <col min="15624" max="15624" width="10.6640625" customWidth="1"/>
    <col min="15625" max="15626" width="7.88671875" customWidth="1"/>
    <col min="15627" max="15628" width="11.88671875" customWidth="1"/>
    <col min="15629" max="15629" width="20.6640625" customWidth="1"/>
    <col min="15871" max="15871" width="5.6640625" customWidth="1"/>
    <col min="15872" max="15872" width="20.6640625" customWidth="1"/>
    <col min="15873" max="15873" width="5.6640625" customWidth="1"/>
    <col min="15874" max="15874" width="20.6640625" customWidth="1"/>
    <col min="15875" max="15875" width="7.6640625" bestFit="1" customWidth="1"/>
    <col min="15876" max="15876" width="6.6640625" customWidth="1"/>
    <col min="15877" max="15877" width="5" customWidth="1"/>
    <col min="15878" max="15878" width="10.6640625" customWidth="1"/>
    <col min="15879" max="15879" width="4.6640625" customWidth="1"/>
    <col min="15880" max="15880" width="10.6640625" customWidth="1"/>
    <col min="15881" max="15882" width="7.88671875" customWidth="1"/>
    <col min="15883" max="15884" width="11.88671875" customWidth="1"/>
    <col min="15885" max="15885" width="20.6640625" customWidth="1"/>
    <col min="16127" max="16127" width="5.6640625" customWidth="1"/>
    <col min="16128" max="16128" width="20.6640625" customWidth="1"/>
    <col min="16129" max="16129" width="5.6640625" customWidth="1"/>
    <col min="16130" max="16130" width="20.6640625" customWidth="1"/>
    <col min="16131" max="16131" width="7.6640625" bestFit="1" customWidth="1"/>
    <col min="16132" max="16132" width="6.6640625" customWidth="1"/>
    <col min="16133" max="16133" width="5" customWidth="1"/>
    <col min="16134" max="16134" width="10.6640625" customWidth="1"/>
    <col min="16135" max="16135" width="4.6640625" customWidth="1"/>
    <col min="16136" max="16136" width="10.6640625" customWidth="1"/>
    <col min="16137" max="16138" width="7.88671875" customWidth="1"/>
    <col min="16139" max="16140" width="11.88671875" customWidth="1"/>
    <col min="16141" max="16141" width="20.6640625" customWidth="1"/>
  </cols>
  <sheetData>
    <row r="1" spans="1:16" ht="21.6" thickBot="1">
      <c r="A1" s="33" t="s">
        <v>73</v>
      </c>
      <c r="B1" s="32" t="s">
        <v>188</v>
      </c>
      <c r="C1" s="33" t="s">
        <v>75</v>
      </c>
      <c r="D1" s="34" t="s">
        <v>76</v>
      </c>
      <c r="E1" s="34" t="s">
        <v>77</v>
      </c>
      <c r="F1" s="32" t="s">
        <v>78</v>
      </c>
      <c r="G1" s="33" t="s">
        <v>79</v>
      </c>
      <c r="H1" s="32" t="s">
        <v>74</v>
      </c>
      <c r="I1" s="33" t="s">
        <v>80</v>
      </c>
      <c r="J1" s="48" t="s">
        <v>189</v>
      </c>
      <c r="K1" s="48" t="s">
        <v>190</v>
      </c>
      <c r="L1" s="48" t="s">
        <v>191</v>
      </c>
      <c r="M1" s="32" t="s">
        <v>223</v>
      </c>
      <c r="N1" s="108" t="s">
        <v>417</v>
      </c>
      <c r="O1" s="165" t="s">
        <v>447</v>
      </c>
      <c r="P1" s="48" t="s">
        <v>88</v>
      </c>
    </row>
    <row r="2" spans="1:16" ht="13.8" thickTop="1">
      <c r="A2" s="35" t="s">
        <v>657</v>
      </c>
      <c r="B2" s="35">
        <v>1037</v>
      </c>
      <c r="C2" s="14" t="s">
        <v>658</v>
      </c>
      <c r="D2" s="14" t="s">
        <v>421</v>
      </c>
      <c r="E2" s="25" t="s">
        <v>92</v>
      </c>
      <c r="F2" s="25">
        <v>39110</v>
      </c>
      <c r="G2" s="14" t="s">
        <v>421</v>
      </c>
      <c r="H2" s="37">
        <v>6000</v>
      </c>
      <c r="I2" s="14" t="s">
        <v>659</v>
      </c>
      <c r="K2" s="133"/>
      <c r="L2" s="39"/>
      <c r="M2" s="105"/>
      <c r="N2" s="149"/>
      <c r="O2" s="168"/>
      <c r="P2" s="38"/>
    </row>
    <row r="3" spans="1:16">
      <c r="A3" s="35" t="s">
        <v>641</v>
      </c>
      <c r="B3" s="35">
        <v>1030</v>
      </c>
      <c r="C3" s="5" t="s">
        <v>642</v>
      </c>
      <c r="D3" s="5" t="s">
        <v>91</v>
      </c>
      <c r="E3" s="35" t="s">
        <v>92</v>
      </c>
      <c r="F3" s="35">
        <v>39042</v>
      </c>
      <c r="G3" s="5" t="s">
        <v>93</v>
      </c>
      <c r="H3" s="36"/>
      <c r="I3" s="5"/>
      <c r="K3" s="135"/>
      <c r="L3" s="39"/>
      <c r="M3" s="105"/>
      <c r="N3" s="149"/>
      <c r="O3" s="166"/>
      <c r="P3" s="38"/>
    </row>
    <row r="4" spans="1:16">
      <c r="A4" s="35" t="s">
        <v>670</v>
      </c>
      <c r="B4" s="35">
        <v>1041</v>
      </c>
      <c r="C4" s="5" t="s">
        <v>671</v>
      </c>
      <c r="D4" s="5" t="s">
        <v>91</v>
      </c>
      <c r="E4" s="35" t="s">
        <v>92</v>
      </c>
      <c r="F4" s="35">
        <v>39042</v>
      </c>
      <c r="G4" s="5" t="s">
        <v>93</v>
      </c>
      <c r="H4" s="36">
        <v>4000</v>
      </c>
      <c r="I4" s="5" t="s">
        <v>672</v>
      </c>
      <c r="K4" s="14"/>
      <c r="L4" s="39"/>
      <c r="M4" s="105"/>
      <c r="N4" s="150" t="s">
        <v>673</v>
      </c>
      <c r="O4" s="166"/>
      <c r="P4" s="39"/>
    </row>
    <row r="5" spans="1:16">
      <c r="A5" s="5" t="s">
        <v>480</v>
      </c>
      <c r="B5" s="5">
        <v>1011</v>
      </c>
      <c r="C5" s="5" t="s">
        <v>481</v>
      </c>
      <c r="D5" s="5" t="s">
        <v>482</v>
      </c>
      <c r="E5" s="5" t="s">
        <v>92</v>
      </c>
      <c r="F5" s="5">
        <v>39046</v>
      </c>
      <c r="G5" s="5" t="s">
        <v>421</v>
      </c>
      <c r="H5" s="136">
        <v>6575</v>
      </c>
      <c r="I5" s="5" t="s">
        <v>210</v>
      </c>
      <c r="J5" s="155"/>
      <c r="K5" s="14"/>
      <c r="L5" s="133"/>
      <c r="M5" s="134">
        <v>60</v>
      </c>
      <c r="N5" s="149"/>
      <c r="O5" s="166"/>
      <c r="P5" s="135"/>
    </row>
    <row r="6" spans="1:16">
      <c r="A6" s="5" t="s">
        <v>544</v>
      </c>
      <c r="B6" s="5">
        <v>1013</v>
      </c>
      <c r="C6" s="14" t="s">
        <v>545</v>
      </c>
      <c r="D6" s="14" t="s">
        <v>91</v>
      </c>
      <c r="E6" s="14" t="s">
        <v>92</v>
      </c>
      <c r="F6" s="14">
        <v>39042</v>
      </c>
      <c r="G6" s="14" t="s">
        <v>93</v>
      </c>
      <c r="H6" s="132">
        <v>2750</v>
      </c>
      <c r="I6" s="14" t="s">
        <v>569</v>
      </c>
      <c r="K6" s="14"/>
      <c r="L6" s="133"/>
      <c r="M6" s="134">
        <v>40</v>
      </c>
      <c r="N6" s="204"/>
      <c r="O6" s="166"/>
      <c r="P6" s="133" t="s">
        <v>590</v>
      </c>
    </row>
    <row r="7" spans="1:16">
      <c r="A7" s="35" t="s">
        <v>419</v>
      </c>
      <c r="B7" s="35">
        <v>1009</v>
      </c>
      <c r="C7" s="14" t="s">
        <v>420</v>
      </c>
      <c r="D7" s="14" t="s">
        <v>421</v>
      </c>
      <c r="E7" s="25" t="s">
        <v>92</v>
      </c>
      <c r="F7" s="25">
        <v>39110</v>
      </c>
      <c r="G7" s="14" t="s">
        <v>421</v>
      </c>
      <c r="H7" s="37">
        <v>8850</v>
      </c>
      <c r="I7" s="14" t="s">
        <v>210</v>
      </c>
      <c r="K7" s="14"/>
      <c r="L7" s="39"/>
      <c r="M7" s="105">
        <v>120</v>
      </c>
      <c r="N7" s="149"/>
      <c r="O7" s="169"/>
      <c r="P7" s="205" t="s">
        <v>442</v>
      </c>
    </row>
    <row r="8" spans="1:16">
      <c r="A8" s="5" t="s">
        <v>548</v>
      </c>
      <c r="B8" s="5">
        <v>1015</v>
      </c>
      <c r="C8" s="14" t="s">
        <v>549</v>
      </c>
      <c r="D8" s="14" t="s">
        <v>91</v>
      </c>
      <c r="E8" s="14" t="s">
        <v>92</v>
      </c>
      <c r="F8" s="14">
        <v>39042</v>
      </c>
      <c r="G8" s="14" t="s">
        <v>93</v>
      </c>
      <c r="H8" s="132">
        <v>5670</v>
      </c>
      <c r="I8" s="14" t="s">
        <v>210</v>
      </c>
      <c r="K8" s="14"/>
      <c r="L8" s="133"/>
      <c r="M8" s="134">
        <v>60</v>
      </c>
      <c r="N8" s="203"/>
      <c r="O8" s="166"/>
      <c r="P8" s="135"/>
    </row>
    <row r="9" spans="1:16">
      <c r="A9" s="5" t="s">
        <v>597</v>
      </c>
      <c r="B9" s="5">
        <v>1025</v>
      </c>
      <c r="C9" s="5" t="s">
        <v>598</v>
      </c>
      <c r="D9" s="5" t="s">
        <v>421</v>
      </c>
      <c r="E9" s="5" t="s">
        <v>92</v>
      </c>
      <c r="F9" s="5">
        <v>39110</v>
      </c>
      <c r="G9" s="14" t="s">
        <v>421</v>
      </c>
      <c r="H9" s="136">
        <v>6400</v>
      </c>
      <c r="I9" s="5"/>
      <c r="K9" s="14"/>
      <c r="L9" s="133"/>
      <c r="M9" s="134"/>
      <c r="N9" s="148"/>
      <c r="O9" s="166"/>
      <c r="P9" s="135"/>
    </row>
    <row r="10" spans="1:16">
      <c r="A10" s="25" t="s">
        <v>644</v>
      </c>
      <c r="B10" s="35">
        <v>1032</v>
      </c>
      <c r="C10" s="14" t="s">
        <v>645</v>
      </c>
      <c r="D10" s="14" t="s">
        <v>646</v>
      </c>
      <c r="E10" s="25" t="s">
        <v>92</v>
      </c>
      <c r="F10" s="25">
        <v>39047</v>
      </c>
      <c r="G10" s="14" t="s">
        <v>93</v>
      </c>
      <c r="H10" s="37">
        <v>8000</v>
      </c>
      <c r="I10" s="14"/>
      <c r="K10" s="14"/>
      <c r="L10" s="39"/>
      <c r="M10" s="106"/>
      <c r="N10" s="150"/>
      <c r="O10" s="166"/>
      <c r="P10" s="39"/>
    </row>
    <row r="11" spans="1:16">
      <c r="A11" s="5" t="s">
        <v>586</v>
      </c>
      <c r="B11" s="5">
        <v>1020</v>
      </c>
      <c r="C11" s="5" t="s">
        <v>587</v>
      </c>
      <c r="D11" s="5" t="s">
        <v>574</v>
      </c>
      <c r="E11" s="5" t="s">
        <v>92</v>
      </c>
      <c r="F11" s="5">
        <v>39157</v>
      </c>
      <c r="G11" s="14" t="s">
        <v>421</v>
      </c>
      <c r="H11" s="136">
        <v>7000</v>
      </c>
      <c r="I11" s="5"/>
      <c r="K11" s="14"/>
      <c r="L11" s="133"/>
      <c r="M11" s="134">
        <v>70</v>
      </c>
      <c r="N11" s="148"/>
      <c r="O11" s="166"/>
      <c r="P11" s="135"/>
    </row>
    <row r="12" spans="1:16">
      <c r="A12" s="5" t="s">
        <v>483</v>
      </c>
      <c r="B12" s="5">
        <v>1012</v>
      </c>
      <c r="C12" s="5" t="s">
        <v>484</v>
      </c>
      <c r="D12" s="5" t="s">
        <v>421</v>
      </c>
      <c r="E12" s="5" t="s">
        <v>92</v>
      </c>
      <c r="F12" s="5">
        <v>39110</v>
      </c>
      <c r="G12" s="14" t="s">
        <v>421</v>
      </c>
      <c r="H12" s="136">
        <v>8910</v>
      </c>
      <c r="I12" s="5" t="s">
        <v>210</v>
      </c>
      <c r="J12" s="155"/>
      <c r="K12" s="14"/>
      <c r="L12" s="133"/>
      <c r="M12" s="134">
        <v>120</v>
      </c>
      <c r="N12" s="148"/>
      <c r="O12" s="166"/>
      <c r="P12" s="135"/>
    </row>
    <row r="13" spans="1:16">
      <c r="A13" s="35" t="s">
        <v>654</v>
      </c>
      <c r="B13" s="35">
        <v>1036</v>
      </c>
      <c r="C13" s="5" t="s">
        <v>655</v>
      </c>
      <c r="D13" s="5" t="s">
        <v>91</v>
      </c>
      <c r="E13" s="35" t="s">
        <v>92</v>
      </c>
      <c r="F13" s="35">
        <v>39042</v>
      </c>
      <c r="G13" s="14" t="s">
        <v>93</v>
      </c>
      <c r="H13" s="36">
        <v>3200</v>
      </c>
      <c r="I13" s="5" t="s">
        <v>575</v>
      </c>
      <c r="K13" s="14"/>
      <c r="L13" s="39"/>
      <c r="M13" s="105"/>
      <c r="N13" s="149" t="s">
        <v>656</v>
      </c>
      <c r="O13" s="166"/>
      <c r="P13" s="38"/>
    </row>
    <row r="14" spans="1:16">
      <c r="A14" s="35" t="s">
        <v>674</v>
      </c>
      <c r="B14" s="35">
        <v>1042</v>
      </c>
      <c r="C14" s="5" t="s">
        <v>675</v>
      </c>
      <c r="D14" s="5" t="s">
        <v>91</v>
      </c>
      <c r="E14" s="35" t="s">
        <v>92</v>
      </c>
      <c r="F14" s="35">
        <v>39042</v>
      </c>
      <c r="G14" s="14" t="s">
        <v>93</v>
      </c>
      <c r="H14" s="36">
        <v>9500</v>
      </c>
      <c r="I14" s="5" t="s">
        <v>668</v>
      </c>
      <c r="K14" s="14"/>
      <c r="L14" s="39"/>
      <c r="M14" s="105"/>
      <c r="N14" s="149" t="s">
        <v>673</v>
      </c>
      <c r="O14" s="166"/>
      <c r="P14" s="38"/>
    </row>
    <row r="15" spans="1:16">
      <c r="A15" s="5" t="s">
        <v>382</v>
      </c>
      <c r="B15" s="5">
        <v>1007</v>
      </c>
      <c r="C15" s="5" t="s">
        <v>383</v>
      </c>
      <c r="D15" s="5" t="s">
        <v>91</v>
      </c>
      <c r="E15" s="5" t="s">
        <v>92</v>
      </c>
      <c r="F15" s="5">
        <v>39042</v>
      </c>
      <c r="G15" s="14" t="s">
        <v>93</v>
      </c>
      <c r="H15" s="136">
        <v>1800</v>
      </c>
      <c r="I15" s="5" t="s">
        <v>210</v>
      </c>
      <c r="J15" s="155"/>
      <c r="K15" s="14" t="s">
        <v>384</v>
      </c>
      <c r="L15" s="133"/>
      <c r="M15" s="134">
        <v>50</v>
      </c>
      <c r="N15" s="149" t="s">
        <v>673</v>
      </c>
      <c r="O15" s="166" t="s">
        <v>448</v>
      </c>
      <c r="P15" s="135" t="s">
        <v>443</v>
      </c>
    </row>
    <row r="16" spans="1:16">
      <c r="A16" s="5" t="s">
        <v>578</v>
      </c>
      <c r="B16" s="5">
        <v>1019</v>
      </c>
      <c r="C16" s="5" t="s">
        <v>579</v>
      </c>
      <c r="D16" s="5" t="s">
        <v>91</v>
      </c>
      <c r="E16" s="5" t="s">
        <v>92</v>
      </c>
      <c r="F16" s="5">
        <v>39042</v>
      </c>
      <c r="G16" s="14" t="s">
        <v>93</v>
      </c>
      <c r="H16" s="136">
        <v>13500</v>
      </c>
      <c r="I16" s="5" t="s">
        <v>580</v>
      </c>
      <c r="K16" s="14"/>
      <c r="L16" s="133"/>
      <c r="M16" s="134">
        <v>140</v>
      </c>
      <c r="N16" s="148"/>
      <c r="O16" s="166"/>
      <c r="P16" s="135"/>
    </row>
    <row r="17" spans="1:16">
      <c r="A17" s="35" t="s">
        <v>643</v>
      </c>
      <c r="B17" s="35">
        <v>1031</v>
      </c>
      <c r="C17" s="5" t="s">
        <v>683</v>
      </c>
      <c r="D17" s="5" t="s">
        <v>91</v>
      </c>
      <c r="E17" s="35" t="s">
        <v>92</v>
      </c>
      <c r="F17" s="35">
        <v>39042</v>
      </c>
      <c r="G17" s="14" t="s">
        <v>93</v>
      </c>
      <c r="H17" s="36">
        <v>8000</v>
      </c>
      <c r="I17" s="5" t="s">
        <v>575</v>
      </c>
      <c r="K17" s="14"/>
      <c r="L17" s="39"/>
      <c r="M17" s="105"/>
      <c r="N17" s="149"/>
      <c r="O17" s="166"/>
      <c r="P17" s="38"/>
    </row>
    <row r="18" spans="1:16">
      <c r="A18" s="5" t="s">
        <v>595</v>
      </c>
      <c r="B18" s="5">
        <v>1024</v>
      </c>
      <c r="C18" s="5" t="s">
        <v>596</v>
      </c>
      <c r="D18" s="5" t="s">
        <v>91</v>
      </c>
      <c r="E18" s="5" t="s">
        <v>92</v>
      </c>
      <c r="F18" s="5">
        <v>39042</v>
      </c>
      <c r="G18" s="14" t="s">
        <v>93</v>
      </c>
      <c r="H18" s="136">
        <v>5900</v>
      </c>
      <c r="I18" s="5" t="s">
        <v>210</v>
      </c>
      <c r="K18" s="14"/>
      <c r="L18" s="133"/>
      <c r="M18" s="134"/>
      <c r="N18" s="148"/>
      <c r="O18" s="166"/>
      <c r="P18" s="135" t="s">
        <v>590</v>
      </c>
    </row>
    <row r="19" spans="1:16">
      <c r="A19" s="5" t="s">
        <v>618</v>
      </c>
      <c r="B19" s="5">
        <v>1027</v>
      </c>
      <c r="C19" s="5" t="s">
        <v>619</v>
      </c>
      <c r="D19" s="5" t="s">
        <v>91</v>
      </c>
      <c r="E19" s="5" t="s">
        <v>92</v>
      </c>
      <c r="F19" s="5">
        <v>39042</v>
      </c>
      <c r="G19" s="14" t="s">
        <v>93</v>
      </c>
      <c r="H19" s="136">
        <v>11000</v>
      </c>
      <c r="I19" s="5"/>
      <c r="K19" s="14"/>
      <c r="L19" s="133"/>
      <c r="M19" s="134"/>
      <c r="N19" s="148"/>
      <c r="O19" s="166"/>
      <c r="P19" s="135"/>
    </row>
    <row r="20" spans="1:16">
      <c r="A20" s="35" t="s">
        <v>663</v>
      </c>
      <c r="B20" s="35">
        <v>1039</v>
      </c>
      <c r="C20" s="5" t="s">
        <v>664</v>
      </c>
      <c r="D20" s="5" t="s">
        <v>421</v>
      </c>
      <c r="E20" s="35" t="s">
        <v>92</v>
      </c>
      <c r="F20" s="35">
        <v>39110</v>
      </c>
      <c r="G20" s="14" t="s">
        <v>421</v>
      </c>
      <c r="H20" s="36">
        <v>12000</v>
      </c>
      <c r="I20" s="5" t="s">
        <v>659</v>
      </c>
      <c r="K20" s="14"/>
      <c r="L20" s="39"/>
      <c r="M20" s="105"/>
      <c r="N20" s="149"/>
      <c r="O20" s="166"/>
      <c r="P20" s="38"/>
    </row>
    <row r="21" spans="1:16">
      <c r="A21" s="5" t="s">
        <v>89</v>
      </c>
      <c r="B21" s="5">
        <v>1002</v>
      </c>
      <c r="C21" s="5" t="s">
        <v>90</v>
      </c>
      <c r="D21" s="5" t="s">
        <v>91</v>
      </c>
      <c r="E21" s="5" t="s">
        <v>92</v>
      </c>
      <c r="F21" s="5">
        <v>39042</v>
      </c>
      <c r="G21" s="14" t="s">
        <v>93</v>
      </c>
      <c r="H21" s="136">
        <v>6360</v>
      </c>
      <c r="I21" s="5" t="s">
        <v>185</v>
      </c>
      <c r="J21" s="155" t="s">
        <v>212</v>
      </c>
      <c r="K21" s="14" t="s">
        <v>208</v>
      </c>
      <c r="L21" s="133" t="s">
        <v>218</v>
      </c>
      <c r="M21" s="134"/>
      <c r="N21" s="148" t="s">
        <v>673</v>
      </c>
      <c r="O21" s="166" t="s">
        <v>449</v>
      </c>
      <c r="P21" s="135"/>
    </row>
    <row r="22" spans="1:16">
      <c r="A22" s="35" t="s">
        <v>676</v>
      </c>
      <c r="B22" s="35">
        <v>1043</v>
      </c>
      <c r="C22" s="5" t="s">
        <v>677</v>
      </c>
      <c r="D22" s="5" t="s">
        <v>224</v>
      </c>
      <c r="E22" s="35" t="s">
        <v>92</v>
      </c>
      <c r="F22" s="35">
        <v>39211</v>
      </c>
      <c r="G22" s="14" t="s">
        <v>225</v>
      </c>
      <c r="H22" s="36">
        <v>13000</v>
      </c>
      <c r="I22" s="5" t="s">
        <v>569</v>
      </c>
      <c r="K22" s="14"/>
      <c r="L22" s="39"/>
      <c r="M22" s="105"/>
      <c r="N22" s="149"/>
      <c r="O22" s="166"/>
      <c r="P22" s="38"/>
    </row>
    <row r="23" spans="1:16">
      <c r="A23" s="5" t="s">
        <v>616</v>
      </c>
      <c r="B23" s="5">
        <v>1026</v>
      </c>
      <c r="C23" s="5" t="s">
        <v>617</v>
      </c>
      <c r="D23" s="5" t="s">
        <v>91</v>
      </c>
      <c r="E23" s="5" t="s">
        <v>92</v>
      </c>
      <c r="F23" s="5">
        <v>39047</v>
      </c>
      <c r="G23" s="14" t="s">
        <v>93</v>
      </c>
      <c r="H23" s="136">
        <v>4200</v>
      </c>
      <c r="I23" s="5"/>
      <c r="K23" s="14"/>
      <c r="L23" s="133"/>
      <c r="M23" s="134"/>
      <c r="N23" s="148"/>
      <c r="O23" s="166"/>
      <c r="P23" s="135"/>
    </row>
    <row r="24" spans="1:16">
      <c r="A24" s="35" t="s">
        <v>650</v>
      </c>
      <c r="B24" s="35">
        <v>1034</v>
      </c>
      <c r="C24" s="5" t="s">
        <v>651</v>
      </c>
      <c r="D24" s="5" t="s">
        <v>91</v>
      </c>
      <c r="E24" s="35" t="s">
        <v>92</v>
      </c>
      <c r="F24" s="35">
        <v>39042</v>
      </c>
      <c r="G24" s="14" t="s">
        <v>93</v>
      </c>
      <c r="H24" s="36">
        <v>6000</v>
      </c>
      <c r="I24" s="5"/>
      <c r="K24" s="14"/>
      <c r="L24" s="39"/>
      <c r="M24" s="105"/>
      <c r="N24" s="149"/>
      <c r="O24" s="166"/>
      <c r="P24" s="38"/>
    </row>
    <row r="25" spans="1:16">
      <c r="A25" s="35" t="s">
        <v>649</v>
      </c>
      <c r="B25" s="35">
        <v>1033</v>
      </c>
      <c r="C25" s="5" t="s">
        <v>684</v>
      </c>
      <c r="D25" s="5" t="s">
        <v>91</v>
      </c>
      <c r="E25" s="35" t="s">
        <v>92</v>
      </c>
      <c r="F25" s="35">
        <v>39042</v>
      </c>
      <c r="G25" s="14" t="s">
        <v>93</v>
      </c>
      <c r="H25" s="36">
        <v>5000</v>
      </c>
      <c r="I25" s="5"/>
      <c r="K25" s="14"/>
      <c r="L25" s="39"/>
      <c r="M25" s="105"/>
      <c r="N25" s="149"/>
      <c r="O25" s="166"/>
      <c r="P25" s="38"/>
    </row>
    <row r="26" spans="1:16">
      <c r="A26" s="5" t="s">
        <v>379</v>
      </c>
      <c r="B26" s="5">
        <v>1006</v>
      </c>
      <c r="C26" s="5" t="s">
        <v>380</v>
      </c>
      <c r="D26" s="5" t="s">
        <v>224</v>
      </c>
      <c r="E26" s="5" t="s">
        <v>92</v>
      </c>
      <c r="F26" s="5">
        <v>39211</v>
      </c>
      <c r="G26" s="14" t="s">
        <v>225</v>
      </c>
      <c r="H26" s="136">
        <v>3687</v>
      </c>
      <c r="I26" s="5" t="s">
        <v>210</v>
      </c>
      <c r="J26" s="155" t="s">
        <v>381</v>
      </c>
      <c r="K26" s="14" t="s">
        <v>385</v>
      </c>
      <c r="L26" s="133"/>
      <c r="M26" s="134">
        <v>50</v>
      </c>
      <c r="N26" s="149" t="s">
        <v>656</v>
      </c>
      <c r="O26" s="166" t="s">
        <v>475</v>
      </c>
      <c r="P26" s="38" t="s">
        <v>479</v>
      </c>
    </row>
    <row r="27" spans="1:16">
      <c r="A27" s="35" t="s">
        <v>660</v>
      </c>
      <c r="B27" s="35">
        <v>1038</v>
      </c>
      <c r="C27" s="5" t="s">
        <v>661</v>
      </c>
      <c r="D27" s="5" t="s">
        <v>224</v>
      </c>
      <c r="E27" s="35" t="s">
        <v>92</v>
      </c>
      <c r="F27" s="35">
        <v>39211</v>
      </c>
      <c r="G27" s="14" t="s">
        <v>225</v>
      </c>
      <c r="H27" s="36">
        <v>3200</v>
      </c>
      <c r="I27" s="5" t="s">
        <v>575</v>
      </c>
      <c r="K27" s="14"/>
      <c r="L27" s="39"/>
      <c r="M27" s="105"/>
      <c r="N27" s="149"/>
      <c r="O27" s="166"/>
      <c r="P27" s="38" t="s">
        <v>662</v>
      </c>
    </row>
    <row r="28" spans="1:16">
      <c r="A28" s="5" t="s">
        <v>86</v>
      </c>
      <c r="B28" s="5">
        <v>1003</v>
      </c>
      <c r="C28" s="5" t="s">
        <v>94</v>
      </c>
      <c r="D28" s="5" t="s">
        <v>91</v>
      </c>
      <c r="E28" s="5" t="s">
        <v>92</v>
      </c>
      <c r="F28" s="5">
        <v>39042</v>
      </c>
      <c r="G28" s="14" t="s">
        <v>93</v>
      </c>
      <c r="H28" s="136">
        <v>5361</v>
      </c>
      <c r="I28" s="5" t="s">
        <v>101</v>
      </c>
      <c r="J28" s="155" t="s">
        <v>211</v>
      </c>
      <c r="K28" s="14" t="s">
        <v>397</v>
      </c>
      <c r="L28" s="133" t="s">
        <v>217</v>
      </c>
      <c r="M28" s="134"/>
      <c r="N28" s="148" t="s">
        <v>673</v>
      </c>
      <c r="O28" s="166" t="s">
        <v>476</v>
      </c>
      <c r="P28" s="135" t="s">
        <v>418</v>
      </c>
    </row>
    <row r="29" spans="1:16">
      <c r="A29" s="35" t="s">
        <v>652</v>
      </c>
      <c r="B29" s="35">
        <v>1035</v>
      </c>
      <c r="C29" s="5" t="s">
        <v>653</v>
      </c>
      <c r="D29" s="5" t="s">
        <v>91</v>
      </c>
      <c r="E29" s="35" t="s">
        <v>92</v>
      </c>
      <c r="F29" s="35">
        <v>39047</v>
      </c>
      <c r="G29" s="14" t="s">
        <v>93</v>
      </c>
      <c r="H29" s="36">
        <v>10000</v>
      </c>
      <c r="I29" s="5" t="s">
        <v>575</v>
      </c>
      <c r="K29" s="14"/>
      <c r="L29" s="39"/>
      <c r="M29" s="105"/>
      <c r="N29" s="149"/>
      <c r="O29" s="166"/>
      <c r="P29" s="38"/>
    </row>
    <row r="30" spans="1:16">
      <c r="A30" s="25" t="s">
        <v>441</v>
      </c>
      <c r="B30" s="35">
        <v>1010</v>
      </c>
      <c r="C30" s="14" t="s">
        <v>444</v>
      </c>
      <c r="D30" s="14" t="s">
        <v>91</v>
      </c>
      <c r="E30" s="25" t="s">
        <v>92</v>
      </c>
      <c r="F30" s="25">
        <v>39042</v>
      </c>
      <c r="G30" s="14" t="s">
        <v>93</v>
      </c>
      <c r="H30" s="37">
        <v>2000</v>
      </c>
      <c r="I30" s="14" t="s">
        <v>210</v>
      </c>
      <c r="K30" s="14" t="s">
        <v>445</v>
      </c>
      <c r="L30" s="39"/>
      <c r="M30" s="106">
        <v>50</v>
      </c>
      <c r="N30" s="150" t="s">
        <v>673</v>
      </c>
      <c r="O30" s="166" t="s">
        <v>450</v>
      </c>
      <c r="P30" s="133" t="s">
        <v>443</v>
      </c>
    </row>
    <row r="31" spans="1:16">
      <c r="A31" s="5" t="s">
        <v>95</v>
      </c>
      <c r="B31" s="5">
        <v>1004</v>
      </c>
      <c r="C31" s="5" t="s">
        <v>96</v>
      </c>
      <c r="D31" s="5" t="s">
        <v>97</v>
      </c>
      <c r="E31" s="5" t="s">
        <v>92</v>
      </c>
      <c r="F31" s="5">
        <v>39208</v>
      </c>
      <c r="G31" s="14" t="s">
        <v>93</v>
      </c>
      <c r="H31" s="136">
        <v>6568</v>
      </c>
      <c r="I31" s="5" t="s">
        <v>210</v>
      </c>
      <c r="J31" s="155" t="s">
        <v>213</v>
      </c>
      <c r="K31" s="14" t="s">
        <v>209</v>
      </c>
      <c r="L31" s="133" t="s">
        <v>220</v>
      </c>
      <c r="M31" s="134"/>
      <c r="N31" s="148" t="s">
        <v>673</v>
      </c>
      <c r="O31" s="166" t="s">
        <v>477</v>
      </c>
      <c r="P31" s="135"/>
    </row>
    <row r="32" spans="1:16">
      <c r="A32" s="5" t="s">
        <v>550</v>
      </c>
      <c r="B32" s="5">
        <v>1015</v>
      </c>
      <c r="C32" s="5" t="s">
        <v>551</v>
      </c>
      <c r="D32" s="5" t="s">
        <v>91</v>
      </c>
      <c r="E32" s="5" t="s">
        <v>92</v>
      </c>
      <c r="F32" s="5">
        <v>39042</v>
      </c>
      <c r="G32" s="14" t="s">
        <v>93</v>
      </c>
      <c r="H32" s="136">
        <v>4670</v>
      </c>
      <c r="I32" s="5" t="s">
        <v>210</v>
      </c>
      <c r="K32" s="14"/>
      <c r="L32" s="133"/>
      <c r="M32" s="153">
        <v>40</v>
      </c>
      <c r="N32" s="195"/>
      <c r="O32" s="166"/>
      <c r="P32" s="133" t="s">
        <v>590</v>
      </c>
    </row>
    <row r="33" spans="1:16">
      <c r="A33" s="5" t="s">
        <v>394</v>
      </c>
      <c r="B33" s="5">
        <v>1008</v>
      </c>
      <c r="C33" s="5" t="s">
        <v>395</v>
      </c>
      <c r="D33" s="5" t="s">
        <v>91</v>
      </c>
      <c r="E33" s="5" t="s">
        <v>92</v>
      </c>
      <c r="F33" s="5">
        <v>39047</v>
      </c>
      <c r="G33" s="14" t="s">
        <v>93</v>
      </c>
      <c r="H33" s="136">
        <v>3100</v>
      </c>
      <c r="I33" s="5" t="s">
        <v>101</v>
      </c>
      <c r="K33" s="14" t="s">
        <v>396</v>
      </c>
      <c r="L33" s="133"/>
      <c r="M33" s="153">
        <v>50</v>
      </c>
      <c r="N33" s="195" t="s">
        <v>673</v>
      </c>
      <c r="O33" s="166" t="s">
        <v>478</v>
      </c>
      <c r="P33" s="133" t="s">
        <v>443</v>
      </c>
    </row>
    <row r="34" spans="1:16">
      <c r="A34" s="5" t="s">
        <v>570</v>
      </c>
      <c r="B34" s="5">
        <v>1016</v>
      </c>
      <c r="C34" s="5" t="s">
        <v>571</v>
      </c>
      <c r="D34" s="5" t="s">
        <v>91</v>
      </c>
      <c r="E34" s="5" t="s">
        <v>92</v>
      </c>
      <c r="F34" s="5">
        <v>39042</v>
      </c>
      <c r="G34" s="14" t="s">
        <v>93</v>
      </c>
      <c r="H34" s="136">
        <v>29000</v>
      </c>
      <c r="I34" s="5"/>
      <c r="K34" s="14"/>
      <c r="L34" s="133"/>
      <c r="M34" s="153"/>
      <c r="N34" s="195"/>
      <c r="O34" s="166"/>
      <c r="P34" s="133"/>
    </row>
    <row r="35" spans="1:16">
      <c r="A35" s="35" t="s">
        <v>669</v>
      </c>
      <c r="B35" s="35">
        <v>1040</v>
      </c>
      <c r="C35" s="5" t="s">
        <v>685</v>
      </c>
      <c r="D35" s="5" t="s">
        <v>91</v>
      </c>
      <c r="E35" s="35" t="s">
        <v>92</v>
      </c>
      <c r="F35" s="35">
        <v>39042</v>
      </c>
      <c r="G35" s="14" t="s">
        <v>93</v>
      </c>
      <c r="H35" s="36">
        <v>5000</v>
      </c>
      <c r="I35" s="5"/>
      <c r="K35" s="14"/>
      <c r="L35" s="39"/>
      <c r="M35" s="106"/>
      <c r="N35" s="150"/>
      <c r="O35" s="166"/>
      <c r="P35" s="39"/>
    </row>
    <row r="36" spans="1:16">
      <c r="A36" s="5" t="s">
        <v>546</v>
      </c>
      <c r="B36" s="5">
        <v>1014</v>
      </c>
      <c r="C36" s="5" t="s">
        <v>547</v>
      </c>
      <c r="D36" s="5" t="s">
        <v>91</v>
      </c>
      <c r="E36" s="5" t="s">
        <v>92</v>
      </c>
      <c r="F36" s="5">
        <v>39042</v>
      </c>
      <c r="G36" s="14" t="s">
        <v>93</v>
      </c>
      <c r="H36" s="136">
        <v>7500</v>
      </c>
      <c r="I36" s="5"/>
      <c r="K36" s="14"/>
      <c r="L36" s="133"/>
      <c r="M36" s="153">
        <v>75</v>
      </c>
      <c r="N36" s="195"/>
      <c r="O36" s="166"/>
      <c r="P36" s="133"/>
    </row>
    <row r="37" spans="1:16">
      <c r="A37" s="5" t="s">
        <v>572</v>
      </c>
      <c r="B37" s="5">
        <v>1017</v>
      </c>
      <c r="C37" s="5" t="s">
        <v>573</v>
      </c>
      <c r="D37" s="5" t="s">
        <v>574</v>
      </c>
      <c r="E37" s="5" t="s">
        <v>92</v>
      </c>
      <c r="F37" s="5">
        <v>39157</v>
      </c>
      <c r="G37" s="14" t="s">
        <v>421</v>
      </c>
      <c r="H37" s="136">
        <v>4150</v>
      </c>
      <c r="I37" s="5" t="s">
        <v>575</v>
      </c>
      <c r="K37" s="14"/>
      <c r="L37" s="133"/>
      <c r="M37" s="153"/>
      <c r="N37" s="195"/>
      <c r="O37" s="166"/>
      <c r="P37" s="133"/>
    </row>
    <row r="38" spans="1:16">
      <c r="A38" s="5" t="s">
        <v>620</v>
      </c>
      <c r="B38" s="5">
        <v>1028</v>
      </c>
      <c r="C38" s="5" t="s">
        <v>621</v>
      </c>
      <c r="D38" s="5" t="s">
        <v>91</v>
      </c>
      <c r="E38" s="5" t="s">
        <v>92</v>
      </c>
      <c r="F38" s="5">
        <v>39042</v>
      </c>
      <c r="G38" s="14" t="s">
        <v>93</v>
      </c>
      <c r="H38" s="136">
        <v>5000</v>
      </c>
      <c r="I38" s="5" t="s">
        <v>575</v>
      </c>
      <c r="K38" s="14"/>
      <c r="L38" s="133"/>
      <c r="M38" s="153"/>
      <c r="N38" s="195"/>
      <c r="O38" s="166"/>
      <c r="P38" s="133"/>
    </row>
    <row r="39" spans="1:16">
      <c r="A39" s="35" t="s">
        <v>665</v>
      </c>
      <c r="B39" s="35">
        <v>1040</v>
      </c>
      <c r="C39" s="5" t="s">
        <v>666</v>
      </c>
      <c r="D39" s="5" t="s">
        <v>91</v>
      </c>
      <c r="E39" s="35" t="s">
        <v>667</v>
      </c>
      <c r="F39" s="35">
        <v>39042</v>
      </c>
      <c r="G39" s="14" t="s">
        <v>93</v>
      </c>
      <c r="H39" s="36">
        <v>6000</v>
      </c>
      <c r="I39" s="5" t="s">
        <v>668</v>
      </c>
      <c r="K39" s="14"/>
      <c r="L39" s="39"/>
      <c r="M39" s="106"/>
      <c r="N39" s="150"/>
      <c r="O39" s="166"/>
      <c r="P39" s="39"/>
    </row>
    <row r="40" spans="1:16">
      <c r="A40" s="5" t="s">
        <v>640</v>
      </c>
      <c r="B40" s="5">
        <v>1029</v>
      </c>
      <c r="C40" s="5" t="s">
        <v>686</v>
      </c>
      <c r="D40" s="5" t="s">
        <v>91</v>
      </c>
      <c r="E40" s="5" t="s">
        <v>92</v>
      </c>
      <c r="F40" s="5">
        <v>39042</v>
      </c>
      <c r="G40" s="14" t="s">
        <v>93</v>
      </c>
      <c r="H40" s="136">
        <v>14000</v>
      </c>
      <c r="I40" s="5"/>
      <c r="K40" s="14"/>
      <c r="L40" s="133"/>
      <c r="M40" s="153"/>
      <c r="N40" s="195"/>
      <c r="O40" s="166"/>
      <c r="P40" s="133"/>
    </row>
    <row r="41" spans="1:16">
      <c r="A41" s="5" t="s">
        <v>593</v>
      </c>
      <c r="B41" s="5">
        <v>1023</v>
      </c>
      <c r="C41" s="5" t="s">
        <v>594</v>
      </c>
      <c r="D41" s="5" t="s">
        <v>574</v>
      </c>
      <c r="E41" s="5" t="s">
        <v>92</v>
      </c>
      <c r="F41" s="5">
        <v>39157</v>
      </c>
      <c r="G41" s="14" t="s">
        <v>421</v>
      </c>
      <c r="H41" s="136">
        <v>6500</v>
      </c>
      <c r="I41" s="5"/>
      <c r="K41" s="14"/>
      <c r="L41" s="133"/>
      <c r="M41" s="153"/>
      <c r="N41" s="195"/>
      <c r="O41" s="166"/>
      <c r="P41" s="133"/>
    </row>
    <row r="42" spans="1:16">
      <c r="A42" s="5" t="s">
        <v>591</v>
      </c>
      <c r="B42" s="5">
        <v>1022</v>
      </c>
      <c r="C42" s="5" t="s">
        <v>592</v>
      </c>
      <c r="D42" s="5" t="s">
        <v>224</v>
      </c>
      <c r="E42" s="5" t="s">
        <v>92</v>
      </c>
      <c r="F42" s="5">
        <v>39211</v>
      </c>
      <c r="G42" s="14" t="s">
        <v>225</v>
      </c>
      <c r="H42" s="136">
        <v>9000</v>
      </c>
      <c r="I42" s="5" t="s">
        <v>575</v>
      </c>
      <c r="K42" s="14"/>
      <c r="L42" s="133"/>
      <c r="M42" s="153">
        <v>90</v>
      </c>
      <c r="N42" s="195"/>
      <c r="O42" s="166"/>
      <c r="P42" s="133" t="s">
        <v>590</v>
      </c>
    </row>
    <row r="43" spans="1:16">
      <c r="A43" s="5" t="s">
        <v>576</v>
      </c>
      <c r="B43" s="5">
        <v>1018</v>
      </c>
      <c r="C43" s="5" t="s">
        <v>577</v>
      </c>
      <c r="D43" s="5" t="s">
        <v>574</v>
      </c>
      <c r="E43" s="5" t="s">
        <v>92</v>
      </c>
      <c r="F43" s="5">
        <v>39157</v>
      </c>
      <c r="G43" s="14" t="s">
        <v>421</v>
      </c>
      <c r="H43" s="136">
        <v>3875</v>
      </c>
      <c r="I43" s="5" t="s">
        <v>575</v>
      </c>
      <c r="K43" s="14"/>
      <c r="L43" s="133"/>
      <c r="M43" s="153"/>
      <c r="N43" s="195"/>
      <c r="O43" s="166"/>
      <c r="P43" s="133"/>
    </row>
    <row r="44" spans="1:16">
      <c r="A44" s="5" t="s">
        <v>588</v>
      </c>
      <c r="B44" s="5">
        <v>1021</v>
      </c>
      <c r="C44" s="5" t="s">
        <v>589</v>
      </c>
      <c r="D44" s="5" t="s">
        <v>91</v>
      </c>
      <c r="E44" s="5" t="s">
        <v>92</v>
      </c>
      <c r="F44" s="5">
        <v>39042</v>
      </c>
      <c r="G44" s="14" t="s">
        <v>93</v>
      </c>
      <c r="H44" s="136">
        <v>9000</v>
      </c>
      <c r="I44" s="5"/>
      <c r="K44" s="14"/>
      <c r="L44" s="133"/>
      <c r="M44" s="153"/>
      <c r="N44" s="195"/>
      <c r="O44" s="166"/>
      <c r="P44" s="133"/>
    </row>
    <row r="45" spans="1:16">
      <c r="A45" s="35"/>
      <c r="B45" s="35"/>
      <c r="C45" s="5"/>
      <c r="D45" s="5"/>
      <c r="E45" s="35"/>
      <c r="F45" s="35"/>
      <c r="G45" s="14"/>
      <c r="H45" s="36"/>
      <c r="I45" s="5"/>
      <c r="K45" s="14"/>
      <c r="L45" s="39"/>
      <c r="M45" s="105"/>
      <c r="N45" s="149"/>
      <c r="O45" s="166"/>
      <c r="P45" s="38"/>
    </row>
    <row r="46" spans="1:16">
      <c r="A46" s="25"/>
      <c r="B46" s="25"/>
      <c r="C46" s="14"/>
      <c r="D46" s="14"/>
      <c r="E46" s="25"/>
      <c r="F46" s="25"/>
      <c r="G46" s="14"/>
      <c r="H46" s="37"/>
      <c r="I46" s="14"/>
      <c r="K46" s="14"/>
      <c r="L46" s="39"/>
      <c r="M46" s="106"/>
      <c r="N46" s="150"/>
      <c r="O46" s="166"/>
      <c r="P46" s="39"/>
    </row>
    <row r="47" spans="1:16">
      <c r="A47" s="35"/>
      <c r="B47" s="35"/>
      <c r="C47" s="5"/>
      <c r="D47" s="5"/>
      <c r="E47" s="35"/>
      <c r="F47" s="35"/>
      <c r="G47" s="14"/>
      <c r="H47" s="36"/>
      <c r="I47" s="5"/>
      <c r="K47" s="14"/>
      <c r="L47" s="39"/>
      <c r="M47" s="105"/>
      <c r="N47" s="149"/>
      <c r="O47" s="166"/>
      <c r="P47" s="38"/>
    </row>
    <row r="48" spans="1:16">
      <c r="A48" s="25"/>
      <c r="B48" s="25"/>
      <c r="C48" s="14"/>
      <c r="D48" s="14"/>
      <c r="E48" s="25"/>
      <c r="F48" s="25"/>
      <c r="G48" s="14"/>
      <c r="H48" s="37"/>
      <c r="I48" s="14"/>
      <c r="K48" s="14"/>
      <c r="L48" s="39"/>
      <c r="M48" s="106"/>
      <c r="N48" s="150"/>
      <c r="O48" s="166"/>
      <c r="P48" s="39"/>
    </row>
    <row r="49" spans="1:16">
      <c r="A49" s="35"/>
      <c r="B49" s="35"/>
      <c r="C49" s="5"/>
      <c r="D49" s="5"/>
      <c r="E49" s="35"/>
      <c r="F49" s="35"/>
      <c r="G49" s="14"/>
      <c r="H49" s="36"/>
      <c r="I49" s="5"/>
      <c r="K49" s="14"/>
      <c r="L49" s="39"/>
      <c r="M49" s="105"/>
      <c r="N49" s="149"/>
      <c r="O49" s="166"/>
      <c r="P49" s="38"/>
    </row>
    <row r="50" spans="1:16">
      <c r="A50" s="25"/>
      <c r="B50" s="25"/>
      <c r="C50" s="14"/>
      <c r="D50" s="14"/>
      <c r="E50" s="25"/>
      <c r="F50" s="25"/>
      <c r="G50" s="14"/>
      <c r="H50" s="37"/>
      <c r="I50" s="14"/>
      <c r="K50" s="14"/>
      <c r="L50" s="39"/>
      <c r="M50" s="106"/>
      <c r="N50" s="150"/>
      <c r="O50" s="166"/>
      <c r="P50" s="39"/>
    </row>
    <row r="51" spans="1:16">
      <c r="A51" s="35"/>
      <c r="B51" s="35"/>
      <c r="C51" s="5"/>
      <c r="D51" s="5"/>
      <c r="E51" s="35"/>
      <c r="F51" s="35"/>
      <c r="G51" s="14"/>
      <c r="H51" s="36"/>
      <c r="I51" s="5"/>
      <c r="K51" s="14"/>
      <c r="L51" s="39"/>
      <c r="M51" s="105"/>
      <c r="N51" s="149"/>
      <c r="O51" s="166"/>
      <c r="P51" s="38"/>
    </row>
    <row r="52" spans="1:16">
      <c r="A52" s="25"/>
      <c r="B52" s="25"/>
      <c r="C52" s="14"/>
      <c r="D52" s="14"/>
      <c r="E52" s="25"/>
      <c r="F52" s="25"/>
      <c r="G52" s="14"/>
      <c r="H52" s="37"/>
      <c r="I52" s="14"/>
      <c r="K52" s="14"/>
      <c r="L52" s="39"/>
      <c r="M52" s="106"/>
      <c r="N52" s="150"/>
      <c r="O52" s="166"/>
      <c r="P52" s="39"/>
    </row>
    <row r="53" spans="1:16">
      <c r="A53" s="35"/>
      <c r="B53" s="35"/>
      <c r="C53" s="5"/>
      <c r="D53" s="5"/>
      <c r="E53" s="35"/>
      <c r="F53" s="35"/>
      <c r="G53" s="14"/>
      <c r="H53" s="36"/>
      <c r="I53" s="5"/>
      <c r="K53" s="14"/>
      <c r="L53" s="39"/>
      <c r="M53" s="105"/>
      <c r="N53" s="149"/>
      <c r="O53" s="166"/>
      <c r="P53" s="38"/>
    </row>
    <row r="54" spans="1:16">
      <c r="A54" s="25"/>
      <c r="B54" s="25"/>
      <c r="C54" s="14"/>
      <c r="D54" s="14"/>
      <c r="E54" s="25"/>
      <c r="F54" s="25"/>
      <c r="G54" s="14"/>
      <c r="H54" s="37"/>
      <c r="I54" s="14"/>
      <c r="K54" s="14"/>
      <c r="L54" s="39"/>
      <c r="M54" s="106"/>
      <c r="N54" s="150"/>
      <c r="O54" s="166"/>
      <c r="P54" s="39"/>
    </row>
    <row r="55" spans="1:16">
      <c r="A55" s="35"/>
      <c r="B55" s="35"/>
      <c r="C55" s="5"/>
      <c r="D55" s="5"/>
      <c r="E55" s="35"/>
      <c r="F55" s="35"/>
      <c r="G55" s="14"/>
      <c r="H55" s="36"/>
      <c r="I55" s="5"/>
      <c r="K55" s="14"/>
      <c r="L55" s="39"/>
      <c r="M55" s="105"/>
      <c r="N55" s="149"/>
      <c r="O55" s="166"/>
      <c r="P55" s="38"/>
    </row>
    <row r="56" spans="1:16">
      <c r="A56" s="25"/>
      <c r="B56" s="25"/>
      <c r="C56" s="14"/>
      <c r="D56" s="14"/>
      <c r="E56" s="25"/>
      <c r="F56" s="25"/>
      <c r="G56" s="14"/>
      <c r="H56" s="37"/>
      <c r="I56" s="14"/>
      <c r="K56" s="14"/>
      <c r="L56" s="39"/>
      <c r="M56" s="106"/>
      <c r="N56" s="150"/>
      <c r="O56" s="166"/>
      <c r="P56" s="39"/>
    </row>
    <row r="57" spans="1:16">
      <c r="A57" s="35"/>
      <c r="B57" s="35"/>
      <c r="C57" s="5"/>
      <c r="D57" s="5"/>
      <c r="E57" s="35"/>
      <c r="F57" s="35"/>
      <c r="G57" s="14"/>
      <c r="H57" s="36"/>
      <c r="I57" s="5"/>
      <c r="K57" s="14"/>
      <c r="L57" s="39"/>
      <c r="M57" s="105"/>
      <c r="N57" s="149"/>
      <c r="O57" s="166"/>
      <c r="P57" s="38"/>
    </row>
    <row r="58" spans="1:16">
      <c r="A58" s="25"/>
      <c r="B58" s="25"/>
      <c r="C58" s="14"/>
      <c r="D58" s="14"/>
      <c r="E58" s="25"/>
      <c r="F58" s="25"/>
      <c r="G58" s="14"/>
      <c r="H58" s="37"/>
      <c r="I58" s="14"/>
      <c r="K58" s="14"/>
      <c r="L58" s="39"/>
      <c r="M58" s="106"/>
      <c r="N58" s="150"/>
      <c r="O58" s="166"/>
      <c r="P58" s="39"/>
    </row>
    <row r="59" spans="1:16">
      <c r="A59" s="35"/>
      <c r="B59" s="35"/>
      <c r="C59" s="5"/>
      <c r="D59" s="5"/>
      <c r="E59" s="35"/>
      <c r="F59" s="35"/>
      <c r="G59" s="14"/>
      <c r="H59" s="36"/>
      <c r="I59" s="5"/>
      <c r="K59" s="14"/>
      <c r="L59" s="39"/>
      <c r="M59" s="105"/>
      <c r="N59" s="149"/>
      <c r="O59" s="166"/>
      <c r="P59" s="38"/>
    </row>
    <row r="60" spans="1:16">
      <c r="A60" s="25"/>
      <c r="B60" s="25"/>
      <c r="C60" s="14"/>
      <c r="D60" s="14"/>
      <c r="E60" s="25"/>
      <c r="F60" s="25"/>
      <c r="G60" s="14"/>
      <c r="H60" s="37"/>
      <c r="I60" s="14"/>
      <c r="K60" s="14"/>
      <c r="L60" s="39"/>
      <c r="M60" s="106"/>
      <c r="N60" s="150"/>
      <c r="O60" s="166"/>
      <c r="P60" s="39"/>
    </row>
    <row r="61" spans="1:16">
      <c r="A61" s="35"/>
      <c r="B61" s="35"/>
      <c r="C61" s="5"/>
      <c r="D61" s="5"/>
      <c r="E61" s="35"/>
      <c r="F61" s="35"/>
      <c r="G61" s="14"/>
      <c r="H61" s="36"/>
      <c r="I61" s="5"/>
      <c r="K61" s="14"/>
      <c r="L61" s="39"/>
      <c r="M61" s="105"/>
      <c r="N61" s="149"/>
      <c r="O61" s="166"/>
      <c r="P61" s="38"/>
    </row>
    <row r="62" spans="1:16">
      <c r="A62" s="25"/>
      <c r="B62" s="25"/>
      <c r="C62" s="14"/>
      <c r="D62" s="14"/>
      <c r="E62" s="25"/>
      <c r="F62" s="25"/>
      <c r="G62" s="14"/>
      <c r="H62" s="37"/>
      <c r="I62" s="14"/>
      <c r="K62" s="14"/>
      <c r="L62" s="39"/>
      <c r="M62" s="106"/>
      <c r="N62" s="150"/>
      <c r="O62" s="166"/>
      <c r="P62" s="39"/>
    </row>
    <row r="63" spans="1:16">
      <c r="A63" s="35"/>
      <c r="B63" s="35"/>
      <c r="C63" s="5"/>
      <c r="D63" s="5"/>
      <c r="E63" s="35"/>
      <c r="F63" s="35"/>
      <c r="G63" s="14"/>
      <c r="H63" s="36"/>
      <c r="I63" s="5"/>
      <c r="K63" s="14"/>
      <c r="L63" s="39"/>
      <c r="M63" s="105"/>
      <c r="N63" s="149"/>
      <c r="O63" s="166"/>
      <c r="P63" s="38"/>
    </row>
    <row r="64" spans="1:16">
      <c r="A64" s="25"/>
      <c r="B64" s="25"/>
      <c r="C64" s="14"/>
      <c r="D64" s="14"/>
      <c r="E64" s="25"/>
      <c r="F64" s="25"/>
      <c r="G64" s="14"/>
      <c r="H64" s="37"/>
      <c r="I64" s="14"/>
      <c r="K64" s="14"/>
      <c r="L64" s="39"/>
      <c r="M64" s="106"/>
      <c r="N64" s="150"/>
      <c r="O64" s="166"/>
      <c r="P64" s="39"/>
    </row>
    <row r="65" spans="1:16">
      <c r="A65" s="35"/>
      <c r="B65" s="35"/>
      <c r="C65" s="5"/>
      <c r="D65" s="5"/>
      <c r="E65" s="35"/>
      <c r="F65" s="35"/>
      <c r="G65" s="14"/>
      <c r="H65" s="36"/>
      <c r="I65" s="5"/>
      <c r="K65" s="14"/>
      <c r="L65" s="39"/>
      <c r="M65" s="105"/>
      <c r="N65" s="149"/>
      <c r="O65" s="166"/>
      <c r="P65" s="38"/>
    </row>
    <row r="66" spans="1:16">
      <c r="A66" s="25"/>
      <c r="B66" s="25"/>
      <c r="C66" s="14"/>
      <c r="D66" s="14"/>
      <c r="E66" s="25"/>
      <c r="F66" s="25"/>
      <c r="G66" s="14"/>
      <c r="H66" s="37"/>
      <c r="I66" s="14"/>
      <c r="K66" s="14"/>
      <c r="L66" s="39"/>
      <c r="M66" s="106"/>
      <c r="N66" s="150"/>
      <c r="O66" s="166"/>
      <c r="P66" s="39"/>
    </row>
    <row r="67" spans="1:16">
      <c r="A67" s="35"/>
      <c r="B67" s="35"/>
      <c r="C67" s="5"/>
      <c r="D67" s="5"/>
      <c r="E67" s="35"/>
      <c r="F67" s="35"/>
      <c r="G67" s="14"/>
      <c r="H67" s="36"/>
      <c r="I67" s="5"/>
      <c r="K67" s="14"/>
      <c r="L67" s="39"/>
      <c r="M67" s="105"/>
      <c r="N67" s="149"/>
      <c r="O67" s="166"/>
      <c r="P67" s="38"/>
    </row>
    <row r="68" spans="1:16">
      <c r="A68" s="25"/>
      <c r="B68" s="25"/>
      <c r="C68" s="14"/>
      <c r="D68" s="14"/>
      <c r="E68" s="25"/>
      <c r="F68" s="25"/>
      <c r="G68" s="14"/>
      <c r="H68" s="37"/>
      <c r="I68" s="14"/>
      <c r="K68" s="14"/>
      <c r="L68" s="39"/>
      <c r="M68" s="106"/>
      <c r="N68" s="150"/>
      <c r="O68" s="166"/>
      <c r="P68" s="39"/>
    </row>
    <row r="69" spans="1:16">
      <c r="A69" s="35"/>
      <c r="B69" s="35"/>
      <c r="C69" s="5"/>
      <c r="D69" s="5"/>
      <c r="E69" s="35"/>
      <c r="F69" s="35"/>
      <c r="G69" s="14"/>
      <c r="H69" s="36"/>
      <c r="I69" s="5"/>
      <c r="K69" s="14"/>
      <c r="L69" s="39"/>
      <c r="M69" s="105"/>
      <c r="N69" s="149"/>
      <c r="O69" s="166"/>
      <c r="P69" s="38"/>
    </row>
    <row r="70" spans="1:16">
      <c r="A70" s="25"/>
      <c r="B70" s="25"/>
      <c r="C70" s="14"/>
      <c r="D70" s="14"/>
      <c r="E70" s="25"/>
      <c r="F70" s="25"/>
      <c r="G70" s="14"/>
      <c r="H70" s="37"/>
      <c r="I70" s="14"/>
      <c r="K70" s="14"/>
      <c r="L70" s="39"/>
      <c r="M70" s="106"/>
      <c r="N70" s="150"/>
      <c r="O70" s="166"/>
      <c r="P70" s="39"/>
    </row>
    <row r="71" spans="1:16">
      <c r="A71" s="35"/>
      <c r="B71" s="35"/>
      <c r="C71" s="5"/>
      <c r="D71" s="5"/>
      <c r="E71" s="35"/>
      <c r="F71" s="35"/>
      <c r="G71" s="14"/>
      <c r="H71" s="36"/>
      <c r="I71" s="5"/>
      <c r="K71" s="14"/>
      <c r="L71" s="39"/>
      <c r="M71" s="105"/>
      <c r="N71" s="149"/>
      <c r="O71" s="166"/>
      <c r="P71" s="38"/>
    </row>
    <row r="72" spans="1:16">
      <c r="A72" s="25"/>
      <c r="B72" s="25"/>
      <c r="C72" s="14"/>
      <c r="D72" s="14"/>
      <c r="E72" s="25"/>
      <c r="F72" s="25"/>
      <c r="G72" s="14"/>
      <c r="H72" s="37"/>
      <c r="I72" s="14"/>
      <c r="K72" s="14"/>
      <c r="L72" s="39"/>
      <c r="M72" s="106"/>
      <c r="N72" s="150"/>
      <c r="O72" s="166"/>
      <c r="P72" s="39"/>
    </row>
    <row r="73" spans="1:16">
      <c r="A73" s="40"/>
      <c r="B73" s="40"/>
      <c r="C73" s="5"/>
      <c r="D73" s="5"/>
      <c r="E73" s="35"/>
      <c r="F73" s="35"/>
      <c r="G73" s="14"/>
      <c r="H73" s="36"/>
      <c r="I73" s="5"/>
      <c r="K73" s="14"/>
      <c r="L73" s="39"/>
      <c r="M73" s="105"/>
      <c r="N73" s="149"/>
      <c r="O73" s="166"/>
      <c r="P73" s="38"/>
    </row>
    <row r="74" spans="1:16">
      <c r="A74" s="41"/>
      <c r="B74" s="41"/>
      <c r="C74" s="14"/>
      <c r="D74" s="14"/>
      <c r="E74" s="25"/>
      <c r="F74" s="25"/>
      <c r="G74" s="14"/>
      <c r="H74" s="37"/>
      <c r="I74" s="14"/>
      <c r="K74" s="14"/>
      <c r="L74" s="39"/>
      <c r="M74" s="106"/>
      <c r="N74" s="150"/>
      <c r="O74" s="166"/>
      <c r="P74" s="39"/>
    </row>
    <row r="75" spans="1:16">
      <c r="A75" s="40"/>
      <c r="B75" s="40"/>
      <c r="C75" s="5"/>
      <c r="D75" s="5"/>
      <c r="E75" s="35"/>
      <c r="F75" s="35"/>
      <c r="G75" s="14"/>
      <c r="H75" s="36"/>
      <c r="I75" s="5"/>
      <c r="J75" s="25"/>
      <c r="K75" s="14"/>
      <c r="L75" s="39"/>
      <c r="M75" s="105"/>
      <c r="N75" s="149"/>
      <c r="O75" s="166"/>
      <c r="P75" s="38"/>
    </row>
    <row r="76" spans="1:16">
      <c r="A76" s="41"/>
      <c r="B76" s="41"/>
      <c r="C76" s="14"/>
      <c r="D76" s="14"/>
      <c r="E76" s="25"/>
      <c r="F76" s="25"/>
      <c r="G76" s="14"/>
      <c r="H76" s="37"/>
      <c r="I76" s="14"/>
      <c r="J76" s="25"/>
      <c r="K76" s="14"/>
      <c r="L76" s="39"/>
      <c r="M76" s="106"/>
      <c r="N76" s="150"/>
      <c r="O76" s="166"/>
      <c r="P76" s="39"/>
    </row>
    <row r="77" spans="1:16">
      <c r="A77" s="40"/>
      <c r="B77" s="40"/>
      <c r="C77" s="5"/>
      <c r="D77" s="5"/>
      <c r="E77" s="35"/>
      <c r="F77" s="35"/>
      <c r="G77" s="14"/>
      <c r="H77" s="36"/>
      <c r="I77" s="5"/>
      <c r="J77" s="35"/>
      <c r="K77" s="14"/>
      <c r="L77" s="39"/>
      <c r="M77" s="105"/>
      <c r="N77" s="149"/>
      <c r="O77" s="166"/>
      <c r="P77" s="38"/>
    </row>
    <row r="78" spans="1:16">
      <c r="A78" s="41"/>
      <c r="B78" s="41"/>
      <c r="C78" s="14"/>
      <c r="D78" s="14"/>
      <c r="E78" s="25"/>
      <c r="F78" s="25"/>
      <c r="G78" s="14"/>
      <c r="H78" s="37"/>
      <c r="I78" s="14"/>
      <c r="J78" s="25"/>
      <c r="K78" s="14"/>
      <c r="L78" s="39"/>
      <c r="M78" s="106"/>
      <c r="N78" s="150"/>
      <c r="O78" s="166"/>
      <c r="P78" s="39"/>
    </row>
    <row r="79" spans="1:16">
      <c r="A79" s="40"/>
      <c r="B79" s="40"/>
      <c r="C79" s="5"/>
      <c r="D79" s="5"/>
      <c r="E79" s="35"/>
      <c r="F79" s="35"/>
      <c r="G79" s="14"/>
      <c r="H79" s="36"/>
      <c r="I79" s="5"/>
      <c r="J79" s="35"/>
      <c r="K79" s="14"/>
      <c r="L79" s="39"/>
      <c r="M79" s="105"/>
      <c r="N79" s="149"/>
      <c r="O79" s="166"/>
      <c r="P79" s="38"/>
    </row>
    <row r="80" spans="1:16">
      <c r="A80" s="41"/>
      <c r="B80" s="41"/>
      <c r="C80" s="14"/>
      <c r="D80" s="14"/>
      <c r="E80" s="25"/>
      <c r="F80" s="25"/>
      <c r="G80" s="14"/>
      <c r="H80" s="37"/>
      <c r="I80" s="14"/>
      <c r="J80" s="25"/>
      <c r="K80" s="14"/>
      <c r="L80" s="39"/>
      <c r="M80" s="106"/>
      <c r="N80" s="150"/>
      <c r="O80" s="166"/>
      <c r="P80" s="39"/>
    </row>
    <row r="81" spans="1:16">
      <c r="A81" s="40"/>
      <c r="B81" s="40"/>
      <c r="C81" s="5"/>
      <c r="D81" s="5"/>
      <c r="E81" s="35"/>
      <c r="F81" s="35"/>
      <c r="G81" s="14"/>
      <c r="H81" s="36"/>
      <c r="I81" s="5"/>
      <c r="J81" s="35"/>
      <c r="K81" s="14"/>
      <c r="L81" s="39"/>
      <c r="M81" s="105"/>
      <c r="N81" s="149"/>
      <c r="O81" s="166"/>
      <c r="P81" s="38"/>
    </row>
    <row r="82" spans="1:16">
      <c r="A82" s="41"/>
      <c r="B82" s="41"/>
      <c r="C82" s="14"/>
      <c r="D82" s="14"/>
      <c r="E82" s="25"/>
      <c r="F82" s="25"/>
      <c r="G82" s="14"/>
      <c r="H82" s="37"/>
      <c r="I82" s="14"/>
      <c r="J82" s="25"/>
      <c r="K82" s="14"/>
      <c r="L82" s="39"/>
      <c r="M82" s="106"/>
      <c r="N82" s="150"/>
      <c r="O82" s="166"/>
      <c r="P82" s="39"/>
    </row>
    <row r="83" spans="1:16">
      <c r="A83" s="40"/>
      <c r="B83" s="40"/>
      <c r="C83" s="5"/>
      <c r="D83" s="5"/>
      <c r="E83" s="35"/>
      <c r="F83" s="35"/>
      <c r="G83" s="14"/>
      <c r="H83" s="36"/>
      <c r="I83" s="5"/>
      <c r="J83" s="25"/>
      <c r="K83" s="14"/>
      <c r="L83" s="39"/>
      <c r="M83" s="105"/>
      <c r="N83" s="149"/>
      <c r="O83" s="166"/>
      <c r="P83" s="38"/>
    </row>
    <row r="84" spans="1:16">
      <c r="A84" s="41"/>
      <c r="B84" s="41"/>
      <c r="C84" s="14"/>
      <c r="D84" s="14"/>
      <c r="E84" s="25"/>
      <c r="F84" s="25"/>
      <c r="G84" s="14"/>
      <c r="H84" s="37"/>
      <c r="I84" s="14"/>
      <c r="J84" s="35"/>
      <c r="K84" s="14"/>
      <c r="L84" s="39"/>
      <c r="M84" s="106"/>
      <c r="N84" s="150"/>
      <c r="O84" s="166"/>
      <c r="P84" s="39"/>
    </row>
    <row r="85" spans="1:16">
      <c r="A85" s="40"/>
      <c r="B85" s="40"/>
      <c r="C85" s="5"/>
      <c r="D85" s="5"/>
      <c r="E85" s="35"/>
      <c r="F85" s="35"/>
      <c r="G85" s="14"/>
      <c r="H85" s="36"/>
      <c r="I85" s="5"/>
      <c r="J85" s="25"/>
      <c r="K85" s="14"/>
      <c r="L85" s="39"/>
      <c r="M85" s="105"/>
      <c r="N85" s="149"/>
      <c r="O85" s="166"/>
      <c r="P85" s="38"/>
    </row>
    <row r="86" spans="1:16">
      <c r="A86" s="41"/>
      <c r="B86" s="41"/>
      <c r="C86" s="14"/>
      <c r="D86" s="14"/>
      <c r="E86" s="25"/>
      <c r="F86" s="25"/>
      <c r="G86" s="14"/>
      <c r="H86" s="37"/>
      <c r="I86" s="14"/>
      <c r="J86" s="35"/>
      <c r="K86" s="14"/>
      <c r="L86" s="39"/>
      <c r="M86" s="106"/>
      <c r="N86" s="150"/>
      <c r="O86" s="166"/>
      <c r="P86" s="39"/>
    </row>
    <row r="87" spans="1:16">
      <c r="A87" s="40"/>
      <c r="B87" s="40"/>
      <c r="C87" s="5"/>
      <c r="D87" s="5"/>
      <c r="E87" s="35"/>
      <c r="F87" s="35"/>
      <c r="G87" s="14"/>
      <c r="H87" s="36"/>
      <c r="I87" s="5"/>
      <c r="J87" s="25"/>
      <c r="K87" s="14"/>
      <c r="L87" s="39"/>
      <c r="M87" s="105"/>
      <c r="N87" s="149"/>
      <c r="O87" s="166"/>
      <c r="P87" s="38"/>
    </row>
    <row r="88" spans="1:16">
      <c r="A88" s="41"/>
      <c r="B88" s="41"/>
      <c r="C88" s="14"/>
      <c r="D88" s="14"/>
      <c r="E88" s="25"/>
      <c r="F88" s="25"/>
      <c r="G88" s="14"/>
      <c r="H88" s="37"/>
      <c r="I88" s="14"/>
      <c r="J88" s="35"/>
      <c r="K88" s="14"/>
      <c r="L88" s="39"/>
      <c r="M88" s="106"/>
      <c r="N88" s="150"/>
      <c r="O88" s="166"/>
      <c r="P88" s="39"/>
    </row>
    <row r="89" spans="1:16">
      <c r="A89" s="40"/>
      <c r="B89" s="40"/>
      <c r="C89" s="5"/>
      <c r="D89" s="5"/>
      <c r="E89" s="35"/>
      <c r="F89" s="35"/>
      <c r="G89" s="14"/>
      <c r="H89" s="36"/>
      <c r="I89" s="5"/>
      <c r="J89" s="25"/>
      <c r="K89" s="14"/>
      <c r="L89" s="39"/>
      <c r="M89" s="105"/>
      <c r="N89" s="149"/>
      <c r="O89" s="166"/>
      <c r="P89" s="38"/>
    </row>
    <row r="90" spans="1:16">
      <c r="A90" s="41"/>
      <c r="B90" s="41"/>
      <c r="C90" s="14"/>
      <c r="D90" s="14"/>
      <c r="E90" s="25"/>
      <c r="F90" s="25"/>
      <c r="G90" s="14"/>
      <c r="H90" s="37"/>
      <c r="I90" s="14"/>
      <c r="J90" s="25"/>
      <c r="K90" s="14"/>
      <c r="L90" s="39"/>
      <c r="M90" s="106"/>
      <c r="N90" s="150"/>
      <c r="O90" s="166"/>
      <c r="P90" s="39"/>
    </row>
    <row r="91" spans="1:16">
      <c r="A91" s="40"/>
      <c r="B91" s="40"/>
      <c r="C91" s="5"/>
      <c r="D91" s="5"/>
      <c r="E91" s="35"/>
      <c r="F91" s="35"/>
      <c r="G91" s="14"/>
      <c r="H91" s="36"/>
      <c r="I91" s="5"/>
      <c r="J91" s="35"/>
      <c r="K91" s="14"/>
      <c r="L91" s="39"/>
      <c r="M91" s="105"/>
      <c r="N91" s="149"/>
      <c r="O91" s="166"/>
      <c r="P91" s="38"/>
    </row>
    <row r="92" spans="1:16">
      <c r="A92" s="41"/>
      <c r="B92" s="41"/>
      <c r="C92" s="14"/>
      <c r="D92" s="14"/>
      <c r="E92" s="25"/>
      <c r="F92" s="25"/>
      <c r="G92" s="14"/>
      <c r="H92" s="37"/>
      <c r="I92" s="14"/>
      <c r="J92" s="25"/>
      <c r="K92" s="14"/>
      <c r="L92" s="39"/>
      <c r="M92" s="106"/>
      <c r="N92" s="150"/>
      <c r="O92" s="166"/>
      <c r="P92" s="39"/>
    </row>
    <row r="93" spans="1:16">
      <c r="A93" s="40"/>
      <c r="B93" s="40"/>
      <c r="C93" s="5"/>
      <c r="D93" s="5"/>
      <c r="E93" s="35"/>
      <c r="F93" s="35"/>
      <c r="G93" s="14"/>
      <c r="H93" s="36"/>
      <c r="I93" s="5"/>
      <c r="J93" s="35"/>
      <c r="K93" s="14"/>
      <c r="L93" s="39"/>
      <c r="M93" s="105"/>
      <c r="N93" s="149"/>
      <c r="O93" s="166"/>
      <c r="P93" s="38"/>
    </row>
    <row r="94" spans="1:16">
      <c r="A94" s="41"/>
      <c r="B94" s="41"/>
      <c r="C94" s="14"/>
      <c r="D94" s="14"/>
      <c r="E94" s="25"/>
      <c r="F94" s="25"/>
      <c r="G94" s="14"/>
      <c r="H94" s="37"/>
      <c r="I94" s="14"/>
      <c r="J94" s="25"/>
      <c r="K94" s="14"/>
      <c r="L94" s="39"/>
      <c r="M94" s="106"/>
      <c r="N94" s="150"/>
      <c r="O94" s="166"/>
      <c r="P94" s="39"/>
    </row>
    <row r="95" spans="1:16">
      <c r="A95" s="40"/>
      <c r="B95" s="40"/>
      <c r="C95" s="5"/>
      <c r="D95" s="5"/>
      <c r="E95" s="35"/>
      <c r="F95" s="35"/>
      <c r="G95" s="14"/>
      <c r="H95" s="36"/>
      <c r="I95" s="5"/>
      <c r="J95" s="35"/>
      <c r="K95" s="14"/>
      <c r="L95" s="39"/>
      <c r="M95" s="105"/>
      <c r="N95" s="149"/>
      <c r="O95" s="166"/>
      <c r="P95" s="38"/>
    </row>
    <row r="96" spans="1:16">
      <c r="A96" s="41"/>
      <c r="B96" s="41"/>
      <c r="C96" s="14"/>
      <c r="D96" s="14"/>
      <c r="E96" s="25"/>
      <c r="F96" s="25"/>
      <c r="G96" s="14"/>
      <c r="H96" s="37"/>
      <c r="I96" s="14"/>
      <c r="J96" s="25"/>
      <c r="K96" s="14"/>
      <c r="L96" s="39"/>
      <c r="M96" s="106"/>
      <c r="N96" s="150"/>
      <c r="O96" s="166"/>
      <c r="P96" s="39"/>
    </row>
    <row r="97" spans="1:16">
      <c r="A97" s="40"/>
      <c r="B97" s="40"/>
      <c r="C97" s="5"/>
      <c r="D97" s="5"/>
      <c r="E97" s="35"/>
      <c r="F97" s="35"/>
      <c r="G97" s="14"/>
      <c r="H97" s="36"/>
      <c r="I97" s="5"/>
      <c r="J97" s="25"/>
      <c r="K97" s="14"/>
      <c r="L97" s="39"/>
      <c r="M97" s="105"/>
      <c r="N97" s="149"/>
      <c r="O97" s="166"/>
      <c r="P97" s="38"/>
    </row>
    <row r="98" spans="1:16">
      <c r="A98" s="41"/>
      <c r="B98" s="41"/>
      <c r="C98" s="14"/>
      <c r="D98" s="14"/>
      <c r="E98" s="25"/>
      <c r="F98" s="25"/>
      <c r="G98" s="14"/>
      <c r="H98" s="37"/>
      <c r="I98" s="14"/>
      <c r="J98" s="35"/>
      <c r="K98" s="14"/>
      <c r="L98" s="39"/>
      <c r="M98" s="106"/>
      <c r="N98" s="150"/>
      <c r="O98" s="166"/>
      <c r="P98" s="39"/>
    </row>
    <row r="99" spans="1:16">
      <c r="A99" s="40"/>
      <c r="B99" s="40"/>
      <c r="C99" s="5"/>
      <c r="D99" s="5"/>
      <c r="E99" s="35"/>
      <c r="F99" s="35"/>
      <c r="G99" s="14"/>
      <c r="H99" s="36"/>
      <c r="I99" s="5"/>
      <c r="J99" s="25"/>
      <c r="K99" s="14"/>
      <c r="L99" s="39"/>
      <c r="M99" s="105"/>
      <c r="N99" s="149"/>
      <c r="O99" s="166"/>
      <c r="P99" s="38"/>
    </row>
    <row r="100" spans="1:16">
      <c r="A100" s="41"/>
      <c r="B100" s="41"/>
      <c r="C100" s="14"/>
      <c r="D100" s="14"/>
      <c r="E100" s="25"/>
      <c r="F100" s="25"/>
      <c r="G100" s="14"/>
      <c r="H100" s="37"/>
      <c r="I100" s="14"/>
      <c r="J100" s="35"/>
      <c r="K100" s="14"/>
      <c r="L100" s="39"/>
      <c r="M100" s="106"/>
      <c r="N100" s="150"/>
      <c r="O100" s="166"/>
      <c r="P100" s="39"/>
    </row>
    <row r="101" spans="1:16" s="181" customFormat="1">
      <c r="A101" s="170"/>
      <c r="B101" s="170"/>
      <c r="C101" s="171"/>
      <c r="D101" s="171"/>
      <c r="E101" s="172"/>
      <c r="F101" s="172"/>
      <c r="G101" s="173"/>
      <c r="H101" s="174"/>
      <c r="I101" s="171"/>
      <c r="J101" s="175"/>
      <c r="K101" s="173"/>
      <c r="L101" s="176"/>
      <c r="M101" s="177"/>
      <c r="N101" s="178"/>
      <c r="O101" s="179"/>
      <c r="P101" s="180"/>
    </row>
    <row r="102" spans="1:16">
      <c r="A102" s="41"/>
      <c r="B102" s="41"/>
      <c r="C102" s="14"/>
      <c r="D102" s="14"/>
      <c r="E102" s="25"/>
      <c r="F102" s="25"/>
      <c r="G102" s="14"/>
      <c r="H102" s="37"/>
      <c r="I102" s="14"/>
      <c r="J102" s="35"/>
      <c r="K102" s="14"/>
      <c r="L102" s="39"/>
      <c r="M102" s="106"/>
      <c r="N102" s="150"/>
      <c r="O102" s="166"/>
      <c r="P102" s="39"/>
    </row>
    <row r="103" spans="1:16">
      <c r="A103" s="40"/>
      <c r="B103" s="40"/>
      <c r="C103" s="5"/>
      <c r="D103" s="5"/>
      <c r="E103" s="35"/>
      <c r="F103" s="35"/>
      <c r="G103" s="14"/>
      <c r="H103" s="36"/>
      <c r="I103" s="5"/>
      <c r="J103" s="25"/>
      <c r="K103" s="14"/>
      <c r="L103" s="39"/>
      <c r="M103" s="105"/>
      <c r="N103" s="149"/>
      <c r="O103" s="166"/>
      <c r="P103" s="38"/>
    </row>
    <row r="104" spans="1:16">
      <c r="A104" s="41"/>
      <c r="B104" s="41"/>
      <c r="C104" s="14"/>
      <c r="D104" s="14"/>
      <c r="E104" s="25"/>
      <c r="F104" s="25"/>
      <c r="G104" s="14"/>
      <c r="H104" s="37"/>
      <c r="I104" s="14"/>
      <c r="J104" s="25"/>
      <c r="K104" s="14"/>
      <c r="L104" s="39"/>
      <c r="M104" s="106"/>
      <c r="N104" s="150"/>
      <c r="O104" s="166"/>
      <c r="P104" s="39"/>
    </row>
    <row r="105" spans="1:16">
      <c r="A105" s="40"/>
      <c r="B105" s="40"/>
      <c r="C105" s="5"/>
      <c r="D105" s="5"/>
      <c r="E105" s="35"/>
      <c r="F105" s="35"/>
      <c r="G105" s="14"/>
      <c r="H105" s="36"/>
      <c r="I105" s="5"/>
      <c r="J105" s="35"/>
      <c r="K105" s="14"/>
      <c r="L105" s="39"/>
      <c r="M105" s="105"/>
      <c r="N105" s="149"/>
      <c r="O105" s="166"/>
      <c r="P105" s="38"/>
    </row>
    <row r="106" spans="1:16">
      <c r="A106" s="41"/>
      <c r="B106" s="41"/>
      <c r="C106" s="14"/>
      <c r="D106" s="14"/>
      <c r="E106" s="25"/>
      <c r="F106" s="25"/>
      <c r="G106" s="14"/>
      <c r="H106" s="37"/>
      <c r="I106" s="14"/>
      <c r="J106" s="25"/>
      <c r="K106" s="14"/>
      <c r="L106" s="39"/>
      <c r="M106" s="106"/>
      <c r="N106" s="150"/>
      <c r="O106" s="166"/>
      <c r="P106" s="39"/>
    </row>
    <row r="107" spans="1:16">
      <c r="A107" s="40"/>
      <c r="B107" s="40"/>
      <c r="C107" s="5"/>
      <c r="D107" s="5"/>
      <c r="E107" s="35"/>
      <c r="F107" s="35"/>
      <c r="G107" s="14"/>
      <c r="H107" s="36"/>
      <c r="I107" s="5"/>
      <c r="J107" s="35"/>
      <c r="K107" s="14"/>
      <c r="L107" s="39"/>
      <c r="M107" s="105"/>
      <c r="N107" s="149"/>
      <c r="O107" s="166"/>
      <c r="P107" s="38"/>
    </row>
    <row r="108" spans="1:16">
      <c r="A108" s="41"/>
      <c r="B108" s="41"/>
      <c r="C108" s="14"/>
      <c r="D108" s="14"/>
      <c r="E108" s="25"/>
      <c r="F108" s="25"/>
      <c r="G108" s="14"/>
      <c r="H108" s="37"/>
      <c r="I108" s="14"/>
      <c r="J108" s="25"/>
      <c r="K108" s="14"/>
      <c r="L108" s="39"/>
      <c r="M108" s="106"/>
      <c r="N108" s="150"/>
      <c r="O108" s="166"/>
      <c r="P108" s="39"/>
    </row>
    <row r="109" spans="1:16">
      <c r="A109" s="40"/>
      <c r="B109" s="40"/>
      <c r="C109" s="5"/>
      <c r="D109" s="5"/>
      <c r="E109" s="35"/>
      <c r="F109" s="35"/>
      <c r="G109" s="14"/>
      <c r="H109" s="36"/>
      <c r="I109" s="5"/>
      <c r="J109" s="35"/>
      <c r="K109" s="14"/>
      <c r="L109" s="39"/>
      <c r="M109" s="105"/>
      <c r="N109" s="149"/>
      <c r="O109" s="166"/>
      <c r="P109" s="38"/>
    </row>
    <row r="110" spans="1:16">
      <c r="A110" s="41"/>
      <c r="B110" s="41"/>
      <c r="C110" s="14"/>
      <c r="D110" s="14"/>
      <c r="E110" s="25"/>
      <c r="F110" s="25"/>
      <c r="G110" s="14"/>
      <c r="H110" s="37"/>
      <c r="I110" s="14"/>
      <c r="J110" s="25"/>
      <c r="K110" s="14"/>
      <c r="L110" s="39"/>
      <c r="M110" s="106"/>
      <c r="N110" s="150"/>
      <c r="O110" s="166"/>
      <c r="P110" s="39"/>
    </row>
    <row r="111" spans="1:16">
      <c r="A111" s="40"/>
      <c r="B111" s="40"/>
      <c r="C111" s="5"/>
      <c r="D111" s="5"/>
      <c r="E111" s="35"/>
      <c r="F111" s="35"/>
      <c r="G111" s="14"/>
      <c r="H111" s="36"/>
      <c r="I111" s="5"/>
      <c r="J111" s="25"/>
      <c r="K111" s="14"/>
      <c r="L111" s="39"/>
      <c r="M111" s="105"/>
      <c r="N111" s="149"/>
      <c r="O111" s="166"/>
      <c r="P111" s="38"/>
    </row>
    <row r="112" spans="1:16">
      <c r="A112" s="41"/>
      <c r="B112" s="41"/>
      <c r="C112" s="14"/>
      <c r="D112" s="14"/>
      <c r="E112" s="25"/>
      <c r="F112" s="25"/>
      <c r="G112" s="14"/>
      <c r="H112" s="37"/>
      <c r="I112" s="14"/>
      <c r="J112" s="35"/>
      <c r="K112" s="14"/>
      <c r="L112" s="39"/>
      <c r="M112" s="106"/>
      <c r="N112" s="150"/>
      <c r="O112" s="166"/>
      <c r="P112" s="39"/>
    </row>
    <row r="113" spans="1:16">
      <c r="A113" s="41"/>
      <c r="B113" s="41"/>
      <c r="C113" s="14"/>
      <c r="D113" s="14"/>
      <c r="E113" s="25"/>
      <c r="F113" s="25"/>
      <c r="G113" s="10"/>
      <c r="H113" s="37"/>
      <c r="I113" s="14"/>
      <c r="J113" s="25"/>
      <c r="K113" s="14"/>
      <c r="L113" s="39"/>
      <c r="M113" s="105"/>
      <c r="N113" s="149"/>
      <c r="O113" s="166"/>
      <c r="P113" s="38"/>
    </row>
    <row r="114" spans="1:16" ht="13.8" thickBot="1">
      <c r="A114" s="42"/>
      <c r="B114" s="42"/>
      <c r="C114" s="44"/>
      <c r="D114" s="44"/>
      <c r="E114" s="43"/>
      <c r="F114" s="43"/>
      <c r="G114" s="44"/>
      <c r="H114" s="45"/>
      <c r="I114" s="44"/>
      <c r="J114" s="44"/>
      <c r="K114" s="14"/>
      <c r="L114" s="39"/>
      <c r="M114" s="105"/>
      <c r="N114" s="149"/>
      <c r="O114" s="166"/>
      <c r="P114" s="38"/>
    </row>
    <row r="115" spans="1:16" ht="14.4" thickTop="1" thickBot="1">
      <c r="K115" s="44"/>
      <c r="L115" s="39"/>
      <c r="M115" s="46"/>
      <c r="N115" s="151"/>
      <c r="O115" s="166"/>
      <c r="P115" s="46"/>
    </row>
    <row r="116" spans="1:16" ht="13.8" thickTop="1">
      <c r="O116" s="167"/>
    </row>
  </sheetData>
  <sortState xmlns:xlrd2="http://schemas.microsoft.com/office/spreadsheetml/2017/richdata2" ref="A2:P150">
    <sortCondition ref="A2:A150"/>
  </sortState>
  <dataValidations count="2">
    <dataValidation allowBlank="1" sqref="JF65497:JH65646 TB65497:TD65646 ACX65497:ACZ65646 AMT65497:AMV65646 AWP65497:AWR65646 BGL65497:BGN65646 BQH65497:BQJ65646 CAD65497:CAF65646 CJZ65497:CKB65646 CTV65497:CTX65646 DDR65497:DDT65646 DNN65497:DNP65646 DXJ65497:DXL65646 EHF65497:EHH65646 ERB65497:ERD65646 FAX65497:FAZ65646 FKT65497:FKV65646 FUP65497:FUR65646 GEL65497:GEN65646 GOH65497:GOJ65646 GYD65497:GYF65646 HHZ65497:HIB65646 HRV65497:HRX65646 IBR65497:IBT65646 ILN65497:ILP65646 IVJ65497:IVL65646 JFF65497:JFH65646 JPB65497:JPD65646 JYX65497:JYZ65646 KIT65497:KIV65646 KSP65497:KSR65646 LCL65497:LCN65646 LMH65497:LMJ65646 LWD65497:LWF65646 MFZ65497:MGB65646 MPV65497:MPX65646 MZR65497:MZT65646 NJN65497:NJP65646 NTJ65497:NTL65646 ODF65497:ODH65646 ONB65497:OND65646 OWX65497:OWZ65646 PGT65497:PGV65646 PQP65497:PQR65646 QAL65497:QAN65646 QKH65497:QKJ65646 QUD65497:QUF65646 RDZ65497:REB65646 RNV65497:RNX65646 RXR65497:RXT65646 SHN65497:SHP65646 SRJ65497:SRL65646 TBF65497:TBH65646 TLB65497:TLD65646 TUX65497:TUZ65646 UET65497:UEV65646 UOP65497:UOR65646 UYL65497:UYN65646 VIH65497:VIJ65646 VSD65497:VSF65646 WBZ65497:WCB65646 WLV65497:WLX65646 WVR65497:WVT65646 JF131033:JH131182 TB131033:TD131182 ACX131033:ACZ131182 AMT131033:AMV131182 AWP131033:AWR131182 BGL131033:BGN131182 BQH131033:BQJ131182 CAD131033:CAF131182 CJZ131033:CKB131182 CTV131033:CTX131182 DDR131033:DDT131182 DNN131033:DNP131182 DXJ131033:DXL131182 EHF131033:EHH131182 ERB131033:ERD131182 FAX131033:FAZ131182 FKT131033:FKV131182 FUP131033:FUR131182 GEL131033:GEN131182 GOH131033:GOJ131182 GYD131033:GYF131182 HHZ131033:HIB131182 HRV131033:HRX131182 IBR131033:IBT131182 ILN131033:ILP131182 IVJ131033:IVL131182 JFF131033:JFH131182 JPB131033:JPD131182 JYX131033:JYZ131182 KIT131033:KIV131182 KSP131033:KSR131182 LCL131033:LCN131182 LMH131033:LMJ131182 LWD131033:LWF131182 MFZ131033:MGB131182 MPV131033:MPX131182 MZR131033:MZT131182 NJN131033:NJP131182 NTJ131033:NTL131182 ODF131033:ODH131182 ONB131033:OND131182 OWX131033:OWZ131182 PGT131033:PGV131182 PQP131033:PQR131182 QAL131033:QAN131182 QKH131033:QKJ131182 QUD131033:QUF131182 RDZ131033:REB131182 RNV131033:RNX131182 RXR131033:RXT131182 SHN131033:SHP131182 SRJ131033:SRL131182 TBF131033:TBH131182 TLB131033:TLD131182 TUX131033:TUZ131182 UET131033:UEV131182 UOP131033:UOR131182 UYL131033:UYN131182 VIH131033:VIJ131182 VSD131033:VSF131182 WBZ131033:WCB131182 WLV131033:WLX131182 WVR131033:WVT131182 JF196569:JH196718 TB196569:TD196718 ACX196569:ACZ196718 AMT196569:AMV196718 AWP196569:AWR196718 BGL196569:BGN196718 BQH196569:BQJ196718 CAD196569:CAF196718 CJZ196569:CKB196718 CTV196569:CTX196718 DDR196569:DDT196718 DNN196569:DNP196718 DXJ196569:DXL196718 EHF196569:EHH196718 ERB196569:ERD196718 FAX196569:FAZ196718 FKT196569:FKV196718 FUP196569:FUR196718 GEL196569:GEN196718 GOH196569:GOJ196718 GYD196569:GYF196718 HHZ196569:HIB196718 HRV196569:HRX196718 IBR196569:IBT196718 ILN196569:ILP196718 IVJ196569:IVL196718 JFF196569:JFH196718 JPB196569:JPD196718 JYX196569:JYZ196718 KIT196569:KIV196718 KSP196569:KSR196718 LCL196569:LCN196718 LMH196569:LMJ196718 LWD196569:LWF196718 MFZ196569:MGB196718 MPV196569:MPX196718 MZR196569:MZT196718 NJN196569:NJP196718 NTJ196569:NTL196718 ODF196569:ODH196718 ONB196569:OND196718 OWX196569:OWZ196718 PGT196569:PGV196718 PQP196569:PQR196718 QAL196569:QAN196718 QKH196569:QKJ196718 QUD196569:QUF196718 RDZ196569:REB196718 RNV196569:RNX196718 RXR196569:RXT196718 SHN196569:SHP196718 SRJ196569:SRL196718 TBF196569:TBH196718 TLB196569:TLD196718 TUX196569:TUZ196718 UET196569:UEV196718 UOP196569:UOR196718 UYL196569:UYN196718 VIH196569:VIJ196718 VSD196569:VSF196718 WBZ196569:WCB196718 WLV196569:WLX196718 WVR196569:WVT196718 JF262105:JH262254 TB262105:TD262254 ACX262105:ACZ262254 AMT262105:AMV262254 AWP262105:AWR262254 BGL262105:BGN262254 BQH262105:BQJ262254 CAD262105:CAF262254 CJZ262105:CKB262254 CTV262105:CTX262254 DDR262105:DDT262254 DNN262105:DNP262254 DXJ262105:DXL262254 EHF262105:EHH262254 ERB262105:ERD262254 FAX262105:FAZ262254 FKT262105:FKV262254 FUP262105:FUR262254 GEL262105:GEN262254 GOH262105:GOJ262254 GYD262105:GYF262254 HHZ262105:HIB262254 HRV262105:HRX262254 IBR262105:IBT262254 ILN262105:ILP262254 IVJ262105:IVL262254 JFF262105:JFH262254 JPB262105:JPD262254 JYX262105:JYZ262254 KIT262105:KIV262254 KSP262105:KSR262254 LCL262105:LCN262254 LMH262105:LMJ262254 LWD262105:LWF262254 MFZ262105:MGB262254 MPV262105:MPX262254 MZR262105:MZT262254 NJN262105:NJP262254 NTJ262105:NTL262254 ODF262105:ODH262254 ONB262105:OND262254 OWX262105:OWZ262254 PGT262105:PGV262254 PQP262105:PQR262254 QAL262105:QAN262254 QKH262105:QKJ262254 QUD262105:QUF262254 RDZ262105:REB262254 RNV262105:RNX262254 RXR262105:RXT262254 SHN262105:SHP262254 SRJ262105:SRL262254 TBF262105:TBH262254 TLB262105:TLD262254 TUX262105:TUZ262254 UET262105:UEV262254 UOP262105:UOR262254 UYL262105:UYN262254 VIH262105:VIJ262254 VSD262105:VSF262254 WBZ262105:WCB262254 WLV262105:WLX262254 WVR262105:WVT262254 JF327641:JH327790 TB327641:TD327790 ACX327641:ACZ327790 AMT327641:AMV327790 AWP327641:AWR327790 BGL327641:BGN327790 BQH327641:BQJ327790 CAD327641:CAF327790 CJZ327641:CKB327790 CTV327641:CTX327790 DDR327641:DDT327790 DNN327641:DNP327790 DXJ327641:DXL327790 EHF327641:EHH327790 ERB327641:ERD327790 FAX327641:FAZ327790 FKT327641:FKV327790 FUP327641:FUR327790 GEL327641:GEN327790 GOH327641:GOJ327790 GYD327641:GYF327790 HHZ327641:HIB327790 HRV327641:HRX327790 IBR327641:IBT327790 ILN327641:ILP327790 IVJ327641:IVL327790 JFF327641:JFH327790 JPB327641:JPD327790 JYX327641:JYZ327790 KIT327641:KIV327790 KSP327641:KSR327790 LCL327641:LCN327790 LMH327641:LMJ327790 LWD327641:LWF327790 MFZ327641:MGB327790 MPV327641:MPX327790 MZR327641:MZT327790 NJN327641:NJP327790 NTJ327641:NTL327790 ODF327641:ODH327790 ONB327641:OND327790 OWX327641:OWZ327790 PGT327641:PGV327790 PQP327641:PQR327790 QAL327641:QAN327790 QKH327641:QKJ327790 QUD327641:QUF327790 RDZ327641:REB327790 RNV327641:RNX327790 RXR327641:RXT327790 SHN327641:SHP327790 SRJ327641:SRL327790 TBF327641:TBH327790 TLB327641:TLD327790 TUX327641:TUZ327790 UET327641:UEV327790 UOP327641:UOR327790 UYL327641:UYN327790 VIH327641:VIJ327790 VSD327641:VSF327790 WBZ327641:WCB327790 WLV327641:WLX327790 WVR327641:WVT327790 JF393177:JH393326 TB393177:TD393326 ACX393177:ACZ393326 AMT393177:AMV393326 AWP393177:AWR393326 BGL393177:BGN393326 BQH393177:BQJ393326 CAD393177:CAF393326 CJZ393177:CKB393326 CTV393177:CTX393326 DDR393177:DDT393326 DNN393177:DNP393326 DXJ393177:DXL393326 EHF393177:EHH393326 ERB393177:ERD393326 FAX393177:FAZ393326 FKT393177:FKV393326 FUP393177:FUR393326 GEL393177:GEN393326 GOH393177:GOJ393326 GYD393177:GYF393326 HHZ393177:HIB393326 HRV393177:HRX393326 IBR393177:IBT393326 ILN393177:ILP393326 IVJ393177:IVL393326 JFF393177:JFH393326 JPB393177:JPD393326 JYX393177:JYZ393326 KIT393177:KIV393326 KSP393177:KSR393326 LCL393177:LCN393326 LMH393177:LMJ393326 LWD393177:LWF393326 MFZ393177:MGB393326 MPV393177:MPX393326 MZR393177:MZT393326 NJN393177:NJP393326 NTJ393177:NTL393326 ODF393177:ODH393326 ONB393177:OND393326 OWX393177:OWZ393326 PGT393177:PGV393326 PQP393177:PQR393326 QAL393177:QAN393326 QKH393177:QKJ393326 QUD393177:QUF393326 RDZ393177:REB393326 RNV393177:RNX393326 RXR393177:RXT393326 SHN393177:SHP393326 SRJ393177:SRL393326 TBF393177:TBH393326 TLB393177:TLD393326 TUX393177:TUZ393326 UET393177:UEV393326 UOP393177:UOR393326 UYL393177:UYN393326 VIH393177:VIJ393326 VSD393177:VSF393326 WBZ393177:WCB393326 WLV393177:WLX393326 WVR393177:WVT393326 JF458713:JH458862 TB458713:TD458862 ACX458713:ACZ458862 AMT458713:AMV458862 AWP458713:AWR458862 BGL458713:BGN458862 BQH458713:BQJ458862 CAD458713:CAF458862 CJZ458713:CKB458862 CTV458713:CTX458862 DDR458713:DDT458862 DNN458713:DNP458862 DXJ458713:DXL458862 EHF458713:EHH458862 ERB458713:ERD458862 FAX458713:FAZ458862 FKT458713:FKV458862 FUP458713:FUR458862 GEL458713:GEN458862 GOH458713:GOJ458862 GYD458713:GYF458862 HHZ458713:HIB458862 HRV458713:HRX458862 IBR458713:IBT458862 ILN458713:ILP458862 IVJ458713:IVL458862 JFF458713:JFH458862 JPB458713:JPD458862 JYX458713:JYZ458862 KIT458713:KIV458862 KSP458713:KSR458862 LCL458713:LCN458862 LMH458713:LMJ458862 LWD458713:LWF458862 MFZ458713:MGB458862 MPV458713:MPX458862 MZR458713:MZT458862 NJN458713:NJP458862 NTJ458713:NTL458862 ODF458713:ODH458862 ONB458713:OND458862 OWX458713:OWZ458862 PGT458713:PGV458862 PQP458713:PQR458862 QAL458713:QAN458862 QKH458713:QKJ458862 QUD458713:QUF458862 RDZ458713:REB458862 RNV458713:RNX458862 RXR458713:RXT458862 SHN458713:SHP458862 SRJ458713:SRL458862 TBF458713:TBH458862 TLB458713:TLD458862 TUX458713:TUZ458862 UET458713:UEV458862 UOP458713:UOR458862 UYL458713:UYN458862 VIH458713:VIJ458862 VSD458713:VSF458862 WBZ458713:WCB458862 WLV458713:WLX458862 WVR458713:WVT458862 JF524249:JH524398 TB524249:TD524398 ACX524249:ACZ524398 AMT524249:AMV524398 AWP524249:AWR524398 BGL524249:BGN524398 BQH524249:BQJ524398 CAD524249:CAF524398 CJZ524249:CKB524398 CTV524249:CTX524398 DDR524249:DDT524398 DNN524249:DNP524398 DXJ524249:DXL524398 EHF524249:EHH524398 ERB524249:ERD524398 FAX524249:FAZ524398 FKT524249:FKV524398 FUP524249:FUR524398 GEL524249:GEN524398 GOH524249:GOJ524398 GYD524249:GYF524398 HHZ524249:HIB524398 HRV524249:HRX524398 IBR524249:IBT524398 ILN524249:ILP524398 IVJ524249:IVL524398 JFF524249:JFH524398 JPB524249:JPD524398 JYX524249:JYZ524398 KIT524249:KIV524398 KSP524249:KSR524398 LCL524249:LCN524398 LMH524249:LMJ524398 LWD524249:LWF524398 MFZ524249:MGB524398 MPV524249:MPX524398 MZR524249:MZT524398 NJN524249:NJP524398 NTJ524249:NTL524398 ODF524249:ODH524398 ONB524249:OND524398 OWX524249:OWZ524398 PGT524249:PGV524398 PQP524249:PQR524398 QAL524249:QAN524398 QKH524249:QKJ524398 QUD524249:QUF524398 RDZ524249:REB524398 RNV524249:RNX524398 RXR524249:RXT524398 SHN524249:SHP524398 SRJ524249:SRL524398 TBF524249:TBH524398 TLB524249:TLD524398 TUX524249:TUZ524398 UET524249:UEV524398 UOP524249:UOR524398 UYL524249:UYN524398 VIH524249:VIJ524398 VSD524249:VSF524398 WBZ524249:WCB524398 WLV524249:WLX524398 WVR524249:WVT524398 JF589785:JH589934 TB589785:TD589934 ACX589785:ACZ589934 AMT589785:AMV589934 AWP589785:AWR589934 BGL589785:BGN589934 BQH589785:BQJ589934 CAD589785:CAF589934 CJZ589785:CKB589934 CTV589785:CTX589934 DDR589785:DDT589934 DNN589785:DNP589934 DXJ589785:DXL589934 EHF589785:EHH589934 ERB589785:ERD589934 FAX589785:FAZ589934 FKT589785:FKV589934 FUP589785:FUR589934 GEL589785:GEN589934 GOH589785:GOJ589934 GYD589785:GYF589934 HHZ589785:HIB589934 HRV589785:HRX589934 IBR589785:IBT589934 ILN589785:ILP589934 IVJ589785:IVL589934 JFF589785:JFH589934 JPB589785:JPD589934 JYX589785:JYZ589934 KIT589785:KIV589934 KSP589785:KSR589934 LCL589785:LCN589934 LMH589785:LMJ589934 LWD589785:LWF589934 MFZ589785:MGB589934 MPV589785:MPX589934 MZR589785:MZT589934 NJN589785:NJP589934 NTJ589785:NTL589934 ODF589785:ODH589934 ONB589785:OND589934 OWX589785:OWZ589934 PGT589785:PGV589934 PQP589785:PQR589934 QAL589785:QAN589934 QKH589785:QKJ589934 QUD589785:QUF589934 RDZ589785:REB589934 RNV589785:RNX589934 RXR589785:RXT589934 SHN589785:SHP589934 SRJ589785:SRL589934 TBF589785:TBH589934 TLB589785:TLD589934 TUX589785:TUZ589934 UET589785:UEV589934 UOP589785:UOR589934 UYL589785:UYN589934 VIH589785:VIJ589934 VSD589785:VSF589934 WBZ589785:WCB589934 WLV589785:WLX589934 WVR589785:WVT589934 JF655321:JH655470 TB655321:TD655470 ACX655321:ACZ655470 AMT655321:AMV655470 AWP655321:AWR655470 BGL655321:BGN655470 BQH655321:BQJ655470 CAD655321:CAF655470 CJZ655321:CKB655470 CTV655321:CTX655470 DDR655321:DDT655470 DNN655321:DNP655470 DXJ655321:DXL655470 EHF655321:EHH655470 ERB655321:ERD655470 FAX655321:FAZ655470 FKT655321:FKV655470 FUP655321:FUR655470 GEL655321:GEN655470 GOH655321:GOJ655470 GYD655321:GYF655470 HHZ655321:HIB655470 HRV655321:HRX655470 IBR655321:IBT655470 ILN655321:ILP655470 IVJ655321:IVL655470 JFF655321:JFH655470 JPB655321:JPD655470 JYX655321:JYZ655470 KIT655321:KIV655470 KSP655321:KSR655470 LCL655321:LCN655470 LMH655321:LMJ655470 LWD655321:LWF655470 MFZ655321:MGB655470 MPV655321:MPX655470 MZR655321:MZT655470 NJN655321:NJP655470 NTJ655321:NTL655470 ODF655321:ODH655470 ONB655321:OND655470 OWX655321:OWZ655470 PGT655321:PGV655470 PQP655321:PQR655470 QAL655321:QAN655470 QKH655321:QKJ655470 QUD655321:QUF655470 RDZ655321:REB655470 RNV655321:RNX655470 RXR655321:RXT655470 SHN655321:SHP655470 SRJ655321:SRL655470 TBF655321:TBH655470 TLB655321:TLD655470 TUX655321:TUZ655470 UET655321:UEV655470 UOP655321:UOR655470 UYL655321:UYN655470 VIH655321:VIJ655470 VSD655321:VSF655470 WBZ655321:WCB655470 WLV655321:WLX655470 WVR655321:WVT655470 JF720857:JH721006 TB720857:TD721006 ACX720857:ACZ721006 AMT720857:AMV721006 AWP720857:AWR721006 BGL720857:BGN721006 BQH720857:BQJ721006 CAD720857:CAF721006 CJZ720857:CKB721006 CTV720857:CTX721006 DDR720857:DDT721006 DNN720857:DNP721006 DXJ720857:DXL721006 EHF720857:EHH721006 ERB720857:ERD721006 FAX720857:FAZ721006 FKT720857:FKV721006 FUP720857:FUR721006 GEL720857:GEN721006 GOH720857:GOJ721006 GYD720857:GYF721006 HHZ720857:HIB721006 HRV720857:HRX721006 IBR720857:IBT721006 ILN720857:ILP721006 IVJ720857:IVL721006 JFF720857:JFH721006 JPB720857:JPD721006 JYX720857:JYZ721006 KIT720857:KIV721006 KSP720857:KSR721006 LCL720857:LCN721006 LMH720857:LMJ721006 LWD720857:LWF721006 MFZ720857:MGB721006 MPV720857:MPX721006 MZR720857:MZT721006 NJN720857:NJP721006 NTJ720857:NTL721006 ODF720857:ODH721006 ONB720857:OND721006 OWX720857:OWZ721006 PGT720857:PGV721006 PQP720857:PQR721006 QAL720857:QAN721006 QKH720857:QKJ721006 QUD720857:QUF721006 RDZ720857:REB721006 RNV720857:RNX721006 RXR720857:RXT721006 SHN720857:SHP721006 SRJ720857:SRL721006 TBF720857:TBH721006 TLB720857:TLD721006 TUX720857:TUZ721006 UET720857:UEV721006 UOP720857:UOR721006 UYL720857:UYN721006 VIH720857:VIJ721006 VSD720857:VSF721006 WBZ720857:WCB721006 WLV720857:WLX721006 WVR720857:WVT721006 JF786393:JH786542 TB786393:TD786542 ACX786393:ACZ786542 AMT786393:AMV786542 AWP786393:AWR786542 BGL786393:BGN786542 BQH786393:BQJ786542 CAD786393:CAF786542 CJZ786393:CKB786542 CTV786393:CTX786542 DDR786393:DDT786542 DNN786393:DNP786542 DXJ786393:DXL786542 EHF786393:EHH786542 ERB786393:ERD786542 FAX786393:FAZ786542 FKT786393:FKV786542 FUP786393:FUR786542 GEL786393:GEN786542 GOH786393:GOJ786542 GYD786393:GYF786542 HHZ786393:HIB786542 HRV786393:HRX786542 IBR786393:IBT786542 ILN786393:ILP786542 IVJ786393:IVL786542 JFF786393:JFH786542 JPB786393:JPD786542 JYX786393:JYZ786542 KIT786393:KIV786542 KSP786393:KSR786542 LCL786393:LCN786542 LMH786393:LMJ786542 LWD786393:LWF786542 MFZ786393:MGB786542 MPV786393:MPX786542 MZR786393:MZT786542 NJN786393:NJP786542 NTJ786393:NTL786542 ODF786393:ODH786542 ONB786393:OND786542 OWX786393:OWZ786542 PGT786393:PGV786542 PQP786393:PQR786542 QAL786393:QAN786542 QKH786393:QKJ786542 QUD786393:QUF786542 RDZ786393:REB786542 RNV786393:RNX786542 RXR786393:RXT786542 SHN786393:SHP786542 SRJ786393:SRL786542 TBF786393:TBH786542 TLB786393:TLD786542 TUX786393:TUZ786542 UET786393:UEV786542 UOP786393:UOR786542 UYL786393:UYN786542 VIH786393:VIJ786542 VSD786393:VSF786542 WBZ786393:WCB786542 WLV786393:WLX786542 WVR786393:WVT786542 JF851929:JH852078 TB851929:TD852078 ACX851929:ACZ852078 AMT851929:AMV852078 AWP851929:AWR852078 BGL851929:BGN852078 BQH851929:BQJ852078 CAD851929:CAF852078 CJZ851929:CKB852078 CTV851929:CTX852078 DDR851929:DDT852078 DNN851929:DNP852078 DXJ851929:DXL852078 EHF851929:EHH852078 ERB851929:ERD852078 FAX851929:FAZ852078 FKT851929:FKV852078 FUP851929:FUR852078 GEL851929:GEN852078 GOH851929:GOJ852078 GYD851929:GYF852078 HHZ851929:HIB852078 HRV851929:HRX852078 IBR851929:IBT852078 ILN851929:ILP852078 IVJ851929:IVL852078 JFF851929:JFH852078 JPB851929:JPD852078 JYX851929:JYZ852078 KIT851929:KIV852078 KSP851929:KSR852078 LCL851929:LCN852078 LMH851929:LMJ852078 LWD851929:LWF852078 MFZ851929:MGB852078 MPV851929:MPX852078 MZR851929:MZT852078 NJN851929:NJP852078 NTJ851929:NTL852078 ODF851929:ODH852078 ONB851929:OND852078 OWX851929:OWZ852078 PGT851929:PGV852078 PQP851929:PQR852078 QAL851929:QAN852078 QKH851929:QKJ852078 QUD851929:QUF852078 RDZ851929:REB852078 RNV851929:RNX852078 RXR851929:RXT852078 SHN851929:SHP852078 SRJ851929:SRL852078 TBF851929:TBH852078 TLB851929:TLD852078 TUX851929:TUZ852078 UET851929:UEV852078 UOP851929:UOR852078 UYL851929:UYN852078 VIH851929:VIJ852078 VSD851929:VSF852078 WBZ851929:WCB852078 WLV851929:WLX852078 WVR851929:WVT852078 JF917465:JH917614 TB917465:TD917614 ACX917465:ACZ917614 AMT917465:AMV917614 AWP917465:AWR917614 BGL917465:BGN917614 BQH917465:BQJ917614 CAD917465:CAF917614 CJZ917465:CKB917614 CTV917465:CTX917614 DDR917465:DDT917614 DNN917465:DNP917614 DXJ917465:DXL917614 EHF917465:EHH917614 ERB917465:ERD917614 FAX917465:FAZ917614 FKT917465:FKV917614 FUP917465:FUR917614 GEL917465:GEN917614 GOH917465:GOJ917614 GYD917465:GYF917614 HHZ917465:HIB917614 HRV917465:HRX917614 IBR917465:IBT917614 ILN917465:ILP917614 IVJ917465:IVL917614 JFF917465:JFH917614 JPB917465:JPD917614 JYX917465:JYZ917614 KIT917465:KIV917614 KSP917465:KSR917614 LCL917465:LCN917614 LMH917465:LMJ917614 LWD917465:LWF917614 MFZ917465:MGB917614 MPV917465:MPX917614 MZR917465:MZT917614 NJN917465:NJP917614 NTJ917465:NTL917614 ODF917465:ODH917614 ONB917465:OND917614 OWX917465:OWZ917614 PGT917465:PGV917614 PQP917465:PQR917614 QAL917465:QAN917614 QKH917465:QKJ917614 QUD917465:QUF917614 RDZ917465:REB917614 RNV917465:RNX917614 RXR917465:RXT917614 SHN917465:SHP917614 SRJ917465:SRL917614 TBF917465:TBH917614 TLB917465:TLD917614 TUX917465:TUZ917614 UET917465:UEV917614 UOP917465:UOR917614 UYL917465:UYN917614 VIH917465:VIJ917614 VSD917465:VSF917614 WBZ917465:WCB917614 WLV917465:WLX917614 WVR917465:WVT917614 JF983001:JH983150 TB983001:TD983150 ACX983001:ACZ983150 AMT983001:AMV983150 AWP983001:AWR983150 BGL983001:BGN983150 BQH983001:BQJ983150 CAD983001:CAF983150 CJZ983001:CKB983150 CTV983001:CTX983150 DDR983001:DDT983150 DNN983001:DNP983150 DXJ983001:DXL983150 EHF983001:EHH983150 ERB983001:ERD983150 FAX983001:FAZ983150 FKT983001:FKV983150 FUP983001:FUR983150 GEL983001:GEN983150 GOH983001:GOJ983150 GYD983001:GYF983150 HHZ983001:HIB983150 HRV983001:HRX983150 IBR983001:IBT983150 ILN983001:ILP983150 IVJ983001:IVL983150 JFF983001:JFH983150 JPB983001:JPD983150 JYX983001:JYZ983150 KIT983001:KIV983150 KSP983001:KSR983150 LCL983001:LCN983150 LMH983001:LMJ983150 LWD983001:LWF983150 MFZ983001:MGB983150 MPV983001:MPX983150 MZR983001:MZT983150 NJN983001:NJP983150 NTJ983001:NTL983150 ODF983001:ODH983150 ONB983001:OND983150 OWX983001:OWZ983150 PGT983001:PGV983150 PQP983001:PQR983150 QAL983001:QAN983150 QKH983001:QKJ983150 QUD983001:QUF983150 RDZ983001:REB983150 RNV983001:RNX983150 RXR983001:RXT983150 SHN983001:SHP983150 SRJ983001:SRL983150 TBF983001:TBH983150 TLB983001:TLD983150 TUX983001:TUZ983150 UET983001:UEV983150 UOP983001:UOR983150 UYL983001:UYN983150 VIH983001:VIJ983150 VSD983001:VSF983150 WBZ983001:WCB983150 WLV983001:WLX983150 WVR983001:WVT983150 WVR2:WVT115 WLV2:WLX115 WBZ2:WCB115 VSD2:VSF115 VIH2:VIJ115 UYL2:UYN115 UOP2:UOR115 UET2:UEV115 TUX2:TUZ115 TLB2:TLD115 TBF2:TBH115 SRJ2:SRL115 SHN2:SHP115 RXR2:RXT115 RNV2:RNX115 RDZ2:REB115 QUD2:QUF115 QKH2:QKJ115 QAL2:QAN115 PQP2:PQR115 PGT2:PGV115 OWX2:OWZ115 ONB2:OND115 ODF2:ODH115 NTJ2:NTL115 NJN2:NJP115 MZR2:MZT115 MPV2:MPX115 MFZ2:MGB115 LWD2:LWF115 LMH2:LMJ115 LCL2:LCN115 KSP2:KSR115 KIT2:KIV115 JYX2:JYZ115 JPB2:JPD115 JFF2:JFH115 IVJ2:IVL115 ILN2:ILP115 IBR2:IBT115 HRV2:HRX115 HHZ2:HIB115 GYD2:GYF115 GOH2:GOJ115 GEL2:GEN115 FUP2:FUR115 FKT2:FKV115 FAX2:FAZ115 ERB2:ERD115 EHF2:EHH115 DXJ2:DXL115 DNN2:DNP115 DDR2:DDT115 CTV2:CTX115 CJZ2:CKB115 CAD2:CAF115 BQH2:BQJ115 BGL2:BGN115 AWP2:AWR115 AMT2:AMV115 ACX2:ACZ115 TB2:TD115 JF2:JH115" xr:uid="{8091DCA2-AD80-44E8-949B-AD86FDE272A5}"/>
    <dataValidation allowBlank="1" showInputMessage="1" showErrorMessage="1" prompt="N=none,_x000a_P=Pivot,_x000a_F=Furrow,_x000a_FL=Flood,_x000a_B=Border,_x000a_etc." sqref="JE65497:JE65646 TA65497:TA65646 ACW65497:ACW65646 AMS65497:AMS65646 AWO65497:AWO65646 BGK65497:BGK65646 BQG65497:BQG65646 CAC65497:CAC65646 CJY65497:CJY65646 CTU65497:CTU65646 DDQ65497:DDQ65646 DNM65497:DNM65646 DXI65497:DXI65646 EHE65497:EHE65646 ERA65497:ERA65646 FAW65497:FAW65646 FKS65497:FKS65646 FUO65497:FUO65646 GEK65497:GEK65646 GOG65497:GOG65646 GYC65497:GYC65646 HHY65497:HHY65646 HRU65497:HRU65646 IBQ65497:IBQ65646 ILM65497:ILM65646 IVI65497:IVI65646 JFE65497:JFE65646 JPA65497:JPA65646 JYW65497:JYW65646 KIS65497:KIS65646 KSO65497:KSO65646 LCK65497:LCK65646 LMG65497:LMG65646 LWC65497:LWC65646 MFY65497:MFY65646 MPU65497:MPU65646 MZQ65497:MZQ65646 NJM65497:NJM65646 NTI65497:NTI65646 ODE65497:ODE65646 ONA65497:ONA65646 OWW65497:OWW65646 PGS65497:PGS65646 PQO65497:PQO65646 QAK65497:QAK65646 QKG65497:QKG65646 QUC65497:QUC65646 RDY65497:RDY65646 RNU65497:RNU65646 RXQ65497:RXQ65646 SHM65497:SHM65646 SRI65497:SRI65646 TBE65497:TBE65646 TLA65497:TLA65646 TUW65497:TUW65646 UES65497:UES65646 UOO65497:UOO65646 UYK65497:UYK65646 VIG65497:VIG65646 VSC65497:VSC65646 WBY65497:WBY65646 WLU65497:WLU65646 WVQ65497:WVQ65646 JE131033:JE131182 TA131033:TA131182 ACW131033:ACW131182 AMS131033:AMS131182 AWO131033:AWO131182 BGK131033:BGK131182 BQG131033:BQG131182 CAC131033:CAC131182 CJY131033:CJY131182 CTU131033:CTU131182 DDQ131033:DDQ131182 DNM131033:DNM131182 DXI131033:DXI131182 EHE131033:EHE131182 ERA131033:ERA131182 FAW131033:FAW131182 FKS131033:FKS131182 FUO131033:FUO131182 GEK131033:GEK131182 GOG131033:GOG131182 GYC131033:GYC131182 HHY131033:HHY131182 HRU131033:HRU131182 IBQ131033:IBQ131182 ILM131033:ILM131182 IVI131033:IVI131182 JFE131033:JFE131182 JPA131033:JPA131182 JYW131033:JYW131182 KIS131033:KIS131182 KSO131033:KSO131182 LCK131033:LCK131182 LMG131033:LMG131182 LWC131033:LWC131182 MFY131033:MFY131182 MPU131033:MPU131182 MZQ131033:MZQ131182 NJM131033:NJM131182 NTI131033:NTI131182 ODE131033:ODE131182 ONA131033:ONA131182 OWW131033:OWW131182 PGS131033:PGS131182 PQO131033:PQO131182 QAK131033:QAK131182 QKG131033:QKG131182 QUC131033:QUC131182 RDY131033:RDY131182 RNU131033:RNU131182 RXQ131033:RXQ131182 SHM131033:SHM131182 SRI131033:SRI131182 TBE131033:TBE131182 TLA131033:TLA131182 TUW131033:TUW131182 UES131033:UES131182 UOO131033:UOO131182 UYK131033:UYK131182 VIG131033:VIG131182 VSC131033:VSC131182 WBY131033:WBY131182 WLU131033:WLU131182 WVQ131033:WVQ131182 JE196569:JE196718 TA196569:TA196718 ACW196569:ACW196718 AMS196569:AMS196718 AWO196569:AWO196718 BGK196569:BGK196718 BQG196569:BQG196718 CAC196569:CAC196718 CJY196569:CJY196718 CTU196569:CTU196718 DDQ196569:DDQ196718 DNM196569:DNM196718 DXI196569:DXI196718 EHE196569:EHE196718 ERA196569:ERA196718 FAW196569:FAW196718 FKS196569:FKS196718 FUO196569:FUO196718 GEK196569:GEK196718 GOG196569:GOG196718 GYC196569:GYC196718 HHY196569:HHY196718 HRU196569:HRU196718 IBQ196569:IBQ196718 ILM196569:ILM196718 IVI196569:IVI196718 JFE196569:JFE196718 JPA196569:JPA196718 JYW196569:JYW196718 KIS196569:KIS196718 KSO196569:KSO196718 LCK196569:LCK196718 LMG196569:LMG196718 LWC196569:LWC196718 MFY196569:MFY196718 MPU196569:MPU196718 MZQ196569:MZQ196718 NJM196569:NJM196718 NTI196569:NTI196718 ODE196569:ODE196718 ONA196569:ONA196718 OWW196569:OWW196718 PGS196569:PGS196718 PQO196569:PQO196718 QAK196569:QAK196718 QKG196569:QKG196718 QUC196569:QUC196718 RDY196569:RDY196718 RNU196569:RNU196718 RXQ196569:RXQ196718 SHM196569:SHM196718 SRI196569:SRI196718 TBE196569:TBE196718 TLA196569:TLA196718 TUW196569:TUW196718 UES196569:UES196718 UOO196569:UOO196718 UYK196569:UYK196718 VIG196569:VIG196718 VSC196569:VSC196718 WBY196569:WBY196718 WLU196569:WLU196718 WVQ196569:WVQ196718 JE262105:JE262254 TA262105:TA262254 ACW262105:ACW262254 AMS262105:AMS262254 AWO262105:AWO262254 BGK262105:BGK262254 BQG262105:BQG262254 CAC262105:CAC262254 CJY262105:CJY262254 CTU262105:CTU262254 DDQ262105:DDQ262254 DNM262105:DNM262254 DXI262105:DXI262254 EHE262105:EHE262254 ERA262105:ERA262254 FAW262105:FAW262254 FKS262105:FKS262254 FUO262105:FUO262254 GEK262105:GEK262254 GOG262105:GOG262254 GYC262105:GYC262254 HHY262105:HHY262254 HRU262105:HRU262254 IBQ262105:IBQ262254 ILM262105:ILM262254 IVI262105:IVI262254 JFE262105:JFE262254 JPA262105:JPA262254 JYW262105:JYW262254 KIS262105:KIS262254 KSO262105:KSO262254 LCK262105:LCK262254 LMG262105:LMG262254 LWC262105:LWC262254 MFY262105:MFY262254 MPU262105:MPU262254 MZQ262105:MZQ262254 NJM262105:NJM262254 NTI262105:NTI262254 ODE262105:ODE262254 ONA262105:ONA262254 OWW262105:OWW262254 PGS262105:PGS262254 PQO262105:PQO262254 QAK262105:QAK262254 QKG262105:QKG262254 QUC262105:QUC262254 RDY262105:RDY262254 RNU262105:RNU262254 RXQ262105:RXQ262254 SHM262105:SHM262254 SRI262105:SRI262254 TBE262105:TBE262254 TLA262105:TLA262254 TUW262105:TUW262254 UES262105:UES262254 UOO262105:UOO262254 UYK262105:UYK262254 VIG262105:VIG262254 VSC262105:VSC262254 WBY262105:WBY262254 WLU262105:WLU262254 WVQ262105:WVQ262254 JE327641:JE327790 TA327641:TA327790 ACW327641:ACW327790 AMS327641:AMS327790 AWO327641:AWO327790 BGK327641:BGK327790 BQG327641:BQG327790 CAC327641:CAC327790 CJY327641:CJY327790 CTU327641:CTU327790 DDQ327641:DDQ327790 DNM327641:DNM327790 DXI327641:DXI327790 EHE327641:EHE327790 ERA327641:ERA327790 FAW327641:FAW327790 FKS327641:FKS327790 FUO327641:FUO327790 GEK327641:GEK327790 GOG327641:GOG327790 GYC327641:GYC327790 HHY327641:HHY327790 HRU327641:HRU327790 IBQ327641:IBQ327790 ILM327641:ILM327790 IVI327641:IVI327790 JFE327641:JFE327790 JPA327641:JPA327790 JYW327641:JYW327790 KIS327641:KIS327790 KSO327641:KSO327790 LCK327641:LCK327790 LMG327641:LMG327790 LWC327641:LWC327790 MFY327641:MFY327790 MPU327641:MPU327790 MZQ327641:MZQ327790 NJM327641:NJM327790 NTI327641:NTI327790 ODE327641:ODE327790 ONA327641:ONA327790 OWW327641:OWW327790 PGS327641:PGS327790 PQO327641:PQO327790 QAK327641:QAK327790 QKG327641:QKG327790 QUC327641:QUC327790 RDY327641:RDY327790 RNU327641:RNU327790 RXQ327641:RXQ327790 SHM327641:SHM327790 SRI327641:SRI327790 TBE327641:TBE327790 TLA327641:TLA327790 TUW327641:TUW327790 UES327641:UES327790 UOO327641:UOO327790 UYK327641:UYK327790 VIG327641:VIG327790 VSC327641:VSC327790 WBY327641:WBY327790 WLU327641:WLU327790 WVQ327641:WVQ327790 JE393177:JE393326 TA393177:TA393326 ACW393177:ACW393326 AMS393177:AMS393326 AWO393177:AWO393326 BGK393177:BGK393326 BQG393177:BQG393326 CAC393177:CAC393326 CJY393177:CJY393326 CTU393177:CTU393326 DDQ393177:DDQ393326 DNM393177:DNM393326 DXI393177:DXI393326 EHE393177:EHE393326 ERA393177:ERA393326 FAW393177:FAW393326 FKS393177:FKS393326 FUO393177:FUO393326 GEK393177:GEK393326 GOG393177:GOG393326 GYC393177:GYC393326 HHY393177:HHY393326 HRU393177:HRU393326 IBQ393177:IBQ393326 ILM393177:ILM393326 IVI393177:IVI393326 JFE393177:JFE393326 JPA393177:JPA393326 JYW393177:JYW393326 KIS393177:KIS393326 KSO393177:KSO393326 LCK393177:LCK393326 LMG393177:LMG393326 LWC393177:LWC393326 MFY393177:MFY393326 MPU393177:MPU393326 MZQ393177:MZQ393326 NJM393177:NJM393326 NTI393177:NTI393326 ODE393177:ODE393326 ONA393177:ONA393326 OWW393177:OWW393326 PGS393177:PGS393326 PQO393177:PQO393326 QAK393177:QAK393326 QKG393177:QKG393326 QUC393177:QUC393326 RDY393177:RDY393326 RNU393177:RNU393326 RXQ393177:RXQ393326 SHM393177:SHM393326 SRI393177:SRI393326 TBE393177:TBE393326 TLA393177:TLA393326 TUW393177:TUW393326 UES393177:UES393326 UOO393177:UOO393326 UYK393177:UYK393326 VIG393177:VIG393326 VSC393177:VSC393326 WBY393177:WBY393326 WLU393177:WLU393326 WVQ393177:WVQ393326 JE458713:JE458862 TA458713:TA458862 ACW458713:ACW458862 AMS458713:AMS458862 AWO458713:AWO458862 BGK458713:BGK458862 BQG458713:BQG458862 CAC458713:CAC458862 CJY458713:CJY458862 CTU458713:CTU458862 DDQ458713:DDQ458862 DNM458713:DNM458862 DXI458713:DXI458862 EHE458713:EHE458862 ERA458713:ERA458862 FAW458713:FAW458862 FKS458713:FKS458862 FUO458713:FUO458862 GEK458713:GEK458862 GOG458713:GOG458862 GYC458713:GYC458862 HHY458713:HHY458862 HRU458713:HRU458862 IBQ458713:IBQ458862 ILM458713:ILM458862 IVI458713:IVI458862 JFE458713:JFE458862 JPA458713:JPA458862 JYW458713:JYW458862 KIS458713:KIS458862 KSO458713:KSO458862 LCK458713:LCK458862 LMG458713:LMG458862 LWC458713:LWC458862 MFY458713:MFY458862 MPU458713:MPU458862 MZQ458713:MZQ458862 NJM458713:NJM458862 NTI458713:NTI458862 ODE458713:ODE458862 ONA458713:ONA458862 OWW458713:OWW458862 PGS458713:PGS458862 PQO458713:PQO458862 QAK458713:QAK458862 QKG458713:QKG458862 QUC458713:QUC458862 RDY458713:RDY458862 RNU458713:RNU458862 RXQ458713:RXQ458862 SHM458713:SHM458862 SRI458713:SRI458862 TBE458713:TBE458862 TLA458713:TLA458862 TUW458713:TUW458862 UES458713:UES458862 UOO458713:UOO458862 UYK458713:UYK458862 VIG458713:VIG458862 VSC458713:VSC458862 WBY458713:WBY458862 WLU458713:WLU458862 WVQ458713:WVQ458862 JE524249:JE524398 TA524249:TA524398 ACW524249:ACW524398 AMS524249:AMS524398 AWO524249:AWO524398 BGK524249:BGK524398 BQG524249:BQG524398 CAC524249:CAC524398 CJY524249:CJY524398 CTU524249:CTU524398 DDQ524249:DDQ524398 DNM524249:DNM524398 DXI524249:DXI524398 EHE524249:EHE524398 ERA524249:ERA524398 FAW524249:FAW524398 FKS524249:FKS524398 FUO524249:FUO524398 GEK524249:GEK524398 GOG524249:GOG524398 GYC524249:GYC524398 HHY524249:HHY524398 HRU524249:HRU524398 IBQ524249:IBQ524398 ILM524249:ILM524398 IVI524249:IVI524398 JFE524249:JFE524398 JPA524249:JPA524398 JYW524249:JYW524398 KIS524249:KIS524398 KSO524249:KSO524398 LCK524249:LCK524398 LMG524249:LMG524398 LWC524249:LWC524398 MFY524249:MFY524398 MPU524249:MPU524398 MZQ524249:MZQ524398 NJM524249:NJM524398 NTI524249:NTI524398 ODE524249:ODE524398 ONA524249:ONA524398 OWW524249:OWW524398 PGS524249:PGS524398 PQO524249:PQO524398 QAK524249:QAK524398 QKG524249:QKG524398 QUC524249:QUC524398 RDY524249:RDY524398 RNU524249:RNU524398 RXQ524249:RXQ524398 SHM524249:SHM524398 SRI524249:SRI524398 TBE524249:TBE524398 TLA524249:TLA524398 TUW524249:TUW524398 UES524249:UES524398 UOO524249:UOO524398 UYK524249:UYK524398 VIG524249:VIG524398 VSC524249:VSC524398 WBY524249:WBY524398 WLU524249:WLU524398 WVQ524249:WVQ524398 JE589785:JE589934 TA589785:TA589934 ACW589785:ACW589934 AMS589785:AMS589934 AWO589785:AWO589934 BGK589785:BGK589934 BQG589785:BQG589934 CAC589785:CAC589934 CJY589785:CJY589934 CTU589785:CTU589934 DDQ589785:DDQ589934 DNM589785:DNM589934 DXI589785:DXI589934 EHE589785:EHE589934 ERA589785:ERA589934 FAW589785:FAW589934 FKS589785:FKS589934 FUO589785:FUO589934 GEK589785:GEK589934 GOG589785:GOG589934 GYC589785:GYC589934 HHY589785:HHY589934 HRU589785:HRU589934 IBQ589785:IBQ589934 ILM589785:ILM589934 IVI589785:IVI589934 JFE589785:JFE589934 JPA589785:JPA589934 JYW589785:JYW589934 KIS589785:KIS589934 KSO589785:KSO589934 LCK589785:LCK589934 LMG589785:LMG589934 LWC589785:LWC589934 MFY589785:MFY589934 MPU589785:MPU589934 MZQ589785:MZQ589934 NJM589785:NJM589934 NTI589785:NTI589934 ODE589785:ODE589934 ONA589785:ONA589934 OWW589785:OWW589934 PGS589785:PGS589934 PQO589785:PQO589934 QAK589785:QAK589934 QKG589785:QKG589934 QUC589785:QUC589934 RDY589785:RDY589934 RNU589785:RNU589934 RXQ589785:RXQ589934 SHM589785:SHM589934 SRI589785:SRI589934 TBE589785:TBE589934 TLA589785:TLA589934 TUW589785:TUW589934 UES589785:UES589934 UOO589785:UOO589934 UYK589785:UYK589934 VIG589785:VIG589934 VSC589785:VSC589934 WBY589785:WBY589934 WLU589785:WLU589934 WVQ589785:WVQ589934 JE655321:JE655470 TA655321:TA655470 ACW655321:ACW655470 AMS655321:AMS655470 AWO655321:AWO655470 BGK655321:BGK655470 BQG655321:BQG655470 CAC655321:CAC655470 CJY655321:CJY655470 CTU655321:CTU655470 DDQ655321:DDQ655470 DNM655321:DNM655470 DXI655321:DXI655470 EHE655321:EHE655470 ERA655321:ERA655470 FAW655321:FAW655470 FKS655321:FKS655470 FUO655321:FUO655470 GEK655321:GEK655470 GOG655321:GOG655470 GYC655321:GYC655470 HHY655321:HHY655470 HRU655321:HRU655470 IBQ655321:IBQ655470 ILM655321:ILM655470 IVI655321:IVI655470 JFE655321:JFE655470 JPA655321:JPA655470 JYW655321:JYW655470 KIS655321:KIS655470 KSO655321:KSO655470 LCK655321:LCK655470 LMG655321:LMG655470 LWC655321:LWC655470 MFY655321:MFY655470 MPU655321:MPU655470 MZQ655321:MZQ655470 NJM655321:NJM655470 NTI655321:NTI655470 ODE655321:ODE655470 ONA655321:ONA655470 OWW655321:OWW655470 PGS655321:PGS655470 PQO655321:PQO655470 QAK655321:QAK655470 QKG655321:QKG655470 QUC655321:QUC655470 RDY655321:RDY655470 RNU655321:RNU655470 RXQ655321:RXQ655470 SHM655321:SHM655470 SRI655321:SRI655470 TBE655321:TBE655470 TLA655321:TLA655470 TUW655321:TUW655470 UES655321:UES655470 UOO655321:UOO655470 UYK655321:UYK655470 VIG655321:VIG655470 VSC655321:VSC655470 WBY655321:WBY655470 WLU655321:WLU655470 WVQ655321:WVQ655470 JE720857:JE721006 TA720857:TA721006 ACW720857:ACW721006 AMS720857:AMS721006 AWO720857:AWO721006 BGK720857:BGK721006 BQG720857:BQG721006 CAC720857:CAC721006 CJY720857:CJY721006 CTU720857:CTU721006 DDQ720857:DDQ721006 DNM720857:DNM721006 DXI720857:DXI721006 EHE720857:EHE721006 ERA720857:ERA721006 FAW720857:FAW721006 FKS720857:FKS721006 FUO720857:FUO721006 GEK720857:GEK721006 GOG720857:GOG721006 GYC720857:GYC721006 HHY720857:HHY721006 HRU720857:HRU721006 IBQ720857:IBQ721006 ILM720857:ILM721006 IVI720857:IVI721006 JFE720857:JFE721006 JPA720857:JPA721006 JYW720857:JYW721006 KIS720857:KIS721006 KSO720857:KSO721006 LCK720857:LCK721006 LMG720857:LMG721006 LWC720857:LWC721006 MFY720857:MFY721006 MPU720857:MPU721006 MZQ720857:MZQ721006 NJM720857:NJM721006 NTI720857:NTI721006 ODE720857:ODE721006 ONA720857:ONA721006 OWW720857:OWW721006 PGS720857:PGS721006 PQO720857:PQO721006 QAK720857:QAK721006 QKG720857:QKG721006 QUC720857:QUC721006 RDY720857:RDY721006 RNU720857:RNU721006 RXQ720857:RXQ721006 SHM720857:SHM721006 SRI720857:SRI721006 TBE720857:TBE721006 TLA720857:TLA721006 TUW720857:TUW721006 UES720857:UES721006 UOO720857:UOO721006 UYK720857:UYK721006 VIG720857:VIG721006 VSC720857:VSC721006 WBY720857:WBY721006 WLU720857:WLU721006 WVQ720857:WVQ721006 JE786393:JE786542 TA786393:TA786542 ACW786393:ACW786542 AMS786393:AMS786542 AWO786393:AWO786542 BGK786393:BGK786542 BQG786393:BQG786542 CAC786393:CAC786542 CJY786393:CJY786542 CTU786393:CTU786542 DDQ786393:DDQ786542 DNM786393:DNM786542 DXI786393:DXI786542 EHE786393:EHE786542 ERA786393:ERA786542 FAW786393:FAW786542 FKS786393:FKS786542 FUO786393:FUO786542 GEK786393:GEK786542 GOG786393:GOG786542 GYC786393:GYC786542 HHY786393:HHY786542 HRU786393:HRU786542 IBQ786393:IBQ786542 ILM786393:ILM786542 IVI786393:IVI786542 JFE786393:JFE786542 JPA786393:JPA786542 JYW786393:JYW786542 KIS786393:KIS786542 KSO786393:KSO786542 LCK786393:LCK786542 LMG786393:LMG786542 LWC786393:LWC786542 MFY786393:MFY786542 MPU786393:MPU786542 MZQ786393:MZQ786542 NJM786393:NJM786542 NTI786393:NTI786542 ODE786393:ODE786542 ONA786393:ONA786542 OWW786393:OWW786542 PGS786393:PGS786542 PQO786393:PQO786542 QAK786393:QAK786542 QKG786393:QKG786542 QUC786393:QUC786542 RDY786393:RDY786542 RNU786393:RNU786542 RXQ786393:RXQ786542 SHM786393:SHM786542 SRI786393:SRI786542 TBE786393:TBE786542 TLA786393:TLA786542 TUW786393:TUW786542 UES786393:UES786542 UOO786393:UOO786542 UYK786393:UYK786542 VIG786393:VIG786542 VSC786393:VSC786542 WBY786393:WBY786542 WLU786393:WLU786542 WVQ786393:WVQ786542 JE851929:JE852078 TA851929:TA852078 ACW851929:ACW852078 AMS851929:AMS852078 AWO851929:AWO852078 BGK851929:BGK852078 BQG851929:BQG852078 CAC851929:CAC852078 CJY851929:CJY852078 CTU851929:CTU852078 DDQ851929:DDQ852078 DNM851929:DNM852078 DXI851929:DXI852078 EHE851929:EHE852078 ERA851929:ERA852078 FAW851929:FAW852078 FKS851929:FKS852078 FUO851929:FUO852078 GEK851929:GEK852078 GOG851929:GOG852078 GYC851929:GYC852078 HHY851929:HHY852078 HRU851929:HRU852078 IBQ851929:IBQ852078 ILM851929:ILM852078 IVI851929:IVI852078 JFE851929:JFE852078 JPA851929:JPA852078 JYW851929:JYW852078 KIS851929:KIS852078 KSO851929:KSO852078 LCK851929:LCK852078 LMG851929:LMG852078 LWC851929:LWC852078 MFY851929:MFY852078 MPU851929:MPU852078 MZQ851929:MZQ852078 NJM851929:NJM852078 NTI851929:NTI852078 ODE851929:ODE852078 ONA851929:ONA852078 OWW851929:OWW852078 PGS851929:PGS852078 PQO851929:PQO852078 QAK851929:QAK852078 QKG851929:QKG852078 QUC851929:QUC852078 RDY851929:RDY852078 RNU851929:RNU852078 RXQ851929:RXQ852078 SHM851929:SHM852078 SRI851929:SRI852078 TBE851929:TBE852078 TLA851929:TLA852078 TUW851929:TUW852078 UES851929:UES852078 UOO851929:UOO852078 UYK851929:UYK852078 VIG851929:VIG852078 VSC851929:VSC852078 WBY851929:WBY852078 WLU851929:WLU852078 WVQ851929:WVQ852078 JE917465:JE917614 TA917465:TA917614 ACW917465:ACW917614 AMS917465:AMS917614 AWO917465:AWO917614 BGK917465:BGK917614 BQG917465:BQG917614 CAC917465:CAC917614 CJY917465:CJY917614 CTU917465:CTU917614 DDQ917465:DDQ917614 DNM917465:DNM917614 DXI917465:DXI917614 EHE917465:EHE917614 ERA917465:ERA917614 FAW917465:FAW917614 FKS917465:FKS917614 FUO917465:FUO917614 GEK917465:GEK917614 GOG917465:GOG917614 GYC917465:GYC917614 HHY917465:HHY917614 HRU917465:HRU917614 IBQ917465:IBQ917614 ILM917465:ILM917614 IVI917465:IVI917614 JFE917465:JFE917614 JPA917465:JPA917614 JYW917465:JYW917614 KIS917465:KIS917614 KSO917465:KSO917614 LCK917465:LCK917614 LMG917465:LMG917614 LWC917465:LWC917614 MFY917465:MFY917614 MPU917465:MPU917614 MZQ917465:MZQ917614 NJM917465:NJM917614 NTI917465:NTI917614 ODE917465:ODE917614 ONA917465:ONA917614 OWW917465:OWW917614 PGS917465:PGS917614 PQO917465:PQO917614 QAK917465:QAK917614 QKG917465:QKG917614 QUC917465:QUC917614 RDY917465:RDY917614 RNU917465:RNU917614 RXQ917465:RXQ917614 SHM917465:SHM917614 SRI917465:SRI917614 TBE917465:TBE917614 TLA917465:TLA917614 TUW917465:TUW917614 UES917465:UES917614 UOO917465:UOO917614 UYK917465:UYK917614 VIG917465:VIG917614 VSC917465:VSC917614 WBY917465:WBY917614 WLU917465:WLU917614 WVQ917465:WVQ917614 JE983001:JE983150 TA983001:TA983150 ACW983001:ACW983150 AMS983001:AMS983150 AWO983001:AWO983150 BGK983001:BGK983150 BQG983001:BQG983150 CAC983001:CAC983150 CJY983001:CJY983150 CTU983001:CTU983150 DDQ983001:DDQ983150 DNM983001:DNM983150 DXI983001:DXI983150 EHE983001:EHE983150 ERA983001:ERA983150 FAW983001:FAW983150 FKS983001:FKS983150 FUO983001:FUO983150 GEK983001:GEK983150 GOG983001:GOG983150 GYC983001:GYC983150 HHY983001:HHY983150 HRU983001:HRU983150 IBQ983001:IBQ983150 ILM983001:ILM983150 IVI983001:IVI983150 JFE983001:JFE983150 JPA983001:JPA983150 JYW983001:JYW983150 KIS983001:KIS983150 KSO983001:KSO983150 LCK983001:LCK983150 LMG983001:LMG983150 LWC983001:LWC983150 MFY983001:MFY983150 MPU983001:MPU983150 MZQ983001:MZQ983150 NJM983001:NJM983150 NTI983001:NTI983150 ODE983001:ODE983150 ONA983001:ONA983150 OWW983001:OWW983150 PGS983001:PGS983150 PQO983001:PQO983150 QAK983001:QAK983150 QKG983001:QKG983150 QUC983001:QUC983150 RDY983001:RDY983150 RNU983001:RNU983150 RXQ983001:RXQ983150 SHM983001:SHM983150 SRI983001:SRI983150 TBE983001:TBE983150 TLA983001:TLA983150 TUW983001:TUW983150 UES983001:UES983150 UOO983001:UOO983150 UYK983001:UYK983150 VIG983001:VIG983150 VSC983001:VSC983150 WBY983001:WBY983150 WLU983001:WLU983150 WVQ983001:WVQ983150 WVQ2:WVQ115 WLU2:WLU115 WBY2:WBY115 VSC2:VSC115 VIG2:VIG115 UYK2:UYK115 UOO2:UOO115 UES2:UES115 TUW2:TUW115 TLA2:TLA115 TBE2:TBE115 SRI2:SRI115 SHM2:SHM115 RXQ2:RXQ115 RNU2:RNU115 RDY2:RDY115 QUC2:QUC115 QKG2:QKG115 QAK2:QAK115 PQO2:PQO115 PGS2:PGS115 OWW2:OWW115 ONA2:ONA115 ODE2:ODE115 NTI2:NTI115 NJM2:NJM115 MZQ2:MZQ115 MPU2:MPU115 MFY2:MFY115 LWC2:LWC115 LMG2:LMG115 LCK2:LCK115 KSO2:KSO115 KIS2:KIS115 JYW2:JYW115 JPA2:JPA115 JFE2:JFE115 IVI2:IVI115 ILM2:ILM115 IBQ2:IBQ115 HRU2:HRU115 HHY2:HHY115 GYC2:GYC115 GOG2:GOG115 GEK2:GEK115 FUO2:FUO115 FKS2:FKS115 FAW2:FAW115 ERA2:ERA115 EHE2:EHE115 DXI2:DXI115 DNM2:DNM115 DDQ2:DDQ115 CTU2:CTU115 CJY2:CJY115 CAC2:CAC115 BQG2:BQG115 BGK2:BGK115 AWO2:AWO115 AMS2:AMS115 ACW2:ACW115 TA2:TA115 JE2:JE115" xr:uid="{085B88C5-1A45-4B7F-9713-14BE831F8904}"/>
  </dataValidations>
  <hyperlinks>
    <hyperlink ref="J28" r:id="rId1" xr:uid="{4B24AFA5-7563-4703-BCC6-F33AF8CA0809}"/>
    <hyperlink ref="J21" r:id="rId2" xr:uid="{13589E86-0ECD-4D99-BB47-35F4DADE7E48}"/>
    <hyperlink ref="J31" r:id="rId3" xr:uid="{34D7AB7D-442D-464A-A3A8-04D9A7EEFFF9}"/>
    <hyperlink ref="J26" r:id="rId4" xr:uid="{B7A84851-18B3-4B26-BF01-F4DDC4E458B6}"/>
    <hyperlink ref="O28" r:id="rId5" xr:uid="{317EB5F9-04D3-4290-B500-1DB7E63ABC3F}"/>
    <hyperlink ref="O33" r:id="rId6" xr:uid="{92F611CD-91FA-43CA-A125-9AAA89C0BA7B}"/>
    <hyperlink ref="O26" r:id="rId7" xr:uid="{57C841A1-5008-4189-B535-BA036E9953B2}"/>
    <hyperlink ref="O31" r:id="rId8" xr:uid="{23D855ED-6FC1-485A-92A1-D50231E98AA0}"/>
  </hyperlinks>
  <pageMargins left="0.5" right="0.5" top="0.5" bottom="0.5" header="0" footer="0"/>
  <pageSetup orientation="landscape" horizontalDpi="300" verticalDpi="300" r:id="rId9"/>
  <headerFooter alignWithMargins="0"/>
  <drawing r:id="rId10"/>
  <legacyDrawing r:id="rId1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9" r:id="rId12" name="Button 7">
              <controlPr defaultSize="0" print="0" autoFill="0" autoPict="0" macro="[0]!Module2.auto_sort_customers">
                <anchor moveWithCells="1" sizeWithCells="1">
                  <from>
                    <xdr:col>16</xdr:col>
                    <xdr:colOff>480060</xdr:colOff>
                    <xdr:row>12</xdr:row>
                    <xdr:rowOff>15240</xdr:rowOff>
                  </from>
                  <to>
                    <xdr:col>20</xdr:col>
                    <xdr:colOff>304800</xdr:colOff>
                    <xdr:row>17</xdr:row>
                    <xdr:rowOff>53340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4D0773-CECE-45AB-A3E2-6A011FB344AF}">
          <x14:formula1>
            <xm:f>Data!$A$14:$A$19</xm:f>
          </x14:formula1>
          <xm:sqref>L2:L115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C6A5-B9E6-4642-8F07-C885E2BFECFE}">
  <sheetPr codeName="Sheet7"/>
  <dimension ref="A1:K178"/>
  <sheetViews>
    <sheetView workbookViewId="0">
      <selection activeCell="I13" sqref="I13"/>
    </sheetView>
  </sheetViews>
  <sheetFormatPr defaultRowHeight="13.2"/>
  <cols>
    <col min="1" max="1" width="12.33203125" bestFit="1" customWidth="1"/>
    <col min="2" max="2" width="21" bestFit="1" customWidth="1"/>
    <col min="3" max="3" width="7.88671875" bestFit="1" customWidth="1"/>
    <col min="4" max="4" width="4.44140625" bestFit="1" customWidth="1"/>
    <col min="5" max="5" width="6" bestFit="1" customWidth="1"/>
    <col min="6" max="6" width="22.5546875" bestFit="1" customWidth="1"/>
    <col min="7" max="7" width="12.33203125" bestFit="1" customWidth="1"/>
    <col min="8" max="8" width="7" bestFit="1" customWidth="1"/>
    <col min="9" max="9" width="8" bestFit="1" customWidth="1"/>
    <col min="10" max="10" width="11.5546875" customWidth="1"/>
    <col min="11" max="11" width="8.33203125" customWidth="1"/>
  </cols>
  <sheetData>
    <row r="1" spans="1:11" ht="21.6" thickBot="1">
      <c r="A1" s="33" t="s">
        <v>73</v>
      </c>
      <c r="B1" s="33" t="s">
        <v>75</v>
      </c>
      <c r="C1" s="34" t="s">
        <v>76</v>
      </c>
      <c r="D1" s="34" t="s">
        <v>77</v>
      </c>
      <c r="E1" s="32" t="s">
        <v>78</v>
      </c>
      <c r="F1" s="48" t="s">
        <v>189</v>
      </c>
      <c r="G1" s="48" t="s">
        <v>190</v>
      </c>
      <c r="H1" s="48" t="s">
        <v>191</v>
      </c>
      <c r="I1" s="32" t="s">
        <v>226</v>
      </c>
      <c r="J1" s="48" t="s">
        <v>227</v>
      </c>
      <c r="K1" s="108" t="s">
        <v>228</v>
      </c>
    </row>
    <row r="2" spans="1:11" ht="15" thickTop="1">
      <c r="A2" s="70"/>
      <c r="B2" t="str">
        <f>IFERROR(VLOOKUP($A2,Customer_Data!$1:$1048576,3,TRUE), "")</f>
        <v/>
      </c>
      <c r="C2" t="str">
        <f>IFERROR(VLOOKUP($A2,Customer_Data!$1:$1048576,4,TRUE), "")</f>
        <v/>
      </c>
      <c r="D2" t="str">
        <f>IFERROR(VLOOKUP($A2,Customer_Data!$1:$1048576,5,TRUE), "")</f>
        <v/>
      </c>
      <c r="E2" t="str">
        <f>IFERROR(VLOOKUP($A2,Customer_Data!$1:$1048576,6,TRUE), "")</f>
        <v/>
      </c>
      <c r="F2" t="str">
        <f>IFERROR(VLOOKUP($A2,Customer_Data!$1:$1048576,10,TRUE), "")</f>
        <v/>
      </c>
      <c r="G2" t="str">
        <f>IFERROR(VLOOKUP($A2,Customer_Data!$1:$1048576,11,TRUE), "")</f>
        <v/>
      </c>
      <c r="H2" t="str">
        <f>IFERROR(VLOOKUP($A2,Customer_Data!$1:$1048576,12,TRUE), "")</f>
        <v/>
      </c>
      <c r="J2" s="74"/>
    </row>
    <row r="3" spans="1:11" ht="14.4">
      <c r="A3" s="70"/>
      <c r="B3" t="str">
        <f>IFERROR(VLOOKUP($A3,Customer_Data!$1:$1048576,3,TRUE), "")</f>
        <v/>
      </c>
      <c r="C3" t="str">
        <f>IFERROR(VLOOKUP($A3,Customer_Data!$1:$1048576,4,TRUE), "")</f>
        <v/>
      </c>
      <c r="D3" t="str">
        <f>IFERROR(VLOOKUP($A3,Customer_Data!$1:$1048576,5,TRUE), "")</f>
        <v/>
      </c>
      <c r="E3" t="str">
        <f>IFERROR(VLOOKUP($A3,Customer_Data!$1:$1048576,6,TRUE), "")</f>
        <v/>
      </c>
      <c r="F3" t="str">
        <f>IFERROR(VLOOKUP($A3,Customer_Data!$1:$1048576,10,TRUE), "")</f>
        <v/>
      </c>
      <c r="G3" t="str">
        <f>IFERROR(VLOOKUP($A3,Customer_Data!$1:$1048576,11,TRUE), "")</f>
        <v/>
      </c>
      <c r="H3" t="str">
        <f>IFERROR(VLOOKUP($A3,Customer_Data!$1:$1048576,12,TRUE), "")</f>
        <v/>
      </c>
      <c r="J3" s="74"/>
    </row>
    <row r="4" spans="1:11">
      <c r="B4" t="str">
        <f>IFERROR(VLOOKUP($A4,Customer_Data!$1:$1048576,3,TRUE), "")</f>
        <v/>
      </c>
      <c r="C4" t="str">
        <f>IFERROR(VLOOKUP($A4,Customer_Data!$1:$1048576,4,TRUE), "")</f>
        <v/>
      </c>
      <c r="D4" t="str">
        <f>IFERROR(VLOOKUP($A4,Customer_Data!$1:$1048576,5,TRUE), "")</f>
        <v/>
      </c>
      <c r="E4" t="str">
        <f>IFERROR(VLOOKUP($A4,Customer_Data!$1:$1048576,6,TRUE), "")</f>
        <v/>
      </c>
      <c r="F4" t="str">
        <f>IFERROR(VLOOKUP($A4,Customer_Data!$1:$1048576,10,TRUE), "")</f>
        <v/>
      </c>
      <c r="G4" t="str">
        <f>IFERROR(VLOOKUP($A4,Customer_Data!$1:$1048576,11,TRUE), "")</f>
        <v/>
      </c>
      <c r="H4" t="str">
        <f>IFERROR(VLOOKUP($A4,Customer_Data!$1:$1048576,12,TRUE), "")</f>
        <v/>
      </c>
    </row>
    <row r="5" spans="1:11">
      <c r="B5" t="str">
        <f>IFERROR(VLOOKUP($A5,Customer_Data!$1:$1048576,3,TRUE), "")</f>
        <v/>
      </c>
      <c r="C5" t="str">
        <f>IFERROR(VLOOKUP($A5,Customer_Data!$1:$1048576,4,TRUE), "")</f>
        <v/>
      </c>
      <c r="D5" t="str">
        <f>IFERROR(VLOOKUP($A5,Customer_Data!$1:$1048576,5,TRUE), "")</f>
        <v/>
      </c>
      <c r="E5" t="str">
        <f>IFERROR(VLOOKUP($A5,Customer_Data!$1:$1048576,6,TRUE), "")</f>
        <v/>
      </c>
      <c r="F5" t="str">
        <f>IFERROR(VLOOKUP($A5,Customer_Data!$1:$1048576,10,TRUE), "")</f>
        <v/>
      </c>
      <c r="G5" t="str">
        <f>IFERROR(VLOOKUP($A5,Customer_Data!$1:$1048576,11,TRUE), "")</f>
        <v/>
      </c>
      <c r="H5" t="str">
        <f>IFERROR(VLOOKUP($A5,Customer_Data!$1:$1048576,12,TRUE), "")</f>
        <v/>
      </c>
    </row>
    <row r="6" spans="1:11">
      <c r="B6" t="str">
        <f>IFERROR(VLOOKUP($A6,Customer_Data!$1:$1048576,3,TRUE), "")</f>
        <v/>
      </c>
      <c r="C6" t="str">
        <f>IFERROR(VLOOKUP($A6,Customer_Data!$1:$1048576,4,TRUE), "")</f>
        <v/>
      </c>
      <c r="D6" t="str">
        <f>IFERROR(VLOOKUP($A6,Customer_Data!$1:$1048576,5,TRUE), "")</f>
        <v/>
      </c>
      <c r="E6" t="str">
        <f>IFERROR(VLOOKUP($A6,Customer_Data!$1:$1048576,6,TRUE), "")</f>
        <v/>
      </c>
      <c r="F6" t="str">
        <f>IFERROR(VLOOKUP($A6,Customer_Data!$1:$1048576,10,TRUE), "")</f>
        <v/>
      </c>
      <c r="G6" t="str">
        <f>IFERROR(VLOOKUP($A6,Customer_Data!$1:$1048576,11,TRUE), "")</f>
        <v/>
      </c>
      <c r="H6" t="str">
        <f>IFERROR(VLOOKUP($A6,Customer_Data!$1:$1048576,12,TRUE), "")</f>
        <v/>
      </c>
    </row>
    <row r="7" spans="1:11">
      <c r="B7" t="str">
        <f>IFERROR(VLOOKUP($A7,Customer_Data!$1:$1048576,3,TRUE), "")</f>
        <v/>
      </c>
      <c r="C7" t="str">
        <f>IFERROR(VLOOKUP($A7,Customer_Data!$1:$1048576,4,TRUE), "")</f>
        <v/>
      </c>
      <c r="D7" t="str">
        <f>IFERROR(VLOOKUP($A7,Customer_Data!$1:$1048576,5,TRUE), "")</f>
        <v/>
      </c>
      <c r="E7" t="str">
        <f>IFERROR(VLOOKUP($A7,Customer_Data!$1:$1048576,6,TRUE), "")</f>
        <v/>
      </c>
      <c r="F7" t="str">
        <f>IFERROR(VLOOKUP($A7,Customer_Data!$1:$1048576,10,TRUE), "")</f>
        <v/>
      </c>
      <c r="G7" t="str">
        <f>IFERROR(VLOOKUP($A7,Customer_Data!$1:$1048576,11,TRUE), "")</f>
        <v/>
      </c>
      <c r="H7" t="str">
        <f>IFERROR(VLOOKUP($A7,Customer_Data!$1:$1048576,12,TRUE), "")</f>
        <v/>
      </c>
    </row>
    <row r="8" spans="1:11">
      <c r="B8" t="str">
        <f>IFERROR(VLOOKUP($A8,Customer_Data!$1:$1048576,3,TRUE), "")</f>
        <v/>
      </c>
      <c r="C8" t="str">
        <f>IFERROR(VLOOKUP($A8,Customer_Data!$1:$1048576,4,TRUE), "")</f>
        <v/>
      </c>
      <c r="D8" t="str">
        <f>IFERROR(VLOOKUP($A8,Customer_Data!$1:$1048576,5,TRUE), "")</f>
        <v/>
      </c>
      <c r="E8" t="str">
        <f>IFERROR(VLOOKUP($A8,Customer_Data!$1:$1048576,6,TRUE), "")</f>
        <v/>
      </c>
      <c r="F8" t="str">
        <f>IFERROR(VLOOKUP($A8,Customer_Data!$1:$1048576,10,TRUE), "")</f>
        <v/>
      </c>
      <c r="G8" t="str">
        <f>IFERROR(VLOOKUP($A8,Customer_Data!$1:$1048576,11,TRUE), "")</f>
        <v/>
      </c>
      <c r="H8" t="str">
        <f>IFERROR(VLOOKUP($A8,Customer_Data!$1:$1048576,12,TRUE), "")</f>
        <v/>
      </c>
    </row>
    <row r="9" spans="1:11">
      <c r="B9" t="str">
        <f>IFERROR(VLOOKUP($A9,Customer_Data!$1:$1048576,3,TRUE), "")</f>
        <v/>
      </c>
      <c r="C9" t="str">
        <f>IFERROR(VLOOKUP($A9,Customer_Data!$1:$1048576,4,TRUE), "")</f>
        <v/>
      </c>
      <c r="D9" t="str">
        <f>IFERROR(VLOOKUP($A9,Customer_Data!$1:$1048576,5,TRUE), "")</f>
        <v/>
      </c>
      <c r="E9" t="str">
        <f>IFERROR(VLOOKUP($A9,Customer_Data!$1:$1048576,6,TRUE), "")</f>
        <v/>
      </c>
      <c r="F9" t="str">
        <f>IFERROR(VLOOKUP($A9,Customer_Data!$1:$1048576,10,TRUE), "")</f>
        <v/>
      </c>
      <c r="G9" t="str">
        <f>IFERROR(VLOOKUP($A9,Customer_Data!$1:$1048576,11,TRUE), "")</f>
        <v/>
      </c>
      <c r="H9" t="str">
        <f>IFERROR(VLOOKUP($A9,Customer_Data!$1:$1048576,12,TRUE), "")</f>
        <v/>
      </c>
    </row>
    <row r="10" spans="1:11">
      <c r="B10" t="str">
        <f>IFERROR(VLOOKUP($A10,Customer_Data!$1:$1048576,3,TRUE), "")</f>
        <v/>
      </c>
      <c r="C10" t="str">
        <f>IFERROR(VLOOKUP($A10,Customer_Data!$1:$1048576,4,TRUE), "")</f>
        <v/>
      </c>
      <c r="D10" t="str">
        <f>IFERROR(VLOOKUP($A10,Customer_Data!$1:$1048576,5,TRUE), "")</f>
        <v/>
      </c>
      <c r="E10" t="str">
        <f>IFERROR(VLOOKUP($A10,Customer_Data!$1:$1048576,6,TRUE), "")</f>
        <v/>
      </c>
      <c r="F10" t="str">
        <f>IFERROR(VLOOKUP($A10,Customer_Data!$1:$1048576,10,TRUE), "")</f>
        <v/>
      </c>
      <c r="G10" t="str">
        <f>IFERROR(VLOOKUP($A10,Customer_Data!$1:$1048576,11,TRUE), "")</f>
        <v/>
      </c>
      <c r="H10" t="str">
        <f>IFERROR(VLOOKUP($A10,Customer_Data!$1:$1048576,12,TRUE), "")</f>
        <v/>
      </c>
    </row>
    <row r="11" spans="1:11">
      <c r="B11" t="str">
        <f>IFERROR(VLOOKUP($A11,Customer_Data!$1:$1048576,3,TRUE), "")</f>
        <v/>
      </c>
      <c r="C11" t="str">
        <f>IFERROR(VLOOKUP($A11,Customer_Data!$1:$1048576,4,TRUE), "")</f>
        <v/>
      </c>
      <c r="D11" t="str">
        <f>IFERROR(VLOOKUP($A11,Customer_Data!$1:$1048576,5,TRUE), "")</f>
        <v/>
      </c>
      <c r="E11" t="str">
        <f>IFERROR(VLOOKUP($A11,Customer_Data!$1:$1048576,6,TRUE), "")</f>
        <v/>
      </c>
      <c r="F11" t="str">
        <f>IFERROR(VLOOKUP($A11,Customer_Data!$1:$1048576,10,TRUE), "")</f>
        <v/>
      </c>
      <c r="G11" t="str">
        <f>IFERROR(VLOOKUP($A11,Customer_Data!$1:$1048576,11,TRUE), "")</f>
        <v/>
      </c>
      <c r="H11" t="str">
        <f>IFERROR(VLOOKUP($A11,Customer_Data!$1:$1048576,12,TRUE), "")</f>
        <v/>
      </c>
    </row>
    <row r="12" spans="1:11">
      <c r="B12" t="str">
        <f>IFERROR(VLOOKUP($A12,Customer_Data!$1:$1048576,3,TRUE), "")</f>
        <v/>
      </c>
      <c r="C12" t="str">
        <f>IFERROR(VLOOKUP($A12,Customer_Data!$1:$1048576,4,TRUE), "")</f>
        <v/>
      </c>
      <c r="D12" t="str">
        <f>IFERROR(VLOOKUP($A12,Customer_Data!$1:$1048576,5,TRUE), "")</f>
        <v/>
      </c>
      <c r="E12" t="str">
        <f>IFERROR(VLOOKUP($A12,Customer_Data!$1:$1048576,6,TRUE), "")</f>
        <v/>
      </c>
      <c r="F12" t="str">
        <f>IFERROR(VLOOKUP($A12,Customer_Data!$1:$1048576,10,TRUE), "")</f>
        <v/>
      </c>
      <c r="G12" t="str">
        <f>IFERROR(VLOOKUP($A12,Customer_Data!$1:$1048576,11,TRUE), "")</f>
        <v/>
      </c>
      <c r="H12" t="str">
        <f>IFERROR(VLOOKUP($A12,Customer_Data!$1:$1048576,12,TRUE), "")</f>
        <v/>
      </c>
    </row>
    <row r="13" spans="1:11">
      <c r="B13" t="str">
        <f>IFERROR(VLOOKUP($A13,Customer_Data!$1:$1048576,3,TRUE), "")</f>
        <v/>
      </c>
      <c r="C13" t="str">
        <f>IFERROR(VLOOKUP($A13,Customer_Data!$1:$1048576,4,TRUE), "")</f>
        <v/>
      </c>
      <c r="D13" t="str">
        <f>IFERROR(VLOOKUP($A13,Customer_Data!$1:$1048576,5,TRUE), "")</f>
        <v/>
      </c>
      <c r="E13" t="str">
        <f>IFERROR(VLOOKUP($A13,Customer_Data!$1:$1048576,6,TRUE), "")</f>
        <v/>
      </c>
      <c r="F13" t="str">
        <f>IFERROR(VLOOKUP($A13,Customer_Data!$1:$1048576,10,TRUE), "")</f>
        <v/>
      </c>
      <c r="G13" t="str">
        <f>IFERROR(VLOOKUP($A13,Customer_Data!$1:$1048576,11,TRUE), "")</f>
        <v/>
      </c>
      <c r="H13" t="str">
        <f>IFERROR(VLOOKUP($A13,Customer_Data!$1:$1048576,12,TRUE), "")</f>
        <v/>
      </c>
    </row>
    <row r="14" spans="1:11">
      <c r="B14" t="str">
        <f>IFERROR(VLOOKUP($A14,Customer_Data!$1:$1048576,3,TRUE), "")</f>
        <v/>
      </c>
      <c r="C14" t="str">
        <f>IFERROR(VLOOKUP($A14,Customer_Data!$1:$1048576,4,TRUE), "")</f>
        <v/>
      </c>
      <c r="D14" t="str">
        <f>IFERROR(VLOOKUP($A14,Customer_Data!$1:$1048576,5,TRUE), "")</f>
        <v/>
      </c>
      <c r="E14" t="str">
        <f>IFERROR(VLOOKUP($A14,Customer_Data!$1:$1048576,6,TRUE), "")</f>
        <v/>
      </c>
      <c r="F14" t="str">
        <f>IFERROR(VLOOKUP($A14,Customer_Data!$1:$1048576,10,TRUE), "")</f>
        <v/>
      </c>
      <c r="G14" t="str">
        <f>IFERROR(VLOOKUP($A14,Customer_Data!$1:$1048576,11,TRUE), "")</f>
        <v/>
      </c>
      <c r="H14" t="str">
        <f>IFERROR(VLOOKUP($A14,Customer_Data!$1:$1048576,12,TRUE), "")</f>
        <v/>
      </c>
    </row>
    <row r="15" spans="1:11">
      <c r="B15" t="str">
        <f>IFERROR(VLOOKUP($A15,Customer_Data!$1:$1048576,3,TRUE), "")</f>
        <v/>
      </c>
      <c r="C15" t="str">
        <f>IFERROR(VLOOKUP($A15,Customer_Data!$1:$1048576,4,TRUE), "")</f>
        <v/>
      </c>
      <c r="D15" t="str">
        <f>IFERROR(VLOOKUP($A15,Customer_Data!$1:$1048576,5,TRUE), "")</f>
        <v/>
      </c>
      <c r="E15" t="str">
        <f>IFERROR(VLOOKUP($A15,Customer_Data!$1:$1048576,6,TRUE), "")</f>
        <v/>
      </c>
      <c r="F15" t="str">
        <f>IFERROR(VLOOKUP($A15,Customer_Data!$1:$1048576,10,TRUE), "")</f>
        <v/>
      </c>
      <c r="G15" t="str">
        <f>IFERROR(VLOOKUP($A15,Customer_Data!$1:$1048576,11,TRUE), "")</f>
        <v/>
      </c>
      <c r="H15" t="str">
        <f>IFERROR(VLOOKUP($A15,Customer_Data!$1:$1048576,12,TRUE), "")</f>
        <v/>
      </c>
    </row>
    <row r="16" spans="1:11">
      <c r="B16" t="str">
        <f>IFERROR(VLOOKUP($A16,Customer_Data!$1:$1048576,3,TRUE), "")</f>
        <v/>
      </c>
      <c r="C16" t="str">
        <f>IFERROR(VLOOKUP($A16,Customer_Data!$1:$1048576,4,TRUE), "")</f>
        <v/>
      </c>
      <c r="D16" t="str">
        <f>IFERROR(VLOOKUP($A16,Customer_Data!$1:$1048576,5,TRUE), "")</f>
        <v/>
      </c>
      <c r="E16" t="str">
        <f>IFERROR(VLOOKUP($A16,Customer_Data!$1:$1048576,6,TRUE), "")</f>
        <v/>
      </c>
      <c r="F16" t="str">
        <f>IFERROR(VLOOKUP($A16,Customer_Data!$1:$1048576,10,TRUE), "")</f>
        <v/>
      </c>
      <c r="G16" t="str">
        <f>IFERROR(VLOOKUP($A16,Customer_Data!$1:$1048576,11,TRUE), "")</f>
        <v/>
      </c>
      <c r="H16" t="str">
        <f>IFERROR(VLOOKUP($A16,Customer_Data!$1:$1048576,12,TRUE), "")</f>
        <v/>
      </c>
    </row>
    <row r="17" spans="2:8">
      <c r="B17" t="str">
        <f>IFERROR(VLOOKUP($A17,Customer_Data!$1:$1048576,3,TRUE), "")</f>
        <v/>
      </c>
      <c r="C17" t="str">
        <f>IFERROR(VLOOKUP($A17,Customer_Data!$1:$1048576,4,TRUE), "")</f>
        <v/>
      </c>
      <c r="D17" t="str">
        <f>IFERROR(VLOOKUP($A17,Customer_Data!$1:$1048576,5,TRUE), "")</f>
        <v/>
      </c>
      <c r="E17" t="str">
        <f>IFERROR(VLOOKUP($A17,Customer_Data!$1:$1048576,6,TRUE), "")</f>
        <v/>
      </c>
      <c r="F17" t="str">
        <f>IFERROR(VLOOKUP($A17,Customer_Data!$1:$1048576,10,TRUE), "")</f>
        <v/>
      </c>
      <c r="G17" t="str">
        <f>IFERROR(VLOOKUP($A17,Customer_Data!$1:$1048576,11,TRUE), "")</f>
        <v/>
      </c>
      <c r="H17" t="str">
        <f>IFERROR(VLOOKUP($A17,Customer_Data!$1:$1048576,12,TRUE), "")</f>
        <v/>
      </c>
    </row>
    <row r="18" spans="2:8">
      <c r="B18" t="str">
        <f>IFERROR(VLOOKUP($A18,Customer_Data!$1:$1048576,3,TRUE), "")</f>
        <v/>
      </c>
      <c r="C18" t="str">
        <f>IFERROR(VLOOKUP($A18,Customer_Data!$1:$1048576,4,TRUE), "")</f>
        <v/>
      </c>
      <c r="D18" t="str">
        <f>IFERROR(VLOOKUP($A18,Customer_Data!$1:$1048576,5,TRUE), "")</f>
        <v/>
      </c>
      <c r="E18" t="str">
        <f>IFERROR(VLOOKUP($A18,Customer_Data!$1:$1048576,6,TRUE), "")</f>
        <v/>
      </c>
      <c r="F18" t="str">
        <f>IFERROR(VLOOKUP($A18,Customer_Data!$1:$1048576,10,TRUE), "")</f>
        <v/>
      </c>
      <c r="G18" t="str">
        <f>IFERROR(VLOOKUP($A18,Customer_Data!$1:$1048576,11,TRUE), "")</f>
        <v/>
      </c>
      <c r="H18" t="str">
        <f>IFERROR(VLOOKUP($A18,Customer_Data!$1:$1048576,12,TRUE), "")</f>
        <v/>
      </c>
    </row>
    <row r="19" spans="2:8">
      <c r="B19" t="str">
        <f>IFERROR(VLOOKUP($A19,Customer_Data!$1:$1048576,3,TRUE), "")</f>
        <v/>
      </c>
      <c r="C19" t="str">
        <f>IFERROR(VLOOKUP($A19,Customer_Data!$1:$1048576,4,TRUE), "")</f>
        <v/>
      </c>
      <c r="D19" t="str">
        <f>IFERROR(VLOOKUP($A19,Customer_Data!$1:$1048576,5,TRUE), "")</f>
        <v/>
      </c>
      <c r="E19" t="str">
        <f>IFERROR(VLOOKUP($A19,Customer_Data!$1:$1048576,6,TRUE), "")</f>
        <v/>
      </c>
      <c r="F19" t="str">
        <f>IFERROR(VLOOKUP($A19,Customer_Data!$1:$1048576,10,TRUE), "")</f>
        <v/>
      </c>
      <c r="G19" t="str">
        <f>IFERROR(VLOOKUP($A19,Customer_Data!$1:$1048576,11,TRUE), "")</f>
        <v/>
      </c>
      <c r="H19" t="str">
        <f>IFERROR(VLOOKUP($A19,Customer_Data!$1:$1048576,12,TRUE), "")</f>
        <v/>
      </c>
    </row>
    <row r="20" spans="2:8">
      <c r="B20" t="str">
        <f>IFERROR(VLOOKUP($A20,Customer_Data!$1:$1048576,3,TRUE), "")</f>
        <v/>
      </c>
      <c r="C20" t="str">
        <f>IFERROR(VLOOKUP($A20,Customer_Data!$1:$1048576,4,TRUE), "")</f>
        <v/>
      </c>
      <c r="D20" t="str">
        <f>IFERROR(VLOOKUP($A20,Customer_Data!$1:$1048576,5,TRUE), "")</f>
        <v/>
      </c>
      <c r="E20" t="str">
        <f>IFERROR(VLOOKUP($A20,Customer_Data!$1:$1048576,6,TRUE), "")</f>
        <v/>
      </c>
      <c r="F20" t="str">
        <f>IFERROR(VLOOKUP($A20,Customer_Data!$1:$1048576,10,TRUE), "")</f>
        <v/>
      </c>
      <c r="G20" t="str">
        <f>IFERROR(VLOOKUP($A20,Customer_Data!$1:$1048576,11,TRUE), "")</f>
        <v/>
      </c>
      <c r="H20" t="str">
        <f>IFERROR(VLOOKUP($A20,Customer_Data!$1:$1048576,12,TRUE), "")</f>
        <v/>
      </c>
    </row>
    <row r="21" spans="2:8">
      <c r="B21" t="str">
        <f>IFERROR(VLOOKUP($A21,Customer_Data!$1:$1048576,3,TRUE), "")</f>
        <v/>
      </c>
      <c r="C21" t="str">
        <f>IFERROR(VLOOKUP($A21,Customer_Data!$1:$1048576,4,TRUE), "")</f>
        <v/>
      </c>
      <c r="D21" t="str">
        <f>IFERROR(VLOOKUP($A21,Customer_Data!$1:$1048576,5,TRUE), "")</f>
        <v/>
      </c>
      <c r="E21" t="str">
        <f>IFERROR(VLOOKUP($A21,Customer_Data!$1:$1048576,6,TRUE), "")</f>
        <v/>
      </c>
      <c r="F21" t="str">
        <f>IFERROR(VLOOKUP($A21,Customer_Data!$1:$1048576,10,TRUE), "")</f>
        <v/>
      </c>
      <c r="G21" t="str">
        <f>IFERROR(VLOOKUP($A21,Customer_Data!$1:$1048576,11,TRUE), "")</f>
        <v/>
      </c>
      <c r="H21" t="str">
        <f>IFERROR(VLOOKUP($A21,Customer_Data!$1:$1048576,12,TRUE), "")</f>
        <v/>
      </c>
    </row>
    <row r="22" spans="2:8">
      <c r="B22" t="str">
        <f>IFERROR(VLOOKUP($A22,Customer_Data!$1:$1048576,3,TRUE), "")</f>
        <v/>
      </c>
      <c r="C22" t="str">
        <f>IFERROR(VLOOKUP($A22,Customer_Data!$1:$1048576,4,TRUE), "")</f>
        <v/>
      </c>
      <c r="D22" t="str">
        <f>IFERROR(VLOOKUP($A22,Customer_Data!$1:$1048576,5,TRUE), "")</f>
        <v/>
      </c>
      <c r="E22" t="str">
        <f>IFERROR(VLOOKUP($A22,Customer_Data!$1:$1048576,6,TRUE), "")</f>
        <v/>
      </c>
      <c r="F22" t="str">
        <f>IFERROR(VLOOKUP($A22,Customer_Data!$1:$1048576,10,TRUE), "")</f>
        <v/>
      </c>
      <c r="G22" t="str">
        <f>IFERROR(VLOOKUP($A22,Customer_Data!$1:$1048576,11,TRUE), "")</f>
        <v/>
      </c>
      <c r="H22" t="str">
        <f>IFERROR(VLOOKUP($A22,Customer_Data!$1:$1048576,12,TRUE), "")</f>
        <v/>
      </c>
    </row>
    <row r="23" spans="2:8">
      <c r="B23" t="str">
        <f>IFERROR(VLOOKUP($A23,Customer_Data!$1:$1048576,3,TRUE), "")</f>
        <v/>
      </c>
      <c r="C23" t="str">
        <f>IFERROR(VLOOKUP($A23,Customer_Data!$1:$1048576,4,TRUE), "")</f>
        <v/>
      </c>
      <c r="D23" t="str">
        <f>IFERROR(VLOOKUP($A23,Customer_Data!$1:$1048576,5,TRUE), "")</f>
        <v/>
      </c>
      <c r="E23" t="str">
        <f>IFERROR(VLOOKUP($A23,Customer_Data!$1:$1048576,6,TRUE), "")</f>
        <v/>
      </c>
      <c r="F23" t="str">
        <f>IFERROR(VLOOKUP($A23,Customer_Data!$1:$1048576,10,TRUE), "")</f>
        <v/>
      </c>
      <c r="G23" t="str">
        <f>IFERROR(VLOOKUP($A23,Customer_Data!$1:$1048576,11,TRUE), "")</f>
        <v/>
      </c>
      <c r="H23" t="str">
        <f>IFERROR(VLOOKUP($A23,Customer_Data!$1:$1048576,12,TRUE), "")</f>
        <v/>
      </c>
    </row>
    <row r="24" spans="2:8">
      <c r="B24" t="str">
        <f>IFERROR(VLOOKUP($A24,Customer_Data!$1:$1048576,3,TRUE), "")</f>
        <v/>
      </c>
      <c r="C24" t="str">
        <f>IFERROR(VLOOKUP($A24,Customer_Data!$1:$1048576,4,TRUE), "")</f>
        <v/>
      </c>
      <c r="D24" t="str">
        <f>IFERROR(VLOOKUP($A24,Customer_Data!$1:$1048576,5,TRUE), "")</f>
        <v/>
      </c>
      <c r="E24" t="str">
        <f>IFERROR(VLOOKUP($A24,Customer_Data!$1:$1048576,6,TRUE), "")</f>
        <v/>
      </c>
      <c r="F24" t="str">
        <f>IFERROR(VLOOKUP($A24,Customer_Data!$1:$1048576,10,TRUE), "")</f>
        <v/>
      </c>
      <c r="G24" t="str">
        <f>IFERROR(VLOOKUP($A24,Customer_Data!$1:$1048576,11,TRUE), "")</f>
        <v/>
      </c>
      <c r="H24" t="str">
        <f>IFERROR(VLOOKUP($A24,Customer_Data!$1:$1048576,12,TRUE), "")</f>
        <v/>
      </c>
    </row>
    <row r="25" spans="2:8">
      <c r="B25" t="str">
        <f>IFERROR(VLOOKUP($A25,Customer_Data!$1:$1048576,3,TRUE), "")</f>
        <v/>
      </c>
      <c r="C25" t="str">
        <f>IFERROR(VLOOKUP($A25,Customer_Data!$1:$1048576,4,TRUE), "")</f>
        <v/>
      </c>
      <c r="D25" t="str">
        <f>IFERROR(VLOOKUP($A25,Customer_Data!$1:$1048576,5,TRUE), "")</f>
        <v/>
      </c>
      <c r="E25" t="str">
        <f>IFERROR(VLOOKUP($A25,Customer_Data!$1:$1048576,6,TRUE), "")</f>
        <v/>
      </c>
      <c r="F25" t="str">
        <f>IFERROR(VLOOKUP($A25,Customer_Data!$1:$1048576,10,TRUE), "")</f>
        <v/>
      </c>
      <c r="G25" t="str">
        <f>IFERROR(VLOOKUP($A25,Customer_Data!$1:$1048576,11,TRUE), "")</f>
        <v/>
      </c>
      <c r="H25" t="str">
        <f>IFERROR(VLOOKUP($A25,Customer_Data!$1:$1048576,12,TRUE), "")</f>
        <v/>
      </c>
    </row>
    <row r="26" spans="2:8">
      <c r="B26" t="str">
        <f>IFERROR(VLOOKUP($A26,Customer_Data!$1:$1048576,3,TRUE), "")</f>
        <v/>
      </c>
      <c r="C26" t="str">
        <f>IFERROR(VLOOKUP($A26,Customer_Data!$1:$1048576,4,TRUE), "")</f>
        <v/>
      </c>
      <c r="D26" t="str">
        <f>IFERROR(VLOOKUP($A26,Customer_Data!$1:$1048576,5,TRUE), "")</f>
        <v/>
      </c>
      <c r="E26" t="str">
        <f>IFERROR(VLOOKUP($A26,Customer_Data!$1:$1048576,6,TRUE), "")</f>
        <v/>
      </c>
      <c r="F26" t="str">
        <f>IFERROR(VLOOKUP($A26,Customer_Data!$1:$1048576,10,TRUE), "")</f>
        <v/>
      </c>
      <c r="G26" t="str">
        <f>IFERROR(VLOOKUP($A26,Customer_Data!$1:$1048576,11,TRUE), "")</f>
        <v/>
      </c>
      <c r="H26" t="str">
        <f>IFERROR(VLOOKUP($A26,Customer_Data!$1:$1048576,12,TRUE), "")</f>
        <v/>
      </c>
    </row>
    <row r="27" spans="2:8">
      <c r="B27" t="str">
        <f>IFERROR(VLOOKUP($A27,Customer_Data!$1:$1048576,3,TRUE), "")</f>
        <v/>
      </c>
      <c r="C27" t="str">
        <f>IFERROR(VLOOKUP($A27,Customer_Data!$1:$1048576,4,TRUE), "")</f>
        <v/>
      </c>
      <c r="D27" t="str">
        <f>IFERROR(VLOOKUP($A27,Customer_Data!$1:$1048576,5,TRUE), "")</f>
        <v/>
      </c>
      <c r="E27" t="str">
        <f>IFERROR(VLOOKUP($A27,Customer_Data!$1:$1048576,6,TRUE), "")</f>
        <v/>
      </c>
      <c r="F27" t="str">
        <f>IFERROR(VLOOKUP($A27,Customer_Data!$1:$1048576,10,TRUE), "")</f>
        <v/>
      </c>
      <c r="G27" t="str">
        <f>IFERROR(VLOOKUP($A27,Customer_Data!$1:$1048576,11,TRUE), "")</f>
        <v/>
      </c>
      <c r="H27" t="str">
        <f>IFERROR(VLOOKUP($A27,Customer_Data!$1:$1048576,12,TRUE), "")</f>
        <v/>
      </c>
    </row>
    <row r="28" spans="2:8">
      <c r="B28" t="str">
        <f>IFERROR(VLOOKUP($A28,Customer_Data!$1:$1048576,3,TRUE), "")</f>
        <v/>
      </c>
      <c r="C28" t="str">
        <f>IFERROR(VLOOKUP($A28,Customer_Data!$1:$1048576,4,TRUE), "")</f>
        <v/>
      </c>
      <c r="D28" t="str">
        <f>IFERROR(VLOOKUP($A28,Customer_Data!$1:$1048576,5,TRUE), "")</f>
        <v/>
      </c>
      <c r="E28" t="str">
        <f>IFERROR(VLOOKUP($A28,Customer_Data!$1:$1048576,6,TRUE), "")</f>
        <v/>
      </c>
      <c r="F28" t="str">
        <f>IFERROR(VLOOKUP($A28,Customer_Data!$1:$1048576,10,TRUE), "")</f>
        <v/>
      </c>
      <c r="G28" t="str">
        <f>IFERROR(VLOOKUP($A28,Customer_Data!$1:$1048576,11,TRUE), "")</f>
        <v/>
      </c>
      <c r="H28" t="str">
        <f>IFERROR(VLOOKUP($A28,Customer_Data!$1:$1048576,12,TRUE), "")</f>
        <v/>
      </c>
    </row>
    <row r="29" spans="2:8">
      <c r="B29" t="str">
        <f>IFERROR(VLOOKUP($A29,Customer_Data!$1:$1048576,3,TRUE), "")</f>
        <v/>
      </c>
      <c r="C29" t="str">
        <f>IFERROR(VLOOKUP($A29,Customer_Data!$1:$1048576,4,TRUE), "")</f>
        <v/>
      </c>
      <c r="D29" t="str">
        <f>IFERROR(VLOOKUP($A29,Customer_Data!$1:$1048576,5,TRUE), "")</f>
        <v/>
      </c>
      <c r="E29" t="str">
        <f>IFERROR(VLOOKUP($A29,Customer_Data!$1:$1048576,6,TRUE), "")</f>
        <v/>
      </c>
      <c r="F29" t="str">
        <f>IFERROR(VLOOKUP($A29,Customer_Data!$1:$1048576,10,TRUE), "")</f>
        <v/>
      </c>
      <c r="G29" t="str">
        <f>IFERROR(VLOOKUP($A29,Customer_Data!$1:$1048576,11,TRUE), "")</f>
        <v/>
      </c>
      <c r="H29" t="str">
        <f>IFERROR(VLOOKUP($A29,Customer_Data!$1:$1048576,12,TRUE), "")</f>
        <v/>
      </c>
    </row>
    <row r="30" spans="2:8">
      <c r="B30" t="str">
        <f>IFERROR(VLOOKUP($A30,Customer_Data!$1:$1048576,3,TRUE), "")</f>
        <v/>
      </c>
      <c r="C30" t="str">
        <f>IFERROR(VLOOKUP($A30,Customer_Data!$1:$1048576,4,TRUE), "")</f>
        <v/>
      </c>
      <c r="D30" t="str">
        <f>IFERROR(VLOOKUP($A30,Customer_Data!$1:$1048576,5,TRUE), "")</f>
        <v/>
      </c>
      <c r="E30" t="str">
        <f>IFERROR(VLOOKUP($A30,Customer_Data!$1:$1048576,6,TRUE), "")</f>
        <v/>
      </c>
      <c r="F30" t="str">
        <f>IFERROR(VLOOKUP($A30,Customer_Data!$1:$1048576,10,TRUE), "")</f>
        <v/>
      </c>
      <c r="G30" t="str">
        <f>IFERROR(VLOOKUP($A30,Customer_Data!$1:$1048576,11,TRUE), "")</f>
        <v/>
      </c>
      <c r="H30" t="str">
        <f>IFERROR(VLOOKUP($A30,Customer_Data!$1:$1048576,12,TRUE), "")</f>
        <v/>
      </c>
    </row>
    <row r="31" spans="2:8">
      <c r="B31" t="str">
        <f>IFERROR(VLOOKUP($A31,Customer_Data!$1:$1048576,3,TRUE), "")</f>
        <v/>
      </c>
      <c r="C31" t="str">
        <f>IFERROR(VLOOKUP($A31,Customer_Data!$1:$1048576,4,TRUE), "")</f>
        <v/>
      </c>
      <c r="D31" t="str">
        <f>IFERROR(VLOOKUP($A31,Customer_Data!$1:$1048576,5,TRUE), "")</f>
        <v/>
      </c>
      <c r="E31" t="str">
        <f>IFERROR(VLOOKUP($A31,Customer_Data!$1:$1048576,6,TRUE), "")</f>
        <v/>
      </c>
      <c r="F31" t="str">
        <f>IFERROR(VLOOKUP($A31,Customer_Data!$1:$1048576,10,TRUE), "")</f>
        <v/>
      </c>
      <c r="G31" t="str">
        <f>IFERROR(VLOOKUP($A31,Customer_Data!$1:$1048576,11,TRUE), "")</f>
        <v/>
      </c>
      <c r="H31" t="str">
        <f>IFERROR(VLOOKUP($A31,Customer_Data!$1:$1048576,12,TRUE), "")</f>
        <v/>
      </c>
    </row>
    <row r="32" spans="2:8">
      <c r="B32" t="str">
        <f>IFERROR(VLOOKUP($A32,Customer_Data!$1:$1048576,3,TRUE), "")</f>
        <v/>
      </c>
      <c r="C32" t="str">
        <f>IFERROR(VLOOKUP($A32,Customer_Data!$1:$1048576,4,TRUE), "")</f>
        <v/>
      </c>
      <c r="D32" t="str">
        <f>IFERROR(VLOOKUP($A32,Customer_Data!$1:$1048576,5,TRUE), "")</f>
        <v/>
      </c>
      <c r="E32" t="str">
        <f>IFERROR(VLOOKUP($A32,Customer_Data!$1:$1048576,6,TRUE), "")</f>
        <v/>
      </c>
      <c r="F32" t="str">
        <f>IFERROR(VLOOKUP($A32,Customer_Data!$1:$1048576,10,TRUE), "")</f>
        <v/>
      </c>
      <c r="G32" t="str">
        <f>IFERROR(VLOOKUP($A32,Customer_Data!$1:$1048576,11,TRUE), "")</f>
        <v/>
      </c>
      <c r="H32" t="str">
        <f>IFERROR(VLOOKUP($A32,Customer_Data!$1:$1048576,12,TRUE), "")</f>
        <v/>
      </c>
    </row>
    <row r="33" spans="2:8">
      <c r="B33" t="str">
        <f>IFERROR(VLOOKUP($A33,Customer_Data!$1:$1048576,3,TRUE), "")</f>
        <v/>
      </c>
      <c r="C33" t="str">
        <f>IFERROR(VLOOKUP($A33,Customer_Data!$1:$1048576,4,TRUE), "")</f>
        <v/>
      </c>
      <c r="D33" t="str">
        <f>IFERROR(VLOOKUP($A33,Customer_Data!$1:$1048576,5,TRUE), "")</f>
        <v/>
      </c>
      <c r="E33" t="str">
        <f>IFERROR(VLOOKUP($A33,Customer_Data!$1:$1048576,6,TRUE), "")</f>
        <v/>
      </c>
      <c r="F33" t="str">
        <f>IFERROR(VLOOKUP($A33,Customer_Data!$1:$1048576,10,TRUE), "")</f>
        <v/>
      </c>
      <c r="G33" t="str">
        <f>IFERROR(VLOOKUP($A33,Customer_Data!$1:$1048576,11,TRUE), "")</f>
        <v/>
      </c>
      <c r="H33" t="str">
        <f>IFERROR(VLOOKUP($A33,Customer_Data!$1:$1048576,12,TRUE), "")</f>
        <v/>
      </c>
    </row>
    <row r="34" spans="2:8">
      <c r="B34" t="str">
        <f>IFERROR(VLOOKUP($A34,Customer_Data!$1:$1048576,3,TRUE), "")</f>
        <v/>
      </c>
      <c r="C34" t="str">
        <f>IFERROR(VLOOKUP($A34,Customer_Data!$1:$1048576,4,TRUE), "")</f>
        <v/>
      </c>
      <c r="D34" t="str">
        <f>IFERROR(VLOOKUP($A34,Customer_Data!$1:$1048576,5,TRUE), "")</f>
        <v/>
      </c>
      <c r="E34" t="str">
        <f>IFERROR(VLOOKUP($A34,Customer_Data!$1:$1048576,6,TRUE), "")</f>
        <v/>
      </c>
      <c r="F34" t="str">
        <f>IFERROR(VLOOKUP($A34,Customer_Data!$1:$1048576,10,TRUE), "")</f>
        <v/>
      </c>
      <c r="G34" t="str">
        <f>IFERROR(VLOOKUP($A34,Customer_Data!$1:$1048576,11,TRUE), "")</f>
        <v/>
      </c>
      <c r="H34" t="str">
        <f>IFERROR(VLOOKUP($A34,Customer_Data!$1:$1048576,12,TRUE), "")</f>
        <v/>
      </c>
    </row>
    <row r="35" spans="2:8">
      <c r="B35" t="str">
        <f>IFERROR(VLOOKUP($A35,Customer_Data!$1:$1048576,3,TRUE), "")</f>
        <v/>
      </c>
      <c r="C35" t="str">
        <f>IFERROR(VLOOKUP($A35,Customer_Data!$1:$1048576,4,TRUE), "")</f>
        <v/>
      </c>
      <c r="D35" t="str">
        <f>IFERROR(VLOOKUP($A35,Customer_Data!$1:$1048576,5,TRUE), "")</f>
        <v/>
      </c>
      <c r="E35" t="str">
        <f>IFERROR(VLOOKUP($A35,Customer_Data!$1:$1048576,6,TRUE), "")</f>
        <v/>
      </c>
      <c r="F35" t="str">
        <f>IFERROR(VLOOKUP($A35,Customer_Data!$1:$1048576,10,TRUE), "")</f>
        <v/>
      </c>
      <c r="G35" t="str">
        <f>IFERROR(VLOOKUP($A35,Customer_Data!$1:$1048576,11,TRUE), "")</f>
        <v/>
      </c>
      <c r="H35" t="str">
        <f>IFERROR(VLOOKUP($A35,Customer_Data!$1:$1048576,12,TRUE), "")</f>
        <v/>
      </c>
    </row>
    <row r="36" spans="2:8">
      <c r="B36" t="str">
        <f>IFERROR(VLOOKUP($A36,Customer_Data!$1:$1048576,3,TRUE), "")</f>
        <v/>
      </c>
      <c r="C36" t="str">
        <f>IFERROR(VLOOKUP($A36,Customer_Data!$1:$1048576,4,TRUE), "")</f>
        <v/>
      </c>
      <c r="D36" t="str">
        <f>IFERROR(VLOOKUP($A36,Customer_Data!$1:$1048576,5,TRUE), "")</f>
        <v/>
      </c>
      <c r="E36" t="str">
        <f>IFERROR(VLOOKUP($A36,Customer_Data!$1:$1048576,6,TRUE), "")</f>
        <v/>
      </c>
      <c r="F36" t="str">
        <f>IFERROR(VLOOKUP($A36,Customer_Data!$1:$1048576,10,TRUE), "")</f>
        <v/>
      </c>
      <c r="G36" t="str">
        <f>IFERROR(VLOOKUP($A36,Customer_Data!$1:$1048576,11,TRUE), "")</f>
        <v/>
      </c>
      <c r="H36" t="str">
        <f>IFERROR(VLOOKUP($A36,Customer_Data!$1:$1048576,12,TRUE), "")</f>
        <v/>
      </c>
    </row>
    <row r="37" spans="2:8">
      <c r="B37" t="str">
        <f>IFERROR(VLOOKUP($A37,Customer_Data!$1:$1048576,3,TRUE), "")</f>
        <v/>
      </c>
      <c r="C37" t="str">
        <f>IFERROR(VLOOKUP($A37,Customer_Data!$1:$1048576,4,TRUE), "")</f>
        <v/>
      </c>
      <c r="D37" t="str">
        <f>IFERROR(VLOOKUP($A37,Customer_Data!$1:$1048576,5,TRUE), "")</f>
        <v/>
      </c>
      <c r="E37" t="str">
        <f>IFERROR(VLOOKUP($A37,Customer_Data!$1:$1048576,6,TRUE), "")</f>
        <v/>
      </c>
      <c r="F37" t="str">
        <f>IFERROR(VLOOKUP($A37,Customer_Data!$1:$1048576,10,TRUE), "")</f>
        <v/>
      </c>
      <c r="G37" t="str">
        <f>IFERROR(VLOOKUP($A37,Customer_Data!$1:$1048576,11,TRUE), "")</f>
        <v/>
      </c>
      <c r="H37" t="str">
        <f>IFERROR(VLOOKUP($A37,Customer_Data!$1:$1048576,12,TRUE), "")</f>
        <v/>
      </c>
    </row>
    <row r="38" spans="2:8">
      <c r="B38" t="str">
        <f>IFERROR(VLOOKUP($A38,Customer_Data!$1:$1048576,3,TRUE), "")</f>
        <v/>
      </c>
      <c r="C38" t="str">
        <f>IFERROR(VLOOKUP($A38,Customer_Data!$1:$1048576,4,TRUE), "")</f>
        <v/>
      </c>
      <c r="D38" t="str">
        <f>IFERROR(VLOOKUP($A38,Customer_Data!$1:$1048576,5,TRUE), "")</f>
        <v/>
      </c>
      <c r="E38" t="str">
        <f>IFERROR(VLOOKUP($A38,Customer_Data!$1:$1048576,6,TRUE), "")</f>
        <v/>
      </c>
      <c r="F38" t="str">
        <f>IFERROR(VLOOKUP($A38,Customer_Data!$1:$1048576,10,TRUE), "")</f>
        <v/>
      </c>
      <c r="G38" t="str">
        <f>IFERROR(VLOOKUP($A38,Customer_Data!$1:$1048576,11,TRUE), "")</f>
        <v/>
      </c>
      <c r="H38" t="str">
        <f>IFERROR(VLOOKUP($A38,Customer_Data!$1:$1048576,12,TRUE), "")</f>
        <v/>
      </c>
    </row>
    <row r="39" spans="2:8">
      <c r="B39" t="str">
        <f>IFERROR(VLOOKUP($A39,Customer_Data!$1:$1048576,3,TRUE), "")</f>
        <v/>
      </c>
      <c r="C39" t="str">
        <f>IFERROR(VLOOKUP($A39,Customer_Data!$1:$1048576,4,TRUE), "")</f>
        <v/>
      </c>
      <c r="D39" t="str">
        <f>IFERROR(VLOOKUP($A39,Customer_Data!$1:$1048576,5,TRUE), "")</f>
        <v/>
      </c>
      <c r="E39" t="str">
        <f>IFERROR(VLOOKUP($A39,Customer_Data!$1:$1048576,6,TRUE), "")</f>
        <v/>
      </c>
      <c r="F39" t="str">
        <f>IFERROR(VLOOKUP($A39,Customer_Data!$1:$1048576,10,TRUE), "")</f>
        <v/>
      </c>
      <c r="G39" t="str">
        <f>IFERROR(VLOOKUP($A39,Customer_Data!$1:$1048576,11,TRUE), "")</f>
        <v/>
      </c>
      <c r="H39" t="str">
        <f>IFERROR(VLOOKUP($A39,Customer_Data!$1:$1048576,12,TRUE), "")</f>
        <v/>
      </c>
    </row>
    <row r="40" spans="2:8">
      <c r="B40" t="str">
        <f>IFERROR(VLOOKUP($A40,Customer_Data!$1:$1048576,3,TRUE), "")</f>
        <v/>
      </c>
      <c r="C40" t="str">
        <f>IFERROR(VLOOKUP($A40,Customer_Data!$1:$1048576,4,TRUE), "")</f>
        <v/>
      </c>
      <c r="D40" t="str">
        <f>IFERROR(VLOOKUP($A40,Customer_Data!$1:$1048576,5,TRUE), "")</f>
        <v/>
      </c>
      <c r="E40" t="str">
        <f>IFERROR(VLOOKUP($A40,Customer_Data!$1:$1048576,6,TRUE), "")</f>
        <v/>
      </c>
      <c r="F40" t="str">
        <f>IFERROR(VLOOKUP($A40,Customer_Data!$1:$1048576,10,TRUE), "")</f>
        <v/>
      </c>
      <c r="G40" t="str">
        <f>IFERROR(VLOOKUP($A40,Customer_Data!$1:$1048576,11,TRUE), "")</f>
        <v/>
      </c>
      <c r="H40" t="str">
        <f>IFERROR(VLOOKUP($A40,Customer_Data!$1:$1048576,12,TRUE), "")</f>
        <v/>
      </c>
    </row>
    <row r="41" spans="2:8">
      <c r="B41" t="str">
        <f>IFERROR(VLOOKUP($A41,Customer_Data!$1:$1048576,3,TRUE), "")</f>
        <v/>
      </c>
      <c r="C41" t="str">
        <f>IFERROR(VLOOKUP($A41,Customer_Data!$1:$1048576,4,TRUE), "")</f>
        <v/>
      </c>
      <c r="D41" t="str">
        <f>IFERROR(VLOOKUP($A41,Customer_Data!$1:$1048576,5,TRUE), "")</f>
        <v/>
      </c>
      <c r="E41" t="str">
        <f>IFERROR(VLOOKUP($A41,Customer_Data!$1:$1048576,6,TRUE), "")</f>
        <v/>
      </c>
      <c r="F41" t="str">
        <f>IFERROR(VLOOKUP($A41,Customer_Data!$1:$1048576,10,TRUE), "")</f>
        <v/>
      </c>
      <c r="G41" t="str">
        <f>IFERROR(VLOOKUP($A41,Customer_Data!$1:$1048576,11,TRUE), "")</f>
        <v/>
      </c>
      <c r="H41" t="str">
        <f>IFERROR(VLOOKUP($A41,Customer_Data!$1:$1048576,12,TRUE), "")</f>
        <v/>
      </c>
    </row>
    <row r="42" spans="2:8">
      <c r="B42" t="str">
        <f>IFERROR(VLOOKUP($A42,Customer_Data!$1:$1048576,3,TRUE), "")</f>
        <v/>
      </c>
      <c r="C42" t="str">
        <f>IFERROR(VLOOKUP($A42,Customer_Data!$1:$1048576,4,TRUE), "")</f>
        <v/>
      </c>
      <c r="D42" t="str">
        <f>IFERROR(VLOOKUP($A42,Customer_Data!$1:$1048576,5,TRUE), "")</f>
        <v/>
      </c>
      <c r="E42" t="str">
        <f>IFERROR(VLOOKUP($A42,Customer_Data!$1:$1048576,6,TRUE), "")</f>
        <v/>
      </c>
      <c r="F42" t="str">
        <f>IFERROR(VLOOKUP($A42,Customer_Data!$1:$1048576,10,TRUE), "")</f>
        <v/>
      </c>
      <c r="G42" t="str">
        <f>IFERROR(VLOOKUP($A42,Customer_Data!$1:$1048576,11,TRUE), "")</f>
        <v/>
      </c>
      <c r="H42" t="str">
        <f>IFERROR(VLOOKUP($A42,Customer_Data!$1:$1048576,12,TRUE), "")</f>
        <v/>
      </c>
    </row>
    <row r="43" spans="2:8">
      <c r="B43" t="str">
        <f>IFERROR(VLOOKUP($A43,Customer_Data!$1:$1048576,3,TRUE), "")</f>
        <v/>
      </c>
      <c r="C43" t="str">
        <f>IFERROR(VLOOKUP($A43,Customer_Data!$1:$1048576,4,TRUE), "")</f>
        <v/>
      </c>
      <c r="D43" t="str">
        <f>IFERROR(VLOOKUP($A43,Customer_Data!$1:$1048576,5,TRUE), "")</f>
        <v/>
      </c>
      <c r="E43" t="str">
        <f>IFERROR(VLOOKUP($A43,Customer_Data!$1:$1048576,6,TRUE), "")</f>
        <v/>
      </c>
      <c r="F43" t="str">
        <f>IFERROR(VLOOKUP($A43,Customer_Data!$1:$1048576,10,TRUE), "")</f>
        <v/>
      </c>
      <c r="G43" t="str">
        <f>IFERROR(VLOOKUP($A43,Customer_Data!$1:$1048576,11,TRUE), "")</f>
        <v/>
      </c>
      <c r="H43" t="str">
        <f>IFERROR(VLOOKUP($A43,Customer_Data!$1:$1048576,12,TRUE), "")</f>
        <v/>
      </c>
    </row>
    <row r="44" spans="2:8">
      <c r="B44" t="str">
        <f>IFERROR(VLOOKUP($A44,Customer_Data!$1:$1048576,3,TRUE), "")</f>
        <v/>
      </c>
      <c r="C44" t="str">
        <f>IFERROR(VLOOKUP($A44,Customer_Data!$1:$1048576,4,TRUE), "")</f>
        <v/>
      </c>
      <c r="D44" t="str">
        <f>IFERROR(VLOOKUP($A44,Customer_Data!$1:$1048576,5,TRUE), "")</f>
        <v/>
      </c>
      <c r="E44" t="str">
        <f>IFERROR(VLOOKUP($A44,Customer_Data!$1:$1048576,6,TRUE), "")</f>
        <v/>
      </c>
      <c r="F44" t="str">
        <f>IFERROR(VLOOKUP($A44,Customer_Data!$1:$1048576,10,TRUE), "")</f>
        <v/>
      </c>
      <c r="G44" t="str">
        <f>IFERROR(VLOOKUP($A44,Customer_Data!$1:$1048576,11,TRUE), "")</f>
        <v/>
      </c>
      <c r="H44" t="str">
        <f>IFERROR(VLOOKUP($A44,Customer_Data!$1:$1048576,12,TRUE), "")</f>
        <v/>
      </c>
    </row>
    <row r="45" spans="2:8">
      <c r="B45" t="str">
        <f>IFERROR(VLOOKUP($A45,Customer_Data!$1:$1048576,3,TRUE), "")</f>
        <v/>
      </c>
      <c r="C45" t="str">
        <f>IFERROR(VLOOKUP($A45,Customer_Data!$1:$1048576,4,TRUE), "")</f>
        <v/>
      </c>
      <c r="D45" t="str">
        <f>IFERROR(VLOOKUP($A45,Customer_Data!$1:$1048576,5,TRUE), "")</f>
        <v/>
      </c>
      <c r="E45" t="str">
        <f>IFERROR(VLOOKUP($A45,Customer_Data!$1:$1048576,6,TRUE), "")</f>
        <v/>
      </c>
      <c r="F45" t="str">
        <f>IFERROR(VLOOKUP($A45,Customer_Data!$1:$1048576,10,TRUE), "")</f>
        <v/>
      </c>
      <c r="G45" t="str">
        <f>IFERROR(VLOOKUP($A45,Customer_Data!$1:$1048576,11,TRUE), "")</f>
        <v/>
      </c>
      <c r="H45" t="str">
        <f>IFERROR(VLOOKUP($A45,Customer_Data!$1:$1048576,12,TRUE), "")</f>
        <v/>
      </c>
    </row>
    <row r="46" spans="2:8">
      <c r="B46" t="str">
        <f>IFERROR(VLOOKUP($A46,Customer_Data!$1:$1048576,3,TRUE), "")</f>
        <v/>
      </c>
      <c r="C46" t="str">
        <f>IFERROR(VLOOKUP($A46,Customer_Data!$1:$1048576,4,TRUE), "")</f>
        <v/>
      </c>
      <c r="D46" t="str">
        <f>IFERROR(VLOOKUP($A46,Customer_Data!$1:$1048576,5,TRUE), "")</f>
        <v/>
      </c>
      <c r="E46" t="str">
        <f>IFERROR(VLOOKUP($A46,Customer_Data!$1:$1048576,6,TRUE), "")</f>
        <v/>
      </c>
      <c r="F46" t="str">
        <f>IFERROR(VLOOKUP($A46,Customer_Data!$1:$1048576,10,TRUE), "")</f>
        <v/>
      </c>
      <c r="G46" t="str">
        <f>IFERROR(VLOOKUP($A46,Customer_Data!$1:$1048576,11,TRUE), "")</f>
        <v/>
      </c>
      <c r="H46" t="str">
        <f>IFERROR(VLOOKUP($A46,Customer_Data!$1:$1048576,12,TRUE), "")</f>
        <v/>
      </c>
    </row>
    <row r="47" spans="2:8">
      <c r="B47" t="str">
        <f>IFERROR(VLOOKUP($A47,Customer_Data!$1:$1048576,3,TRUE), "")</f>
        <v/>
      </c>
      <c r="C47" t="str">
        <f>IFERROR(VLOOKUP($A47,Customer_Data!$1:$1048576,4,TRUE), "")</f>
        <v/>
      </c>
      <c r="D47" t="str">
        <f>IFERROR(VLOOKUP($A47,Customer_Data!$1:$1048576,5,TRUE), "")</f>
        <v/>
      </c>
      <c r="E47" t="str">
        <f>IFERROR(VLOOKUP($A47,Customer_Data!$1:$1048576,6,TRUE), "")</f>
        <v/>
      </c>
      <c r="F47" t="str">
        <f>IFERROR(VLOOKUP($A47,Customer_Data!$1:$1048576,10,TRUE), "")</f>
        <v/>
      </c>
      <c r="G47" t="str">
        <f>IFERROR(VLOOKUP($A47,Customer_Data!$1:$1048576,11,TRUE), "")</f>
        <v/>
      </c>
      <c r="H47" t="str">
        <f>IFERROR(VLOOKUP($A47,Customer_Data!$1:$1048576,12,TRUE), "")</f>
        <v/>
      </c>
    </row>
    <row r="48" spans="2:8">
      <c r="B48" t="str">
        <f>IFERROR(VLOOKUP($A48,Customer_Data!$1:$1048576,3,TRUE), "")</f>
        <v/>
      </c>
      <c r="C48" t="str">
        <f>IFERROR(VLOOKUP($A48,Customer_Data!$1:$1048576,4,TRUE), "")</f>
        <v/>
      </c>
      <c r="D48" t="str">
        <f>IFERROR(VLOOKUP($A48,Customer_Data!$1:$1048576,5,TRUE), "")</f>
        <v/>
      </c>
      <c r="E48" t="str">
        <f>IFERROR(VLOOKUP($A48,Customer_Data!$1:$1048576,6,TRUE), "")</f>
        <v/>
      </c>
      <c r="F48" t="str">
        <f>IFERROR(VLOOKUP($A48,Customer_Data!$1:$1048576,10,TRUE), "")</f>
        <v/>
      </c>
      <c r="G48" t="str">
        <f>IFERROR(VLOOKUP($A48,Customer_Data!$1:$1048576,11,TRUE), "")</f>
        <v/>
      </c>
      <c r="H48" t="str">
        <f>IFERROR(VLOOKUP($A48,Customer_Data!$1:$1048576,12,TRUE), "")</f>
        <v/>
      </c>
    </row>
    <row r="49" spans="2:8">
      <c r="B49" t="str">
        <f>IFERROR(VLOOKUP($A49,Customer_Data!$1:$1048576,3,TRUE), "")</f>
        <v/>
      </c>
      <c r="C49" t="str">
        <f>IFERROR(VLOOKUP($A49,Customer_Data!$1:$1048576,4,TRUE), "")</f>
        <v/>
      </c>
      <c r="D49" t="str">
        <f>IFERROR(VLOOKUP($A49,Customer_Data!$1:$1048576,5,TRUE), "")</f>
        <v/>
      </c>
      <c r="E49" t="str">
        <f>IFERROR(VLOOKUP($A49,Customer_Data!$1:$1048576,6,TRUE), "")</f>
        <v/>
      </c>
      <c r="F49" t="str">
        <f>IFERROR(VLOOKUP($A49,Customer_Data!$1:$1048576,10,TRUE), "")</f>
        <v/>
      </c>
      <c r="G49" t="str">
        <f>IFERROR(VLOOKUP($A49,Customer_Data!$1:$1048576,11,TRUE), "")</f>
        <v/>
      </c>
      <c r="H49" t="str">
        <f>IFERROR(VLOOKUP($A49,Customer_Data!$1:$1048576,12,TRUE), "")</f>
        <v/>
      </c>
    </row>
    <row r="50" spans="2:8">
      <c r="B50" t="str">
        <f>IFERROR(VLOOKUP($A50,Customer_Data!$1:$1048576,3,TRUE), "")</f>
        <v/>
      </c>
      <c r="C50" t="str">
        <f>IFERROR(VLOOKUP($A50,Customer_Data!$1:$1048576,4,TRUE), "")</f>
        <v/>
      </c>
      <c r="D50" t="str">
        <f>IFERROR(VLOOKUP($A50,Customer_Data!$1:$1048576,5,TRUE), "")</f>
        <v/>
      </c>
      <c r="E50" t="str">
        <f>IFERROR(VLOOKUP($A50,Customer_Data!$1:$1048576,6,TRUE), "")</f>
        <v/>
      </c>
      <c r="F50" t="str">
        <f>IFERROR(VLOOKUP($A50,Customer_Data!$1:$1048576,10,TRUE), "")</f>
        <v/>
      </c>
      <c r="G50" t="str">
        <f>IFERROR(VLOOKUP($A50,Customer_Data!$1:$1048576,11,TRUE), "")</f>
        <v/>
      </c>
      <c r="H50" t="str">
        <f>IFERROR(VLOOKUP($A50,Customer_Data!$1:$1048576,12,TRUE), "")</f>
        <v/>
      </c>
    </row>
    <row r="51" spans="2:8">
      <c r="B51" t="str">
        <f>IFERROR(VLOOKUP($A51,Customer_Data!$1:$1048576,3,TRUE), "")</f>
        <v/>
      </c>
      <c r="C51" t="str">
        <f>IFERROR(VLOOKUP($A51,Customer_Data!$1:$1048576,4,TRUE), "")</f>
        <v/>
      </c>
      <c r="D51" t="str">
        <f>IFERROR(VLOOKUP($A51,Customer_Data!$1:$1048576,5,TRUE), "")</f>
        <v/>
      </c>
      <c r="E51" t="str">
        <f>IFERROR(VLOOKUP($A51,Customer_Data!$1:$1048576,6,TRUE), "")</f>
        <v/>
      </c>
      <c r="F51" t="str">
        <f>IFERROR(VLOOKUP($A51,Customer_Data!$1:$1048576,10,TRUE), "")</f>
        <v/>
      </c>
      <c r="G51" t="str">
        <f>IFERROR(VLOOKUP($A51,Customer_Data!$1:$1048576,11,TRUE), "")</f>
        <v/>
      </c>
      <c r="H51" t="str">
        <f>IFERROR(VLOOKUP($A51,Customer_Data!$1:$1048576,12,TRUE), "")</f>
        <v/>
      </c>
    </row>
    <row r="52" spans="2:8">
      <c r="B52" t="str">
        <f>IFERROR(VLOOKUP($A52,Customer_Data!$1:$1048576,3,TRUE), "")</f>
        <v/>
      </c>
      <c r="C52" t="str">
        <f>IFERROR(VLOOKUP($A52,Customer_Data!$1:$1048576,4,TRUE), "")</f>
        <v/>
      </c>
      <c r="D52" t="str">
        <f>IFERROR(VLOOKUP($A52,Customer_Data!$1:$1048576,5,TRUE), "")</f>
        <v/>
      </c>
      <c r="E52" t="str">
        <f>IFERROR(VLOOKUP($A52,Customer_Data!$1:$1048576,6,TRUE), "")</f>
        <v/>
      </c>
      <c r="F52" t="str">
        <f>IFERROR(VLOOKUP($A52,Customer_Data!$1:$1048576,10,TRUE), "")</f>
        <v/>
      </c>
      <c r="G52" t="str">
        <f>IFERROR(VLOOKUP($A52,Customer_Data!$1:$1048576,11,TRUE), "")</f>
        <v/>
      </c>
      <c r="H52" t="str">
        <f>IFERROR(VLOOKUP($A52,Customer_Data!$1:$1048576,12,TRUE), "")</f>
        <v/>
      </c>
    </row>
    <row r="53" spans="2:8">
      <c r="B53" t="str">
        <f>IFERROR(VLOOKUP($A53,Customer_Data!$1:$1048576,3,TRUE), "")</f>
        <v/>
      </c>
      <c r="C53" t="str">
        <f>IFERROR(VLOOKUP($A53,Customer_Data!$1:$1048576,4,TRUE), "")</f>
        <v/>
      </c>
      <c r="D53" t="str">
        <f>IFERROR(VLOOKUP($A53,Customer_Data!$1:$1048576,5,TRUE), "")</f>
        <v/>
      </c>
      <c r="E53" t="str">
        <f>IFERROR(VLOOKUP($A53,Customer_Data!$1:$1048576,6,TRUE), "")</f>
        <v/>
      </c>
      <c r="F53" t="str">
        <f>IFERROR(VLOOKUP($A53,Customer_Data!$1:$1048576,10,TRUE), "")</f>
        <v/>
      </c>
      <c r="G53" t="str">
        <f>IFERROR(VLOOKUP($A53,Customer_Data!$1:$1048576,11,TRUE), "")</f>
        <v/>
      </c>
      <c r="H53" t="str">
        <f>IFERROR(VLOOKUP($A53,Customer_Data!$1:$1048576,12,TRUE), "")</f>
        <v/>
      </c>
    </row>
    <row r="54" spans="2:8">
      <c r="B54" t="str">
        <f>IFERROR(VLOOKUP($A54,Customer_Data!$1:$1048576,3,TRUE), "")</f>
        <v/>
      </c>
      <c r="C54" t="str">
        <f>IFERROR(VLOOKUP($A54,Customer_Data!$1:$1048576,4,TRUE), "")</f>
        <v/>
      </c>
      <c r="D54" t="str">
        <f>IFERROR(VLOOKUP($A54,Customer_Data!$1:$1048576,5,TRUE), "")</f>
        <v/>
      </c>
      <c r="E54" t="str">
        <f>IFERROR(VLOOKUP($A54,Customer_Data!$1:$1048576,6,TRUE), "")</f>
        <v/>
      </c>
      <c r="F54" t="str">
        <f>IFERROR(VLOOKUP($A54,Customer_Data!$1:$1048576,10,TRUE), "")</f>
        <v/>
      </c>
      <c r="G54" t="str">
        <f>IFERROR(VLOOKUP($A54,Customer_Data!$1:$1048576,11,TRUE), "")</f>
        <v/>
      </c>
      <c r="H54" t="str">
        <f>IFERROR(VLOOKUP($A54,Customer_Data!$1:$1048576,12,TRUE), "")</f>
        <v/>
      </c>
    </row>
    <row r="55" spans="2:8">
      <c r="B55" t="str">
        <f>IFERROR(VLOOKUP($A55,Customer_Data!$1:$1048576,3,TRUE), "")</f>
        <v/>
      </c>
      <c r="C55" t="str">
        <f>IFERROR(VLOOKUP($A55,Customer_Data!$1:$1048576,4,TRUE), "")</f>
        <v/>
      </c>
      <c r="D55" t="str">
        <f>IFERROR(VLOOKUP($A55,Customer_Data!$1:$1048576,5,TRUE), "")</f>
        <v/>
      </c>
      <c r="E55" t="str">
        <f>IFERROR(VLOOKUP($A55,Customer_Data!$1:$1048576,6,TRUE), "")</f>
        <v/>
      </c>
      <c r="F55" t="str">
        <f>IFERROR(VLOOKUP($A55,Customer_Data!$1:$1048576,10,TRUE), "")</f>
        <v/>
      </c>
      <c r="G55" t="str">
        <f>IFERROR(VLOOKUP($A55,Customer_Data!$1:$1048576,11,TRUE), "")</f>
        <v/>
      </c>
      <c r="H55" t="str">
        <f>IFERROR(VLOOKUP($A55,Customer_Data!$1:$1048576,12,TRUE), "")</f>
        <v/>
      </c>
    </row>
    <row r="56" spans="2:8">
      <c r="B56" t="str">
        <f>IFERROR(VLOOKUP($A56,Customer_Data!$1:$1048576,3,TRUE), "")</f>
        <v/>
      </c>
    </row>
    <row r="57" spans="2:8">
      <c r="B57" t="str">
        <f>IFERROR(VLOOKUP($A57,Customer_Data!$1:$1048576,3,TRUE), "")</f>
        <v/>
      </c>
    </row>
    <row r="58" spans="2:8">
      <c r="B58" t="str">
        <f>IFERROR(VLOOKUP($A58,Customer_Data!$1:$1048576,3,TRUE), "")</f>
        <v/>
      </c>
    </row>
    <row r="59" spans="2:8">
      <c r="B59" t="str">
        <f>IFERROR(VLOOKUP($A59,Customer_Data!$1:$1048576,3,TRUE), "")</f>
        <v/>
      </c>
    </row>
    <row r="60" spans="2:8">
      <c r="B60" t="str">
        <f>IFERROR(VLOOKUP($A60,Customer_Data!$1:$1048576,3,TRUE), "")</f>
        <v/>
      </c>
    </row>
    <row r="61" spans="2:8">
      <c r="B61" t="str">
        <f>IFERROR(VLOOKUP($A61,Customer_Data!$1:$1048576,3,TRUE), "")</f>
        <v/>
      </c>
    </row>
    <row r="62" spans="2:8">
      <c r="B62" t="str">
        <f>IFERROR(VLOOKUP($A62,Customer_Data!$1:$1048576,3,TRUE), "")</f>
        <v/>
      </c>
    </row>
    <row r="63" spans="2:8">
      <c r="B63" t="str">
        <f>IFERROR(VLOOKUP($A63,Customer_Data!$1:$1048576,3,TRUE), "")</f>
        <v/>
      </c>
    </row>
    <row r="64" spans="2:8">
      <c r="B64" t="str">
        <f>IFERROR(VLOOKUP($A64,Customer_Data!$1:$1048576,3,TRUE), "")</f>
        <v/>
      </c>
    </row>
    <row r="65" spans="2:2">
      <c r="B65" t="str">
        <f>IFERROR(VLOOKUP($A65,Customer_Data!$1:$1048576,3,TRUE), "")</f>
        <v/>
      </c>
    </row>
    <row r="66" spans="2:2">
      <c r="B66" t="str">
        <f>IFERROR(VLOOKUP($A66,Customer_Data!$1:$1048576,3,TRUE), "")</f>
        <v/>
      </c>
    </row>
    <row r="67" spans="2:2">
      <c r="B67" t="str">
        <f>IFERROR(VLOOKUP($A67,Customer_Data!$1:$1048576,3,TRUE), "")</f>
        <v/>
      </c>
    </row>
    <row r="68" spans="2:2">
      <c r="B68" t="str">
        <f>IFERROR(VLOOKUP($A68,Customer_Data!$1:$1048576,3,TRUE), "")</f>
        <v/>
      </c>
    </row>
    <row r="69" spans="2:2">
      <c r="B69" t="str">
        <f>IFERROR(VLOOKUP($A69,Customer_Data!$1:$1048576,3,TRUE), "")</f>
        <v/>
      </c>
    </row>
    <row r="70" spans="2:2">
      <c r="B70" t="str">
        <f>IFERROR(VLOOKUP($A70,Customer_Data!$1:$1048576,3,TRUE), "")</f>
        <v/>
      </c>
    </row>
    <row r="71" spans="2:2">
      <c r="B71" t="str">
        <f>IFERROR(VLOOKUP($A71,Customer_Data!$1:$1048576,3,TRUE), "")</f>
        <v/>
      </c>
    </row>
    <row r="72" spans="2:2">
      <c r="B72" t="str">
        <f>IFERROR(VLOOKUP($A72,Customer_Data!$1:$1048576,3,TRUE), "")</f>
        <v/>
      </c>
    </row>
    <row r="73" spans="2:2">
      <c r="B73" t="str">
        <f>IFERROR(VLOOKUP($A73,Customer_Data!$1:$1048576,3,TRUE), "")</f>
        <v/>
      </c>
    </row>
    <row r="74" spans="2:2">
      <c r="B74" t="str">
        <f>IFERROR(VLOOKUP($A74,Customer_Data!$1:$1048576,3,TRUE), "")</f>
        <v/>
      </c>
    </row>
    <row r="75" spans="2:2">
      <c r="B75" t="str">
        <f>IFERROR(VLOOKUP($A75,Customer_Data!$1:$1048576,3,TRUE), "")</f>
        <v/>
      </c>
    </row>
    <row r="76" spans="2:2">
      <c r="B76" t="str">
        <f>IFERROR(VLOOKUP($A76,Customer_Data!$1:$1048576,3,TRUE), "")</f>
        <v/>
      </c>
    </row>
    <row r="77" spans="2:2">
      <c r="B77" t="str">
        <f>IFERROR(VLOOKUP($A77,Customer_Data!$1:$1048576,3,TRUE), "")</f>
        <v/>
      </c>
    </row>
    <row r="78" spans="2:2">
      <c r="B78" t="str">
        <f>IFERROR(VLOOKUP($A78,Customer_Data!$1:$1048576,3,TRUE), "")</f>
        <v/>
      </c>
    </row>
    <row r="79" spans="2:2">
      <c r="B79" t="str">
        <f>IFERROR(VLOOKUP($A79,Customer_Data!$1:$1048576,3,TRUE), "")</f>
        <v/>
      </c>
    </row>
    <row r="80" spans="2:2">
      <c r="B80" t="str">
        <f>IFERROR(VLOOKUP($A80,Customer_Data!$1:$1048576,3,TRUE), "")</f>
        <v/>
      </c>
    </row>
    <row r="81" spans="2:2">
      <c r="B81" t="str">
        <f>IFERROR(VLOOKUP($A81,Customer_Data!$1:$1048576,3,TRUE), "")</f>
        <v/>
      </c>
    </row>
    <row r="82" spans="2:2">
      <c r="B82" t="str">
        <f>IFERROR(VLOOKUP($A82,Customer_Data!$1:$1048576,3,TRUE), "")</f>
        <v/>
      </c>
    </row>
    <row r="83" spans="2:2">
      <c r="B83" t="str">
        <f>IFERROR(VLOOKUP($A83,Customer_Data!$1:$1048576,3,TRUE), "")</f>
        <v/>
      </c>
    </row>
    <row r="84" spans="2:2">
      <c r="B84" t="str">
        <f>IFERROR(VLOOKUP($A84,Customer_Data!$1:$1048576,3,TRUE), "")</f>
        <v/>
      </c>
    </row>
    <row r="85" spans="2:2">
      <c r="B85" t="str">
        <f>IFERROR(VLOOKUP($A85,Customer_Data!$1:$1048576,3,TRUE), "")</f>
        <v/>
      </c>
    </row>
    <row r="86" spans="2:2">
      <c r="B86" t="str">
        <f>IFERROR(VLOOKUP($A86,Customer_Data!$1:$1048576,3,TRUE), "")</f>
        <v/>
      </c>
    </row>
    <row r="87" spans="2:2">
      <c r="B87" t="str">
        <f>IFERROR(VLOOKUP($A87,Customer_Data!$1:$1048576,3,TRUE), "")</f>
        <v/>
      </c>
    </row>
    <row r="88" spans="2:2">
      <c r="B88" t="str">
        <f>IFERROR(VLOOKUP($A88,Customer_Data!$1:$1048576,3,TRUE), "")</f>
        <v/>
      </c>
    </row>
    <row r="89" spans="2:2">
      <c r="B89" t="str">
        <f>IFERROR(VLOOKUP($A89,Customer_Data!$1:$1048576,3,TRUE), "")</f>
        <v/>
      </c>
    </row>
    <row r="90" spans="2:2">
      <c r="B90" t="str">
        <f>IFERROR(VLOOKUP($A90,Customer_Data!$1:$1048576,3,TRUE), "")</f>
        <v/>
      </c>
    </row>
    <row r="91" spans="2:2">
      <c r="B91" t="str">
        <f>IFERROR(VLOOKUP($A91,Customer_Data!$1:$1048576,3,TRUE), "")</f>
        <v/>
      </c>
    </row>
    <row r="92" spans="2:2">
      <c r="B92" t="str">
        <f>IFERROR(VLOOKUP($A92,Customer_Data!$1:$1048576,3,TRUE), "")</f>
        <v/>
      </c>
    </row>
    <row r="93" spans="2:2">
      <c r="B93" t="str">
        <f>IFERROR(VLOOKUP($A93,Customer_Data!$1:$1048576,3,TRUE), "")</f>
        <v/>
      </c>
    </row>
    <row r="94" spans="2:2">
      <c r="B94" t="str">
        <f>IFERROR(VLOOKUP($A94,Customer_Data!$1:$1048576,3,TRUE), "")</f>
        <v/>
      </c>
    </row>
    <row r="95" spans="2:2">
      <c r="B95" t="str">
        <f>IFERROR(VLOOKUP($A95,Customer_Data!$1:$1048576,3,TRUE), "")</f>
        <v/>
      </c>
    </row>
    <row r="96" spans="2:2">
      <c r="B96" t="str">
        <f>IFERROR(VLOOKUP($A96,Customer_Data!$1:$1048576,3,TRUE), "")</f>
        <v/>
      </c>
    </row>
    <row r="97" spans="2:2">
      <c r="B97" t="str">
        <f>IFERROR(VLOOKUP($A97,Customer_Data!$1:$1048576,3,TRUE), "")</f>
        <v/>
      </c>
    </row>
    <row r="98" spans="2:2">
      <c r="B98" t="str">
        <f>IFERROR(VLOOKUP($A98,Customer_Data!$1:$1048576,3,TRUE), "")</f>
        <v/>
      </c>
    </row>
    <row r="99" spans="2:2">
      <c r="B99" t="str">
        <f>IFERROR(VLOOKUP($A99,Customer_Data!$1:$1048576,3,TRUE), "")</f>
        <v/>
      </c>
    </row>
    <row r="100" spans="2:2">
      <c r="B100" t="str">
        <f>IFERROR(VLOOKUP($A100,Customer_Data!$1:$1048576,3,TRUE), "")</f>
        <v/>
      </c>
    </row>
    <row r="101" spans="2:2">
      <c r="B101" t="str">
        <f>IFERROR(VLOOKUP($A101,Customer_Data!$1:$1048576,3,TRUE), "")</f>
        <v/>
      </c>
    </row>
    <row r="102" spans="2:2">
      <c r="B102" t="str">
        <f>IFERROR(VLOOKUP($A102,Customer_Data!$1:$1048576,3,TRUE), "")</f>
        <v/>
      </c>
    </row>
    <row r="103" spans="2:2">
      <c r="B103" t="str">
        <f>IFERROR(VLOOKUP($A103,Customer_Data!$1:$1048576,3,TRUE), "")</f>
        <v/>
      </c>
    </row>
    <row r="104" spans="2:2">
      <c r="B104" t="str">
        <f>IFERROR(VLOOKUP($A104,Customer_Data!$1:$1048576,3,TRUE), "")</f>
        <v/>
      </c>
    </row>
    <row r="105" spans="2:2">
      <c r="B105" t="str">
        <f>IFERROR(VLOOKUP($A105,Customer_Data!$1:$1048576,3,TRUE), "")</f>
        <v/>
      </c>
    </row>
    <row r="106" spans="2:2">
      <c r="B106" t="str">
        <f>IFERROR(VLOOKUP($A106,Customer_Data!$1:$1048576,3,TRUE), "")</f>
        <v/>
      </c>
    </row>
    <row r="107" spans="2:2">
      <c r="B107" t="str">
        <f>IFERROR(VLOOKUP($A107,Customer_Data!$1:$1048576,3,TRUE), "")</f>
        <v/>
      </c>
    </row>
    <row r="108" spans="2:2">
      <c r="B108" t="str">
        <f>IFERROR(VLOOKUP($A108,Customer_Data!$1:$1048576,3,TRUE), "")</f>
        <v/>
      </c>
    </row>
    <row r="109" spans="2:2">
      <c r="B109" t="str">
        <f>IFERROR(VLOOKUP($A109,Customer_Data!$1:$1048576,3,TRUE), "")</f>
        <v/>
      </c>
    </row>
    <row r="110" spans="2:2">
      <c r="B110" t="str">
        <f>IFERROR(VLOOKUP($A110,Customer_Data!$1:$1048576,3,TRUE), "")</f>
        <v/>
      </c>
    </row>
    <row r="111" spans="2:2">
      <c r="B111" t="str">
        <f>IFERROR(VLOOKUP($A111,Customer_Data!$1:$1048576,3,TRUE), "")</f>
        <v/>
      </c>
    </row>
    <row r="112" spans="2:2">
      <c r="B112" t="str">
        <f>IFERROR(VLOOKUP($A112,Customer_Data!$1:$1048576,3,TRUE), "")</f>
        <v/>
      </c>
    </row>
    <row r="113" spans="2:2">
      <c r="B113" t="str">
        <f>IFERROR(VLOOKUP($A113,Customer_Data!$1:$1048576,3,TRUE), "")</f>
        <v/>
      </c>
    </row>
    <row r="114" spans="2:2">
      <c r="B114" t="str">
        <f>IFERROR(VLOOKUP($A114,Customer_Data!$1:$1048576,3,TRUE), "")</f>
        <v/>
      </c>
    </row>
    <row r="115" spans="2:2">
      <c r="B115" t="str">
        <f>IFERROR(VLOOKUP($A115,Customer_Data!$1:$1048576,3,TRUE), "")</f>
        <v/>
      </c>
    </row>
    <row r="116" spans="2:2">
      <c r="B116" t="str">
        <f>IFERROR(VLOOKUP($A116,Customer_Data!$1:$1048576,3,TRUE), "")</f>
        <v/>
      </c>
    </row>
    <row r="117" spans="2:2">
      <c r="B117" t="str">
        <f>IFERROR(VLOOKUP($A117,Customer_Data!$1:$1048576,3,TRUE), "")</f>
        <v/>
      </c>
    </row>
    <row r="118" spans="2:2">
      <c r="B118" t="str">
        <f>IFERROR(VLOOKUP($A118,Customer_Data!$1:$1048576,3,TRUE), "")</f>
        <v/>
      </c>
    </row>
    <row r="119" spans="2:2">
      <c r="B119" t="str">
        <f>IFERROR(VLOOKUP($A119,Customer_Data!$1:$1048576,3,TRUE), "")</f>
        <v/>
      </c>
    </row>
    <row r="120" spans="2:2">
      <c r="B120" t="str">
        <f>IFERROR(VLOOKUP($A120,Customer_Data!$1:$1048576,3,TRUE), "")</f>
        <v/>
      </c>
    </row>
    <row r="121" spans="2:2">
      <c r="B121" t="str">
        <f>IFERROR(VLOOKUP($A121,Customer_Data!$1:$1048576,3,TRUE), "")</f>
        <v/>
      </c>
    </row>
    <row r="122" spans="2:2">
      <c r="B122" t="str">
        <f>IFERROR(VLOOKUP($A122,Customer_Data!$1:$1048576,3,TRUE), "")</f>
        <v/>
      </c>
    </row>
    <row r="123" spans="2:2">
      <c r="B123" t="str">
        <f>IFERROR(VLOOKUP($A123,Customer_Data!$1:$1048576,3,TRUE), "")</f>
        <v/>
      </c>
    </row>
    <row r="124" spans="2:2">
      <c r="B124" t="str">
        <f>IFERROR(VLOOKUP($A124,Customer_Data!$1:$1048576,3,TRUE), "")</f>
        <v/>
      </c>
    </row>
    <row r="125" spans="2:2">
      <c r="B125" t="str">
        <f>IFERROR(VLOOKUP($A125,Customer_Data!$1:$1048576,3,TRUE), "")</f>
        <v/>
      </c>
    </row>
    <row r="126" spans="2:2">
      <c r="B126" t="str">
        <f>IFERROR(VLOOKUP($A126,Customer_Data!$1:$1048576,3,TRUE), "")</f>
        <v/>
      </c>
    </row>
    <row r="127" spans="2:2">
      <c r="B127" t="str">
        <f>IFERROR(VLOOKUP($A127,Customer_Data!$1:$1048576,3,TRUE), "")</f>
        <v/>
      </c>
    </row>
    <row r="128" spans="2:2">
      <c r="B128" t="str">
        <f>IFERROR(VLOOKUP($A128,Customer_Data!$1:$1048576,3,TRUE), "")</f>
        <v/>
      </c>
    </row>
    <row r="129" spans="2:2">
      <c r="B129" t="str">
        <f>IFERROR(VLOOKUP($A129,Customer_Data!$1:$1048576,3,TRUE), "")</f>
        <v/>
      </c>
    </row>
    <row r="130" spans="2:2">
      <c r="B130" t="str">
        <f>IFERROR(VLOOKUP($A130,Customer_Data!$1:$1048576,3,TRUE), "")</f>
        <v/>
      </c>
    </row>
    <row r="131" spans="2:2">
      <c r="B131" t="str">
        <f>IFERROR(VLOOKUP($A131,Customer_Data!$1:$1048576,3,TRUE), "")</f>
        <v/>
      </c>
    </row>
    <row r="132" spans="2:2">
      <c r="B132" t="str">
        <f>IFERROR(VLOOKUP($A132,Customer_Data!$1:$1048576,3,TRUE), "")</f>
        <v/>
      </c>
    </row>
    <row r="133" spans="2:2">
      <c r="B133" t="str">
        <f>IFERROR(VLOOKUP($A133,Customer_Data!$1:$1048576,3,TRUE), "")</f>
        <v/>
      </c>
    </row>
    <row r="134" spans="2:2">
      <c r="B134" t="str">
        <f>IFERROR(VLOOKUP($A134,Customer_Data!$1:$1048576,3,TRUE), "")</f>
        <v/>
      </c>
    </row>
    <row r="135" spans="2:2">
      <c r="B135" t="str">
        <f>IFERROR(VLOOKUP($A135,Customer_Data!$1:$1048576,3,TRUE), "")</f>
        <v/>
      </c>
    </row>
    <row r="136" spans="2:2">
      <c r="B136" t="str">
        <f>IFERROR(VLOOKUP($A136,Customer_Data!$1:$1048576,3,TRUE), "")</f>
        <v/>
      </c>
    </row>
    <row r="137" spans="2:2">
      <c r="B137" t="str">
        <f>IFERROR(VLOOKUP($A137,Customer_Data!$1:$1048576,3,TRUE), "")</f>
        <v/>
      </c>
    </row>
    <row r="138" spans="2:2">
      <c r="B138" t="str">
        <f>IFERROR(VLOOKUP($A138,Customer_Data!$1:$1048576,3,TRUE), "")</f>
        <v/>
      </c>
    </row>
    <row r="139" spans="2:2">
      <c r="B139" t="str">
        <f>IFERROR(VLOOKUP($A139,Customer_Data!$1:$1048576,3,TRUE), "")</f>
        <v/>
      </c>
    </row>
    <row r="140" spans="2:2">
      <c r="B140" t="str">
        <f>IFERROR(VLOOKUP($A140,Customer_Data!$1:$1048576,3,TRUE), "")</f>
        <v/>
      </c>
    </row>
    <row r="141" spans="2:2">
      <c r="B141" t="str">
        <f>IFERROR(VLOOKUP($A141,Customer_Data!$1:$1048576,3,TRUE), "")</f>
        <v/>
      </c>
    </row>
    <row r="142" spans="2:2">
      <c r="B142" t="str">
        <f>IFERROR(VLOOKUP($A142,Customer_Data!$1:$1048576,3,TRUE), "")</f>
        <v/>
      </c>
    </row>
    <row r="143" spans="2:2">
      <c r="B143" t="str">
        <f>IFERROR(VLOOKUP($A143,Customer_Data!$1:$1048576,3,TRUE), "")</f>
        <v/>
      </c>
    </row>
    <row r="144" spans="2:2">
      <c r="B144" t="str">
        <f>IFERROR(VLOOKUP($A144,Customer_Data!$1:$1048576,3,TRUE), "")</f>
        <v/>
      </c>
    </row>
    <row r="145" spans="2:2">
      <c r="B145" t="str">
        <f>IFERROR(VLOOKUP($A145,Customer_Data!$1:$1048576,3,TRUE), "")</f>
        <v/>
      </c>
    </row>
    <row r="146" spans="2:2">
      <c r="B146" t="str">
        <f>IFERROR(VLOOKUP($A146,Customer_Data!$1:$1048576,3,TRUE), "")</f>
        <v/>
      </c>
    </row>
    <row r="147" spans="2:2">
      <c r="B147" t="str">
        <f>IFERROR(VLOOKUP($A147,Customer_Data!$1:$1048576,3,TRUE), "")</f>
        <v/>
      </c>
    </row>
    <row r="148" spans="2:2">
      <c r="B148" t="str">
        <f>IFERROR(VLOOKUP($A148,Customer_Data!$1:$1048576,3,TRUE), "")</f>
        <v/>
      </c>
    </row>
    <row r="149" spans="2:2">
      <c r="B149" t="str">
        <f>IFERROR(VLOOKUP($A149,Customer_Data!$1:$1048576,3,TRUE), "")</f>
        <v/>
      </c>
    </row>
    <row r="150" spans="2:2">
      <c r="B150" t="str">
        <f>IFERROR(VLOOKUP($A150,Customer_Data!$1:$1048576,3,TRUE), "")</f>
        <v/>
      </c>
    </row>
    <row r="151" spans="2:2">
      <c r="B151" t="str">
        <f>IFERROR(VLOOKUP($A151,Customer_Data!$1:$1048576,3,TRUE), "")</f>
        <v/>
      </c>
    </row>
    <row r="152" spans="2:2">
      <c r="B152" t="str">
        <f>IFERROR(VLOOKUP($A152,Customer_Data!$1:$1048576,3,TRUE), "")</f>
        <v/>
      </c>
    </row>
    <row r="153" spans="2:2">
      <c r="B153" t="str">
        <f>IFERROR(VLOOKUP($A153,Customer_Data!$1:$1048576,3,TRUE), "")</f>
        <v/>
      </c>
    </row>
    <row r="154" spans="2:2">
      <c r="B154" t="str">
        <f>IFERROR(VLOOKUP($A154,Customer_Data!$1:$1048576,3,TRUE), "")</f>
        <v/>
      </c>
    </row>
    <row r="155" spans="2:2">
      <c r="B155" t="str">
        <f>IFERROR(VLOOKUP($A155,Customer_Data!$1:$1048576,3,TRUE), "")</f>
        <v/>
      </c>
    </row>
    <row r="156" spans="2:2">
      <c r="B156" t="str">
        <f>IFERROR(VLOOKUP($A156,Customer_Data!$1:$1048576,3,TRUE), "")</f>
        <v/>
      </c>
    </row>
    <row r="157" spans="2:2">
      <c r="B157" t="str">
        <f>IFERROR(VLOOKUP($A157,Customer_Data!$1:$1048576,3,TRUE), "")</f>
        <v/>
      </c>
    </row>
    <row r="158" spans="2:2">
      <c r="B158" t="str">
        <f>IFERROR(VLOOKUP($A158,Customer_Data!$1:$1048576,3,TRUE), "")</f>
        <v/>
      </c>
    </row>
    <row r="159" spans="2:2">
      <c r="B159" t="str">
        <f>IFERROR(VLOOKUP($A159,Customer_Data!$1:$1048576,3,TRUE), "")</f>
        <v/>
      </c>
    </row>
    <row r="160" spans="2:2">
      <c r="B160" t="str">
        <f>IFERROR(VLOOKUP($A160,Customer_Data!$1:$1048576,3,TRUE), "")</f>
        <v/>
      </c>
    </row>
    <row r="161" spans="2:2">
      <c r="B161" t="str">
        <f>IFERROR(VLOOKUP($A161,Customer_Data!$1:$1048576,3,TRUE), "")</f>
        <v/>
      </c>
    </row>
    <row r="162" spans="2:2">
      <c r="B162" t="str">
        <f>IFERROR(VLOOKUP($A162,Customer_Data!$1:$1048576,3,TRUE), "")</f>
        <v/>
      </c>
    </row>
    <row r="163" spans="2:2">
      <c r="B163" t="str">
        <f>IFERROR(VLOOKUP($A163,Customer_Data!$1:$1048576,3,TRUE), "")</f>
        <v/>
      </c>
    </row>
    <row r="164" spans="2:2">
      <c r="B164" t="str">
        <f>IFERROR(VLOOKUP($A164,Customer_Data!$1:$1048576,3,TRUE), "")</f>
        <v/>
      </c>
    </row>
    <row r="165" spans="2:2">
      <c r="B165" t="str">
        <f>IFERROR(VLOOKUP($A165,Customer_Data!$1:$1048576,3,TRUE), "")</f>
        <v/>
      </c>
    </row>
    <row r="166" spans="2:2">
      <c r="B166" t="str">
        <f>IFERROR(VLOOKUP($A166,Customer_Data!$1:$1048576,3,TRUE), "")</f>
        <v/>
      </c>
    </row>
    <row r="167" spans="2:2">
      <c r="B167" t="str">
        <f>IFERROR(VLOOKUP($A167,Customer_Data!$1:$1048576,3,TRUE), "")</f>
        <v/>
      </c>
    </row>
    <row r="168" spans="2:2">
      <c r="B168" t="str">
        <f>IFERROR(VLOOKUP($A168,Customer_Data!$1:$1048576,3,TRUE), "")</f>
        <v/>
      </c>
    </row>
    <row r="169" spans="2:2">
      <c r="B169" t="str">
        <f>IFERROR(VLOOKUP($A169,Customer_Data!$1:$1048576,3,TRUE), "")</f>
        <v/>
      </c>
    </row>
    <row r="170" spans="2:2">
      <c r="B170" t="str">
        <f>IFERROR(VLOOKUP($A170,Customer_Data!$1:$1048576,3,TRUE), "")</f>
        <v/>
      </c>
    </row>
    <row r="171" spans="2:2">
      <c r="B171" t="str">
        <f>IFERROR(VLOOKUP($A171,Customer_Data!$1:$1048576,3,TRUE), "")</f>
        <v/>
      </c>
    </row>
    <row r="172" spans="2:2">
      <c r="B172" t="str">
        <f>IFERROR(VLOOKUP($A172,Customer_Data!$1:$1048576,3,TRUE), "")</f>
        <v/>
      </c>
    </row>
    <row r="173" spans="2:2">
      <c r="B173" t="str">
        <f>IFERROR(VLOOKUP($A173,Customer_Data!$1:$1048576,3,TRUE), "")</f>
        <v/>
      </c>
    </row>
    <row r="174" spans="2:2">
      <c r="B174" t="str">
        <f>IFERROR(VLOOKUP($A174,Customer_Data!$1:$1048576,3,TRUE), "")</f>
        <v/>
      </c>
    </row>
    <row r="175" spans="2:2">
      <c r="B175" t="str">
        <f>IFERROR(VLOOKUP($A175,Customer_Data!$1:$1048576,3,TRUE), "")</f>
        <v/>
      </c>
    </row>
    <row r="176" spans="2:2">
      <c r="B176" t="str">
        <f>IFERROR(VLOOKUP($A176,Customer_Data!$1:$1048576,3,TRUE), "")</f>
        <v/>
      </c>
    </row>
    <row r="177" spans="2:2">
      <c r="B177" t="str">
        <f>IFERROR(VLOOKUP($A177,Customer_Data!$1:$1048576,3,TRUE), "")</f>
        <v/>
      </c>
    </row>
    <row r="178" spans="2:2">
      <c r="B178" t="str">
        <f>IFERROR(VLOOKUP($A178,Customer_Data!$1:$1048576,3,TRUE), 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DC3275-E5B5-4865-B9E7-1011EB5BB6E3}">
          <x14:formula1>
            <xm:f>Customer_Data!$A:$A</xm:f>
          </x14:formula1>
          <xm:sqref>A2:A3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4F91-33D8-4DAF-8789-6474685CF527}">
  <sheetPr codeName="Sheet4"/>
  <dimension ref="A1:T43"/>
  <sheetViews>
    <sheetView workbookViewId="0">
      <selection activeCell="D3" sqref="D3"/>
    </sheetView>
  </sheetViews>
  <sheetFormatPr defaultRowHeight="13.2"/>
  <cols>
    <col min="1" max="1" width="16.44140625" customWidth="1"/>
    <col min="2" max="2" width="13.88671875" bestFit="1" customWidth="1"/>
    <col min="3" max="3" width="11.44140625" customWidth="1"/>
    <col min="4" max="4" width="21.5546875" customWidth="1"/>
    <col min="5" max="5" width="25.88671875" bestFit="1" customWidth="1"/>
    <col min="6" max="6" width="13.6640625" customWidth="1"/>
    <col min="7" max="7" width="16.33203125" customWidth="1"/>
    <col min="8" max="8" width="14.6640625" bestFit="1" customWidth="1"/>
    <col min="10" max="10" width="13.44140625" bestFit="1" customWidth="1"/>
    <col min="11" max="11" width="13.44140625" customWidth="1"/>
  </cols>
  <sheetData>
    <row r="1" spans="1:20" s="49" customFormat="1" ht="15.6">
      <c r="A1" s="52" t="s">
        <v>3</v>
      </c>
      <c r="B1" s="53" t="s">
        <v>84</v>
      </c>
      <c r="D1" s="59" t="s">
        <v>176</v>
      </c>
      <c r="E1" s="59" t="s">
        <v>234</v>
      </c>
      <c r="G1" s="49" t="s">
        <v>177</v>
      </c>
    </row>
    <row r="2" spans="1:20">
      <c r="A2" s="54"/>
      <c r="B2" s="55"/>
      <c r="D2" s="60"/>
      <c r="E2" s="60"/>
      <c r="G2" t="s">
        <v>115</v>
      </c>
      <c r="H2" t="s">
        <v>175</v>
      </c>
      <c r="I2" t="s">
        <v>103</v>
      </c>
      <c r="J2" t="s">
        <v>116</v>
      </c>
      <c r="K2" t="s">
        <v>175</v>
      </c>
      <c r="L2" t="s">
        <v>103</v>
      </c>
      <c r="M2" t="s">
        <v>117</v>
      </c>
      <c r="N2" t="s">
        <v>175</v>
      </c>
      <c r="O2" t="s">
        <v>103</v>
      </c>
      <c r="P2" t="s">
        <v>118</v>
      </c>
      <c r="Q2" t="s">
        <v>175</v>
      </c>
      <c r="R2" t="s">
        <v>103</v>
      </c>
      <c r="S2" t="s">
        <v>119</v>
      </c>
      <c r="T2" t="s">
        <v>103</v>
      </c>
    </row>
    <row r="3" spans="1:20">
      <c r="A3" s="54" t="s">
        <v>86</v>
      </c>
      <c r="B3" s="56">
        <v>48182</v>
      </c>
      <c r="D3" s="60" t="s">
        <v>581</v>
      </c>
      <c r="E3" s="60" t="s">
        <v>236</v>
      </c>
      <c r="F3" s="1" t="s">
        <v>178</v>
      </c>
      <c r="G3" t="s">
        <v>102</v>
      </c>
      <c r="H3" s="30" t="s">
        <v>61</v>
      </c>
      <c r="I3" t="s">
        <v>104</v>
      </c>
      <c r="J3" t="s">
        <v>105</v>
      </c>
      <c r="L3" t="s">
        <v>106</v>
      </c>
      <c r="M3" t="s">
        <v>107</v>
      </c>
      <c r="O3" t="s">
        <v>542</v>
      </c>
      <c r="P3" t="s">
        <v>108</v>
      </c>
      <c r="R3" t="s">
        <v>109</v>
      </c>
      <c r="S3" t="s">
        <v>110</v>
      </c>
      <c r="T3" t="s">
        <v>109</v>
      </c>
    </row>
    <row r="4" spans="1:20">
      <c r="A4" s="54" t="s">
        <v>85</v>
      </c>
      <c r="B4" s="56">
        <v>48160</v>
      </c>
      <c r="D4" s="60" t="s">
        <v>582</v>
      </c>
      <c r="E4" s="60" t="s">
        <v>237</v>
      </c>
    </row>
    <row r="5" spans="1:20">
      <c r="A5" s="54"/>
      <c r="B5" s="56"/>
      <c r="D5" s="60" t="s">
        <v>98</v>
      </c>
      <c r="E5" s="60" t="s">
        <v>235</v>
      </c>
      <c r="F5" s="1" t="s">
        <v>98</v>
      </c>
      <c r="G5" t="s">
        <v>111</v>
      </c>
      <c r="H5" t="s">
        <v>179</v>
      </c>
      <c r="I5" t="s">
        <v>112</v>
      </c>
    </row>
    <row r="6" spans="1:20">
      <c r="A6" s="54"/>
      <c r="B6" s="56"/>
      <c r="D6" s="60" t="s">
        <v>99</v>
      </c>
      <c r="E6" s="60" t="s">
        <v>238</v>
      </c>
      <c r="F6" s="1"/>
    </row>
    <row r="7" spans="1:20">
      <c r="A7" s="54"/>
      <c r="B7" s="56"/>
      <c r="D7" s="60" t="s">
        <v>378</v>
      </c>
      <c r="E7" s="60" t="s">
        <v>239</v>
      </c>
      <c r="F7" s="1" t="s">
        <v>99</v>
      </c>
      <c r="G7" t="s">
        <v>63</v>
      </c>
      <c r="I7" t="s">
        <v>113</v>
      </c>
    </row>
    <row r="8" spans="1:20">
      <c r="A8" s="54"/>
      <c r="B8" s="56"/>
      <c r="D8" s="60" t="s">
        <v>100</v>
      </c>
      <c r="E8" s="60" t="s">
        <v>240</v>
      </c>
      <c r="F8" s="1"/>
    </row>
    <row r="9" spans="1:20">
      <c r="A9" s="54"/>
      <c r="B9" s="56"/>
      <c r="D9" s="60"/>
      <c r="E9" s="60" t="s">
        <v>241</v>
      </c>
      <c r="F9" s="1" t="s">
        <v>100</v>
      </c>
      <c r="G9" t="s">
        <v>114</v>
      </c>
    </row>
    <row r="10" spans="1:20" ht="13.8" thickBot="1">
      <c r="A10" s="57"/>
      <c r="B10" s="58"/>
      <c r="D10" s="61"/>
      <c r="E10" s="61" t="s">
        <v>242</v>
      </c>
    </row>
    <row r="12" spans="1:20" ht="13.8" thickBot="1"/>
    <row r="13" spans="1:20" ht="31.2">
      <c r="A13" s="102" t="s">
        <v>214</v>
      </c>
      <c r="C13" s="158" t="s">
        <v>451</v>
      </c>
      <c r="D13" s="158" t="s">
        <v>452</v>
      </c>
    </row>
    <row r="14" spans="1:20">
      <c r="A14" s="60"/>
      <c r="C14" s="210" t="s">
        <v>453</v>
      </c>
      <c r="D14" s="160" t="s">
        <v>454</v>
      </c>
    </row>
    <row r="15" spans="1:20">
      <c r="A15" s="60" t="s">
        <v>215</v>
      </c>
      <c r="C15" s="210"/>
      <c r="D15" s="161"/>
    </row>
    <row r="16" spans="1:20" ht="22.8">
      <c r="A16" s="60" t="s">
        <v>216</v>
      </c>
      <c r="C16" s="210"/>
      <c r="D16" s="162" t="s">
        <v>455</v>
      </c>
    </row>
    <row r="17" spans="1:4" ht="15.6">
      <c r="A17" s="60" t="s">
        <v>217</v>
      </c>
      <c r="C17" s="159" t="s">
        <v>473</v>
      </c>
      <c r="D17" s="164" t="s">
        <v>474</v>
      </c>
    </row>
    <row r="18" spans="1:4" ht="22.8">
      <c r="A18" s="60" t="s">
        <v>218</v>
      </c>
      <c r="C18" s="159" t="s">
        <v>465</v>
      </c>
      <c r="D18" s="163" t="s">
        <v>466</v>
      </c>
    </row>
    <row r="19" spans="1:4" ht="13.8" thickBot="1">
      <c r="A19" s="61" t="s">
        <v>220</v>
      </c>
      <c r="C19" s="210" t="s">
        <v>470</v>
      </c>
      <c r="D19" s="160" t="s">
        <v>471</v>
      </c>
    </row>
    <row r="20" spans="1:4">
      <c r="C20" s="210"/>
      <c r="D20" s="161"/>
    </row>
    <row r="21" spans="1:4" ht="22.8">
      <c r="C21" s="210"/>
      <c r="D21" s="162" t="s">
        <v>472</v>
      </c>
    </row>
    <row r="22" spans="1:4" ht="22.8">
      <c r="C22" s="210" t="s">
        <v>456</v>
      </c>
      <c r="D22" s="160" t="s">
        <v>457</v>
      </c>
    </row>
    <row r="23" spans="1:4">
      <c r="C23" s="210"/>
      <c r="D23" s="161"/>
    </row>
    <row r="24" spans="1:4" ht="22.8">
      <c r="C24" s="210"/>
      <c r="D24" s="162" t="s">
        <v>458</v>
      </c>
    </row>
    <row r="25" spans="1:4" ht="22.8">
      <c r="C25" s="210" t="s">
        <v>467</v>
      </c>
      <c r="D25" s="160" t="s">
        <v>468</v>
      </c>
    </row>
    <row r="26" spans="1:4">
      <c r="C26" s="210"/>
      <c r="D26" s="161"/>
    </row>
    <row r="27" spans="1:4" ht="22.8">
      <c r="C27" s="210"/>
      <c r="D27" s="162" t="s">
        <v>469</v>
      </c>
    </row>
    <row r="28" spans="1:4" ht="22.8">
      <c r="C28" s="210" t="s">
        <v>459</v>
      </c>
      <c r="D28" s="160" t="s">
        <v>460</v>
      </c>
    </row>
    <row r="29" spans="1:4">
      <c r="C29" s="210"/>
      <c r="D29" s="161"/>
    </row>
    <row r="30" spans="1:4" ht="22.8">
      <c r="C30" s="210"/>
      <c r="D30" s="162" t="s">
        <v>461</v>
      </c>
    </row>
    <row r="31" spans="1:4" ht="22.8">
      <c r="C31" s="210" t="s">
        <v>462</v>
      </c>
      <c r="D31" s="160" t="s">
        <v>463</v>
      </c>
    </row>
    <row r="32" spans="1:4">
      <c r="C32" s="210"/>
      <c r="D32" s="161"/>
    </row>
    <row r="33" spans="3:4" ht="22.8">
      <c r="C33" s="210"/>
      <c r="D33" s="162" t="s">
        <v>464</v>
      </c>
    </row>
    <row r="34" spans="3:4">
      <c r="C34" s="156"/>
      <c r="D34" s="156"/>
    </row>
    <row r="35" spans="3:4">
      <c r="C35" s="209"/>
      <c r="D35" s="157"/>
    </row>
    <row r="36" spans="3:4">
      <c r="C36" s="209"/>
      <c r="D36" s="156"/>
    </row>
    <row r="37" spans="3:4">
      <c r="C37" s="209"/>
      <c r="D37" s="157"/>
    </row>
    <row r="38" spans="3:4">
      <c r="C38" s="209"/>
      <c r="D38" s="157"/>
    </row>
    <row r="39" spans="3:4">
      <c r="C39" s="209"/>
      <c r="D39" s="156"/>
    </row>
    <row r="40" spans="3:4">
      <c r="C40" s="209"/>
      <c r="D40" s="157"/>
    </row>
    <row r="41" spans="3:4">
      <c r="C41" s="209"/>
      <c r="D41" s="157"/>
    </row>
    <row r="42" spans="3:4">
      <c r="C42" s="209"/>
      <c r="D42" s="156"/>
    </row>
    <row r="43" spans="3:4">
      <c r="C43" s="209"/>
      <c r="D43" s="157"/>
    </row>
  </sheetData>
  <sortState xmlns:xlrd2="http://schemas.microsoft.com/office/spreadsheetml/2017/richdata2" ref="A3:B3">
    <sortCondition ref="A3"/>
  </sortState>
  <mergeCells count="9">
    <mergeCell ref="C41:C43"/>
    <mergeCell ref="C14:C16"/>
    <mergeCell ref="C22:C24"/>
    <mergeCell ref="C28:C30"/>
    <mergeCell ref="C31:C33"/>
    <mergeCell ref="C25:C27"/>
    <mergeCell ref="C19:C21"/>
    <mergeCell ref="C35:C37"/>
    <mergeCell ref="C38:C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F89C-3BC9-49FF-B279-F1098CF56AED}">
  <sheetPr codeName="Sheet5"/>
  <dimension ref="B1:P23"/>
  <sheetViews>
    <sheetView workbookViewId="0">
      <selection activeCell="B24" sqref="B24"/>
    </sheetView>
  </sheetViews>
  <sheetFormatPr defaultRowHeight="13.2"/>
  <cols>
    <col min="2" max="2" width="12.44140625" customWidth="1"/>
    <col min="3" max="3" width="11.44140625" customWidth="1"/>
    <col min="4" max="4" width="11.88671875" customWidth="1"/>
    <col min="5" max="5" width="11.33203125" bestFit="1" customWidth="1"/>
    <col min="6" max="6" width="11.109375" customWidth="1"/>
    <col min="7" max="9" width="11.77734375" bestFit="1" customWidth="1"/>
    <col min="10" max="10" width="12.33203125" bestFit="1" customWidth="1"/>
    <col min="11" max="11" width="11.21875" bestFit="1" customWidth="1"/>
    <col min="12" max="12" width="12.21875" bestFit="1" customWidth="1"/>
    <col min="13" max="13" width="13.33203125" bestFit="1" customWidth="1"/>
    <col min="15" max="15" width="10" customWidth="1"/>
  </cols>
  <sheetData>
    <row r="1" spans="2:16" ht="15.6">
      <c r="B1" s="211" t="s">
        <v>133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</row>
    <row r="2" spans="2:16" s="1" customFormat="1">
      <c r="B2" s="1" t="s">
        <v>134</v>
      </c>
      <c r="C2" s="50">
        <v>5.0000000000000001E-3</v>
      </c>
      <c r="D2" s="50">
        <v>7.4999999999999997E-3</v>
      </c>
      <c r="E2" s="51">
        <v>0.01</v>
      </c>
      <c r="F2" s="51">
        <v>0.02</v>
      </c>
      <c r="G2" s="51">
        <v>0.03</v>
      </c>
      <c r="H2" s="51">
        <v>0.05</v>
      </c>
      <c r="I2" s="51">
        <v>0.1</v>
      </c>
      <c r="J2" s="51">
        <v>0.15</v>
      </c>
      <c r="K2" s="51">
        <v>0.2</v>
      </c>
      <c r="L2" s="51">
        <v>0.3</v>
      </c>
      <c r="M2" s="51">
        <v>0.5</v>
      </c>
      <c r="O2" s="1" t="s">
        <v>170</v>
      </c>
    </row>
    <row r="3" spans="2:16">
      <c r="B3" t="s">
        <v>135</v>
      </c>
      <c r="C3">
        <f>128*C2</f>
        <v>0.64</v>
      </c>
      <c r="D3">
        <f t="shared" ref="D3:F3" si="0">128*D2</f>
        <v>0.96</v>
      </c>
      <c r="E3">
        <f t="shared" si="0"/>
        <v>1.28</v>
      </c>
      <c r="F3">
        <f t="shared" si="0"/>
        <v>2.56</v>
      </c>
      <c r="G3">
        <f t="shared" ref="G3" si="1">128*G2</f>
        <v>3.84</v>
      </c>
      <c r="H3">
        <f t="shared" ref="H3:I3" si="2">128*H2</f>
        <v>6.4</v>
      </c>
      <c r="I3">
        <f t="shared" si="2"/>
        <v>12.8</v>
      </c>
      <c r="J3">
        <f t="shared" ref="J3" si="3">128*J2</f>
        <v>19.2</v>
      </c>
      <c r="K3">
        <f t="shared" ref="K3:L3" si="4">128*K2</f>
        <v>25.6</v>
      </c>
      <c r="L3">
        <f t="shared" si="4"/>
        <v>38.4</v>
      </c>
      <c r="M3">
        <f t="shared" ref="M3" si="5">128*M2</f>
        <v>64</v>
      </c>
      <c r="O3">
        <v>0.33</v>
      </c>
    </row>
    <row r="4" spans="2:16">
      <c r="B4" t="s">
        <v>136</v>
      </c>
      <c r="C4">
        <f>2*C3</f>
        <v>1.28</v>
      </c>
      <c r="D4">
        <f>2*D3</f>
        <v>1.92</v>
      </c>
      <c r="E4">
        <f>2*E3</f>
        <v>2.56</v>
      </c>
      <c r="F4">
        <f t="shared" ref="F4:M4" si="6">2*F3</f>
        <v>5.12</v>
      </c>
      <c r="G4">
        <f t="shared" si="6"/>
        <v>7.68</v>
      </c>
      <c r="H4">
        <f t="shared" si="6"/>
        <v>12.8</v>
      </c>
      <c r="I4">
        <f t="shared" si="6"/>
        <v>25.6</v>
      </c>
      <c r="J4">
        <f t="shared" si="6"/>
        <v>38.4</v>
      </c>
      <c r="K4">
        <f t="shared" si="6"/>
        <v>51.2</v>
      </c>
      <c r="L4">
        <f t="shared" si="6"/>
        <v>76.8</v>
      </c>
      <c r="M4">
        <f t="shared" si="6"/>
        <v>128</v>
      </c>
      <c r="O4">
        <v>0.66</v>
      </c>
    </row>
    <row r="5" spans="2:16">
      <c r="B5" t="s">
        <v>137</v>
      </c>
      <c r="C5">
        <f>3*C3</f>
        <v>1.92</v>
      </c>
      <c r="D5">
        <f t="shared" ref="D5:M5" si="7">3*D3</f>
        <v>2.88</v>
      </c>
      <c r="E5">
        <f t="shared" si="7"/>
        <v>3.84</v>
      </c>
      <c r="F5">
        <f t="shared" si="7"/>
        <v>7.68</v>
      </c>
      <c r="G5">
        <f t="shared" si="7"/>
        <v>11.52</v>
      </c>
      <c r="H5">
        <f t="shared" si="7"/>
        <v>19.200000000000003</v>
      </c>
      <c r="I5">
        <f t="shared" si="7"/>
        <v>38.400000000000006</v>
      </c>
      <c r="J5">
        <f t="shared" si="7"/>
        <v>57.599999999999994</v>
      </c>
      <c r="K5">
        <f t="shared" si="7"/>
        <v>76.800000000000011</v>
      </c>
      <c r="L5">
        <f t="shared" si="7"/>
        <v>115.19999999999999</v>
      </c>
      <c r="M5">
        <f t="shared" si="7"/>
        <v>192</v>
      </c>
      <c r="O5">
        <v>1</v>
      </c>
    </row>
    <row r="6" spans="2:16">
      <c r="B6" t="s">
        <v>138</v>
      </c>
      <c r="C6">
        <f>4*C3</f>
        <v>2.56</v>
      </c>
      <c r="D6">
        <f t="shared" ref="D6:M6" si="8">4*D3</f>
        <v>3.84</v>
      </c>
      <c r="E6">
        <f t="shared" si="8"/>
        <v>5.12</v>
      </c>
      <c r="F6">
        <f t="shared" si="8"/>
        <v>10.24</v>
      </c>
      <c r="G6">
        <f t="shared" si="8"/>
        <v>15.36</v>
      </c>
      <c r="H6">
        <f t="shared" si="8"/>
        <v>25.6</v>
      </c>
      <c r="I6">
        <f t="shared" si="8"/>
        <v>51.2</v>
      </c>
      <c r="J6">
        <f t="shared" si="8"/>
        <v>76.8</v>
      </c>
      <c r="K6">
        <f t="shared" si="8"/>
        <v>102.4</v>
      </c>
      <c r="L6">
        <f t="shared" si="8"/>
        <v>153.6</v>
      </c>
      <c r="M6">
        <f t="shared" si="8"/>
        <v>256</v>
      </c>
      <c r="O6">
        <f>O3*4</f>
        <v>1.32</v>
      </c>
    </row>
    <row r="7" spans="2:16">
      <c r="B7" t="s">
        <v>139</v>
      </c>
      <c r="C7">
        <f>5*C3</f>
        <v>3.2</v>
      </c>
      <c r="D7">
        <f t="shared" ref="D7:M7" si="9">5*D3</f>
        <v>4.8</v>
      </c>
      <c r="E7">
        <f t="shared" si="9"/>
        <v>6.4</v>
      </c>
      <c r="F7">
        <f t="shared" si="9"/>
        <v>12.8</v>
      </c>
      <c r="G7">
        <f t="shared" si="9"/>
        <v>19.2</v>
      </c>
      <c r="H7">
        <f t="shared" si="9"/>
        <v>32</v>
      </c>
      <c r="I7">
        <f t="shared" si="9"/>
        <v>64</v>
      </c>
      <c r="J7">
        <f t="shared" si="9"/>
        <v>96</v>
      </c>
      <c r="K7">
        <f t="shared" si="9"/>
        <v>128</v>
      </c>
      <c r="L7">
        <f t="shared" si="9"/>
        <v>192</v>
      </c>
      <c r="M7">
        <f t="shared" si="9"/>
        <v>320</v>
      </c>
      <c r="O7">
        <f>O3*5</f>
        <v>1.6500000000000001</v>
      </c>
    </row>
    <row r="8" spans="2:16">
      <c r="B8" t="s">
        <v>140</v>
      </c>
      <c r="C8">
        <f>10*C3</f>
        <v>6.4</v>
      </c>
      <c r="D8">
        <f t="shared" ref="D8:G8" si="10">10*D3</f>
        <v>9.6</v>
      </c>
      <c r="E8">
        <f t="shared" si="10"/>
        <v>12.8</v>
      </c>
      <c r="F8">
        <f>10*F3</f>
        <v>25.6</v>
      </c>
      <c r="G8">
        <f t="shared" si="10"/>
        <v>38.4</v>
      </c>
      <c r="H8" t="s">
        <v>153</v>
      </c>
      <c r="I8" t="s">
        <v>146</v>
      </c>
      <c r="J8" t="s">
        <v>154</v>
      </c>
      <c r="K8" t="s">
        <v>147</v>
      </c>
      <c r="L8">
        <f>10*L3</f>
        <v>384</v>
      </c>
      <c r="M8">
        <f>10*M3</f>
        <v>640</v>
      </c>
      <c r="O8">
        <v>3.33</v>
      </c>
    </row>
    <row r="9" spans="2:16">
      <c r="B9" t="s">
        <v>141</v>
      </c>
      <c r="C9">
        <f>15*C3</f>
        <v>9.6</v>
      </c>
      <c r="D9">
        <f t="shared" ref="D9:G9" si="11">15*D3</f>
        <v>14.399999999999999</v>
      </c>
      <c r="E9">
        <f t="shared" si="11"/>
        <v>19.2</v>
      </c>
      <c r="F9">
        <f t="shared" si="11"/>
        <v>38.4</v>
      </c>
      <c r="G9">
        <f t="shared" si="11"/>
        <v>57.599999999999994</v>
      </c>
      <c r="H9" t="s">
        <v>155</v>
      </c>
      <c r="I9" t="s">
        <v>154</v>
      </c>
      <c r="J9" t="s">
        <v>156</v>
      </c>
      <c r="K9" t="s">
        <v>148</v>
      </c>
      <c r="L9">
        <f>15*L3</f>
        <v>576</v>
      </c>
      <c r="M9">
        <f>15*M3</f>
        <v>960</v>
      </c>
      <c r="O9">
        <v>5</v>
      </c>
    </row>
    <row r="10" spans="2:16">
      <c r="B10" t="s">
        <v>142</v>
      </c>
      <c r="C10">
        <f>30*C3</f>
        <v>19.2</v>
      </c>
      <c r="D10">
        <f>30*D3</f>
        <v>28.799999999999997</v>
      </c>
      <c r="E10">
        <v>38</v>
      </c>
      <c r="F10">
        <v>77</v>
      </c>
      <c r="G10">
        <v>115</v>
      </c>
      <c r="H10" t="s">
        <v>154</v>
      </c>
      <c r="I10" t="s">
        <v>148</v>
      </c>
      <c r="J10" t="s">
        <v>157</v>
      </c>
      <c r="K10" t="s">
        <v>158</v>
      </c>
      <c r="L10">
        <f>30*L3</f>
        <v>1152</v>
      </c>
      <c r="M10">
        <f>30*M3</f>
        <v>1920</v>
      </c>
      <c r="O10">
        <v>10</v>
      </c>
    </row>
    <row r="11" spans="2:16">
      <c r="B11" t="s">
        <v>143</v>
      </c>
      <c r="C11" t="s">
        <v>161</v>
      </c>
      <c r="D11" t="s">
        <v>162</v>
      </c>
      <c r="E11" t="s">
        <v>146</v>
      </c>
      <c r="F11" t="s">
        <v>147</v>
      </c>
      <c r="G11" t="s">
        <v>148</v>
      </c>
      <c r="H11" t="s">
        <v>149</v>
      </c>
      <c r="I11" t="s">
        <v>150</v>
      </c>
      <c r="J11" t="s">
        <v>151</v>
      </c>
      <c r="K11" t="s">
        <v>152</v>
      </c>
      <c r="L11" t="str">
        <f>100*L3&amp;"(30 gal)"</f>
        <v>3840(30 gal)</v>
      </c>
      <c r="M11" t="str">
        <f>100*M3&amp;"(50 gal)"</f>
        <v>6400(50 gal)</v>
      </c>
      <c r="O11">
        <f>O3*100</f>
        <v>33</v>
      </c>
      <c r="P11" t="s">
        <v>173</v>
      </c>
    </row>
    <row r="12" spans="2:16">
      <c r="B12" t="s">
        <v>144</v>
      </c>
      <c r="C12" t="s">
        <v>146</v>
      </c>
      <c r="D12" t="str">
        <f>200*D3&amp;"(1.5 gal)"</f>
        <v>192(1.5 gal)</v>
      </c>
      <c r="E12" t="s">
        <v>147</v>
      </c>
      <c r="F12" t="s">
        <v>159</v>
      </c>
      <c r="G12" t="s">
        <v>158</v>
      </c>
      <c r="H12" t="s">
        <v>150</v>
      </c>
      <c r="I12" t="str">
        <f>200*I3&amp;"(20 gal)"</f>
        <v>2560(20 gal)</v>
      </c>
      <c r="J12" t="str">
        <f>200*J3&amp;"(30 gal)"</f>
        <v>3840(30 gal)</v>
      </c>
      <c r="K12" t="str">
        <f>200*K3&amp;"(40 gal)"</f>
        <v>5120(40 gal)</v>
      </c>
      <c r="L12" t="str">
        <f>200*L3&amp;"(60 gal)"</f>
        <v>7680(60 gal)</v>
      </c>
      <c r="M12" t="str">
        <f>200*M3&amp;"(100 gal)"</f>
        <v>12800(100 gal)</v>
      </c>
      <c r="O12">
        <f>O3*200</f>
        <v>66</v>
      </c>
      <c r="P12" t="s">
        <v>172</v>
      </c>
    </row>
    <row r="13" spans="2:16">
      <c r="B13" t="s">
        <v>145</v>
      </c>
      <c r="C13" t="str">
        <f>300*C3  &amp;"(1.5 gal)"</f>
        <v>192(1.5 gal)</v>
      </c>
      <c r="D13" t="str">
        <f>300*D3 &amp;"(2.25 gal)"</f>
        <v>288(2.25 gal)</v>
      </c>
      <c r="E13" t="s">
        <v>148</v>
      </c>
      <c r="F13" t="s">
        <v>158</v>
      </c>
      <c r="G13" t="s">
        <v>160</v>
      </c>
      <c r="H13" t="s">
        <v>151</v>
      </c>
      <c r="I13" t="str">
        <f>300*I3&amp;"(30 gal)"</f>
        <v>3840(30 gal)</v>
      </c>
      <c r="J13" t="str">
        <f>300*J3&amp;"(45 gal)"</f>
        <v>5760(45 gal)</v>
      </c>
      <c r="K13" t="str">
        <f>300*K3&amp;"(60 gal)"</f>
        <v>7680(60 gal)</v>
      </c>
      <c r="L13" t="str">
        <f>300*L3&amp;"(90 gal)"</f>
        <v>11520(90 gal)</v>
      </c>
      <c r="M13" t="str">
        <f>300*M3&amp;"(150 gal)"</f>
        <v>19200(150 gal)</v>
      </c>
      <c r="O13">
        <f>O3*300</f>
        <v>99</v>
      </c>
      <c r="P13" t="s">
        <v>171</v>
      </c>
    </row>
    <row r="16" spans="2:16">
      <c r="B16" t="s">
        <v>174</v>
      </c>
    </row>
    <row r="18" spans="2:5">
      <c r="B18" t="s">
        <v>163</v>
      </c>
      <c r="E18" t="s">
        <v>168</v>
      </c>
    </row>
    <row r="19" spans="2:5">
      <c r="B19" t="s">
        <v>164</v>
      </c>
      <c r="E19" t="s">
        <v>169</v>
      </c>
    </row>
    <row r="20" spans="2:5">
      <c r="B20" t="s">
        <v>165</v>
      </c>
      <c r="E20" t="s">
        <v>167</v>
      </c>
    </row>
    <row r="21" spans="2:5">
      <c r="B21" t="s">
        <v>166</v>
      </c>
    </row>
    <row r="23" spans="2:5">
      <c r="B23" t="s">
        <v>543</v>
      </c>
    </row>
  </sheetData>
  <mergeCells count="1">
    <mergeCell ref="B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ACA5-0AD2-4A52-B8CF-45610633B2BE}">
  <sheetPr codeName="Sheet6">
    <pageSetUpPr fitToPage="1"/>
  </sheetPr>
  <dimension ref="A1:M27"/>
  <sheetViews>
    <sheetView showGridLines="0" zoomScaleNormal="100" workbookViewId="0">
      <selection activeCell="C16" sqref="C16"/>
    </sheetView>
  </sheetViews>
  <sheetFormatPr defaultColWidth="10" defaultRowHeight="14.4"/>
  <cols>
    <col min="1" max="1" width="10.44140625" style="66" customWidth="1"/>
    <col min="2" max="2" width="14" style="66" customWidth="1"/>
    <col min="3" max="3" width="19.5546875" style="66" customWidth="1"/>
    <col min="4" max="6" width="7.33203125" style="66" customWidth="1"/>
    <col min="7" max="7" width="14" style="66" customWidth="1"/>
    <col min="8" max="8" width="19.5546875" style="66" customWidth="1"/>
    <col min="9" max="9" width="12.88671875" style="66" customWidth="1"/>
    <col min="10" max="16384" width="10" style="66"/>
  </cols>
  <sheetData>
    <row r="1" spans="1:13" ht="46.5" customHeight="1">
      <c r="A1" s="107" t="s">
        <v>187</v>
      </c>
      <c r="B1" s="64"/>
      <c r="C1" s="64"/>
      <c r="D1" s="64"/>
      <c r="E1" s="64"/>
      <c r="F1" s="65"/>
      <c r="G1" s="217" t="s">
        <v>192</v>
      </c>
      <c r="H1" s="217"/>
    </row>
    <row r="2" spans="1:13" ht="19.5" customHeight="1">
      <c r="A2" s="67" t="s">
        <v>96</v>
      </c>
      <c r="B2" s="68"/>
      <c r="C2" s="68"/>
      <c r="D2" s="69"/>
      <c r="E2" s="70"/>
      <c r="J2" s="71"/>
    </row>
    <row r="3" spans="1:13" ht="19.5" customHeight="1">
      <c r="A3" s="67" t="s">
        <v>206</v>
      </c>
      <c r="B3" s="69"/>
      <c r="C3" s="69"/>
      <c r="D3" s="69"/>
      <c r="E3" s="70"/>
      <c r="J3" s="72"/>
      <c r="L3" s="154" t="s">
        <v>422</v>
      </c>
    </row>
    <row r="4" spans="1:13" ht="19.5" customHeight="1">
      <c r="A4" s="67" t="s">
        <v>207</v>
      </c>
      <c r="B4" s="70"/>
      <c r="C4" s="70"/>
      <c r="D4" s="69"/>
      <c r="E4" s="70"/>
      <c r="F4" s="218" t="s">
        <v>193</v>
      </c>
      <c r="G4" s="218"/>
      <c r="H4" s="73" t="s">
        <v>194</v>
      </c>
      <c r="M4" s="66" t="s">
        <v>423</v>
      </c>
    </row>
    <row r="5" spans="1:13" ht="19.5" customHeight="1">
      <c r="A5" s="69"/>
      <c r="B5" s="69"/>
      <c r="C5" s="69"/>
      <c r="D5" s="69"/>
      <c r="E5" s="70"/>
      <c r="F5" s="219">
        <v>2034</v>
      </c>
      <c r="G5" s="219"/>
      <c r="H5" s="74">
        <f ca="1">TODAY()</f>
        <v>46183</v>
      </c>
      <c r="M5" s="66" t="s">
        <v>424</v>
      </c>
    </row>
    <row r="6" spans="1:13">
      <c r="A6" s="70"/>
      <c r="B6" s="70"/>
      <c r="C6" s="70"/>
      <c r="D6" s="70"/>
      <c r="E6" s="69"/>
      <c r="F6" s="69"/>
      <c r="G6" s="69"/>
      <c r="H6" s="69"/>
      <c r="M6" s="66" t="s">
        <v>425</v>
      </c>
    </row>
    <row r="7" spans="1:13" ht="20.100000000000001" customHeight="1">
      <c r="A7" s="220" t="s">
        <v>195</v>
      </c>
      <c r="B7" s="220"/>
      <c r="C7" s="220"/>
      <c r="D7" s="70"/>
      <c r="E7" s="75"/>
      <c r="F7" s="218" t="s">
        <v>196</v>
      </c>
      <c r="G7" s="218"/>
      <c r="H7" s="73" t="s">
        <v>197</v>
      </c>
      <c r="M7" s="66" t="s">
        <v>426</v>
      </c>
    </row>
    <row r="8" spans="1:13" ht="15.75" customHeight="1">
      <c r="A8" s="70" t="s">
        <v>379</v>
      </c>
      <c r="B8" s="70"/>
      <c r="C8" s="70"/>
      <c r="D8" s="70"/>
      <c r="E8" s="75"/>
      <c r="F8" s="216">
        <f>VLOOKUP($A$8,Customer_Data!$1:$1048576,2,TRUE)</f>
        <v>1006</v>
      </c>
      <c r="G8" s="216"/>
      <c r="H8" s="77" t="s">
        <v>198</v>
      </c>
    </row>
    <row r="9" spans="1:13" ht="15.75" customHeight="1">
      <c r="A9" s="69" t="str">
        <f>VLOOKUP($A$8,Customer_Data!$1:$1048576,3,TRUE)</f>
        <v>5481 Kaywood Drive</v>
      </c>
      <c r="B9" s="70"/>
      <c r="C9" s="70"/>
      <c r="D9" s="70"/>
      <c r="E9" s="75"/>
      <c r="F9" s="69"/>
      <c r="G9" s="69"/>
      <c r="H9" s="69"/>
    </row>
    <row r="10" spans="1:13" ht="15.75" customHeight="1">
      <c r="A10" s="69" t="str">
        <f>CONCATENATE((VLOOKUP($A$8,Customer_Data!$1:$1048576,4,TRUE)),", ",(VLOOKUP($A$8,Customer_Data!$1:$1048576,5,TRUE))," ",(VLOOKUP($A$8,Customer_Data!$1:$1048576,6,TRUE)))</f>
        <v>Jackson, MS 39211</v>
      </c>
      <c r="B10" s="70"/>
      <c r="C10" s="70"/>
      <c r="D10" s="70"/>
      <c r="E10" s="75"/>
      <c r="F10" s="69"/>
      <c r="G10" s="69"/>
      <c r="H10" s="69"/>
    </row>
    <row r="11" spans="1:13" ht="15.75" customHeight="1">
      <c r="A11" s="69" t="str">
        <f>VLOOKUP($A$8,Customer_Data!$1:$1048576,11,TRUE)</f>
        <v>601-594-6977</v>
      </c>
      <c r="B11" s="70"/>
      <c r="C11" s="70"/>
      <c r="D11" s="70"/>
      <c r="E11" s="75"/>
      <c r="F11" s="69"/>
      <c r="G11" s="69"/>
      <c r="H11" s="69"/>
    </row>
    <row r="12" spans="1:13" ht="15.75" customHeight="1">
      <c r="A12" s="69" t="str">
        <f>VLOOKUP($A$8,Customer_Data!$1:$1048576,10,TRUE)</f>
        <v>luther.holmes@itron.com</v>
      </c>
      <c r="B12" s="69"/>
      <c r="C12" s="69"/>
      <c r="D12" s="69"/>
      <c r="E12" s="69"/>
      <c r="F12" s="69"/>
      <c r="G12" s="69"/>
      <c r="H12" s="69"/>
    </row>
    <row r="13" spans="1:13">
      <c r="A13" s="70"/>
      <c r="B13" s="70"/>
      <c r="C13" s="70"/>
      <c r="D13" s="70"/>
      <c r="E13" s="69"/>
      <c r="F13" s="69"/>
      <c r="G13" s="69"/>
      <c r="H13" s="69"/>
    </row>
    <row r="14" spans="1:13" ht="20.100000000000001" customHeight="1">
      <c r="A14" s="76" t="s">
        <v>222</v>
      </c>
      <c r="B14" s="76" t="s">
        <v>199</v>
      </c>
      <c r="C14" s="76"/>
      <c r="D14" s="78"/>
      <c r="E14" s="78"/>
      <c r="F14" s="73" t="s">
        <v>200</v>
      </c>
      <c r="G14" s="73" t="s">
        <v>221</v>
      </c>
      <c r="H14" s="73" t="s">
        <v>201</v>
      </c>
    </row>
    <row r="15" spans="1:13" ht="20.25" customHeight="1">
      <c r="A15" s="111"/>
      <c r="B15" s="193" t="s">
        <v>438</v>
      </c>
      <c r="C15" s="79"/>
      <c r="D15" s="79"/>
      <c r="E15" s="80"/>
      <c r="F15" s="81"/>
      <c r="G15" s="82"/>
      <c r="H15" s="83"/>
    </row>
    <row r="16" spans="1:13" ht="20.25" customHeight="1">
      <c r="A16" s="111">
        <v>45774</v>
      </c>
      <c r="B16" s="109" t="s">
        <v>582</v>
      </c>
      <c r="C16" s="84"/>
      <c r="D16" s="84"/>
      <c r="E16" s="85"/>
      <c r="F16" s="86">
        <v>1</v>
      </c>
      <c r="G16" s="87">
        <v>60</v>
      </c>
      <c r="H16" s="88">
        <f t="shared" ref="H16" si="0">IF(F16="",ROUND(1*G16,2),ROUND(F16*G16,2))</f>
        <v>60</v>
      </c>
    </row>
    <row r="17" spans="1:8" ht="20.25" customHeight="1">
      <c r="A17" s="111"/>
      <c r="B17" s="109"/>
      <c r="C17" s="84"/>
      <c r="D17" s="84"/>
      <c r="E17" s="85"/>
      <c r="F17" s="86"/>
      <c r="G17" s="88"/>
      <c r="H17" s="88">
        <f>G17</f>
        <v>0</v>
      </c>
    </row>
    <row r="18" spans="1:8" ht="20.25" customHeight="1">
      <c r="A18" s="111"/>
      <c r="B18" s="109"/>
      <c r="C18" s="84"/>
      <c r="D18" s="84"/>
      <c r="E18" s="85"/>
      <c r="F18" s="86"/>
      <c r="G18" s="104"/>
      <c r="H18" s="88"/>
    </row>
    <row r="19" spans="1:8" ht="20.25" customHeight="1">
      <c r="A19" s="111"/>
      <c r="B19" s="110"/>
      <c r="C19" s="89"/>
      <c r="D19" s="89"/>
      <c r="E19" s="90"/>
      <c r="F19" s="91"/>
      <c r="G19" s="92"/>
      <c r="H19" s="93"/>
    </row>
    <row r="20" spans="1:8" s="96" customFormat="1" ht="20.25" customHeight="1" thickBot="1">
      <c r="A20" s="221" t="s">
        <v>202</v>
      </c>
      <c r="B20" s="221"/>
      <c r="C20" s="221"/>
      <c r="D20" s="221"/>
      <c r="E20" s="221"/>
      <c r="F20" s="222" t="s">
        <v>203</v>
      </c>
      <c r="G20" s="222"/>
      <c r="H20" s="95">
        <f>SUM(H15:H19)</f>
        <v>60</v>
      </c>
    </row>
    <row r="21" spans="1:8" ht="20.25" customHeight="1">
      <c r="B21" s="112" t="s">
        <v>232</v>
      </c>
      <c r="C21" s="114"/>
      <c r="D21" s="116"/>
      <c r="E21" s="70"/>
      <c r="F21" s="94"/>
      <c r="G21" s="94"/>
      <c r="H21" s="95"/>
    </row>
    <row r="22" spans="1:8" ht="20.25" customHeight="1">
      <c r="A22" s="118"/>
      <c r="B22" s="70"/>
      <c r="C22" s="75" t="s">
        <v>541</v>
      </c>
      <c r="D22" s="118"/>
      <c r="E22" s="70"/>
      <c r="F22" s="99" t="s">
        <v>204</v>
      </c>
      <c r="G22" s="99"/>
      <c r="H22" s="100">
        <f>H20+H21</f>
        <v>60</v>
      </c>
    </row>
    <row r="23" spans="1:8" ht="20.25" customHeight="1">
      <c r="A23" s="118"/>
      <c r="B23" s="70"/>
      <c r="C23" s="75"/>
      <c r="D23" s="118"/>
      <c r="E23" s="70"/>
      <c r="F23" s="101"/>
      <c r="G23" s="101"/>
      <c r="H23" s="101"/>
    </row>
    <row r="24" spans="1:8" ht="15" thickBot="1">
      <c r="A24" s="118"/>
      <c r="B24" s="120"/>
      <c r="C24" s="120"/>
      <c r="D24" s="121"/>
      <c r="E24" s="75"/>
      <c r="F24" s="75"/>
      <c r="G24" s="75"/>
      <c r="H24" s="75"/>
    </row>
    <row r="25" spans="1:8" ht="13.5" customHeight="1">
      <c r="A25" s="75"/>
      <c r="B25" s="75"/>
      <c r="C25" s="75"/>
      <c r="D25" s="75"/>
      <c r="E25" s="191"/>
      <c r="F25" s="191"/>
      <c r="G25" s="191"/>
      <c r="H25" s="191"/>
    </row>
    <row r="26" spans="1:8" ht="13.5" customHeight="1">
      <c r="A26" s="212" t="s">
        <v>205</v>
      </c>
      <c r="B26" s="213"/>
      <c r="C26" s="213"/>
      <c r="D26" s="213"/>
      <c r="E26" s="213"/>
      <c r="F26" s="213"/>
      <c r="G26" s="213"/>
      <c r="H26" s="213"/>
    </row>
    <row r="27" spans="1:8" ht="13.5" customHeight="1">
      <c r="A27" s="214" t="s">
        <v>540</v>
      </c>
      <c r="B27" s="215"/>
      <c r="C27" s="215"/>
      <c r="D27" s="215"/>
      <c r="E27" s="215"/>
      <c r="F27" s="215"/>
      <c r="G27" s="215"/>
      <c r="H27" s="215"/>
    </row>
  </sheetData>
  <mergeCells count="10">
    <mergeCell ref="A26:H26"/>
    <mergeCell ref="A27:H27"/>
    <mergeCell ref="F8:G8"/>
    <mergeCell ref="G1:H1"/>
    <mergeCell ref="F4:G4"/>
    <mergeCell ref="F5:G5"/>
    <mergeCell ref="A7:C7"/>
    <mergeCell ref="F7:G7"/>
    <mergeCell ref="A20:E20"/>
    <mergeCell ref="F20:G20"/>
  </mergeCells>
  <dataValidations count="2">
    <dataValidation type="list" allowBlank="1" showInputMessage="1" showErrorMessage="1" sqref="G1" xr:uid="{20545A85-2A39-4F0B-A71A-A0B70AB1CE9D}">
      <formula1>"INVOICE,RECEIPT"</formula1>
    </dataValidation>
    <dataValidation type="date" allowBlank="1" showInputMessage="1" showErrorMessage="1" sqref="A15:A19" xr:uid="{26803C42-2847-44D8-9884-109A8EE71510}">
      <formula1>45292</formula1>
      <formula2>410534</formula2>
    </dataValidation>
  </dataValidations>
  <printOptions horizontalCentered="1"/>
  <pageMargins left="0.5" right="0.5" top="0.5" bottom="0.5" header="0.5" footer="0.25"/>
  <pageSetup scale="9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94593D-C765-4E67-930E-519B9100F988}">
          <x14:formula1>
            <xm:f>Customer_Data!$A:$A</xm:f>
          </x14:formula1>
          <xm:sqref>A8</xm:sqref>
        </x14:dataValidation>
        <x14:dataValidation type="list" allowBlank="1" showInputMessage="1" showErrorMessage="1" xr:uid="{725C499C-B7B6-41FA-8E6B-75FE62B7CBEA}">
          <x14:formula1>
            <xm:f>Data!$D$3:$D$8</xm:f>
          </x14:formula1>
          <xm:sqref>B16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A096-8713-4F47-938F-7B155C3FEC13}">
  <sheetPr codeName="Sheet8">
    <pageSetUpPr fitToPage="1"/>
  </sheetPr>
  <dimension ref="A1:M26"/>
  <sheetViews>
    <sheetView showGridLines="0" topLeftCell="A11" zoomScaleNormal="100" workbookViewId="0">
      <selection activeCell="A26" sqref="A26:H26"/>
    </sheetView>
  </sheetViews>
  <sheetFormatPr defaultColWidth="10" defaultRowHeight="14.4"/>
  <cols>
    <col min="1" max="1" width="10.77734375" style="66" customWidth="1"/>
    <col min="2" max="2" width="15.109375" style="66" customWidth="1"/>
    <col min="3" max="3" width="19.5546875" style="66" customWidth="1"/>
    <col min="4" max="6" width="7.33203125" style="66" customWidth="1"/>
    <col min="7" max="7" width="14" style="66" customWidth="1"/>
    <col min="8" max="8" width="19.5546875" style="66" customWidth="1"/>
    <col min="9" max="9" width="12.88671875" style="66" customWidth="1"/>
    <col min="10" max="16384" width="10" style="66"/>
  </cols>
  <sheetData>
    <row r="1" spans="1:13" ht="46.5" customHeight="1">
      <c r="A1" s="107" t="s">
        <v>187</v>
      </c>
      <c r="B1" s="64"/>
      <c r="C1" s="64"/>
      <c r="D1" s="64"/>
      <c r="E1" s="64"/>
      <c r="F1" s="65"/>
      <c r="G1" s="217" t="s">
        <v>229</v>
      </c>
      <c r="H1" s="217"/>
    </row>
    <row r="2" spans="1:13" ht="19.5" customHeight="1">
      <c r="A2" s="67" t="s">
        <v>96</v>
      </c>
      <c r="B2" s="68"/>
      <c r="C2" s="68"/>
      <c r="D2" s="69"/>
      <c r="E2" s="70"/>
      <c r="J2" s="71"/>
    </row>
    <row r="3" spans="1:13" ht="19.5" customHeight="1">
      <c r="A3" s="67" t="s">
        <v>206</v>
      </c>
      <c r="B3" s="69"/>
      <c r="C3" s="69"/>
      <c r="D3" s="69"/>
      <c r="E3" s="70"/>
      <c r="J3" s="72"/>
      <c r="L3" s="154" t="s">
        <v>427</v>
      </c>
    </row>
    <row r="4" spans="1:13" ht="19.5" customHeight="1">
      <c r="A4" s="67" t="s">
        <v>207</v>
      </c>
      <c r="B4" s="70"/>
      <c r="C4" s="70"/>
      <c r="D4" s="69"/>
      <c r="E4" s="70"/>
      <c r="H4" s="73" t="s">
        <v>194</v>
      </c>
      <c r="M4" s="66" t="s">
        <v>423</v>
      </c>
    </row>
    <row r="5" spans="1:13" ht="19.5" customHeight="1">
      <c r="A5" s="69"/>
      <c r="B5" s="69"/>
      <c r="C5" s="69"/>
      <c r="D5" s="69"/>
      <c r="E5" s="70"/>
      <c r="F5" s="219"/>
      <c r="G5" s="219"/>
      <c r="H5" s="74">
        <f ca="1">TODAY()</f>
        <v>46183</v>
      </c>
      <c r="M5" s="66" t="s">
        <v>424</v>
      </c>
    </row>
    <row r="6" spans="1:13">
      <c r="A6" s="70"/>
      <c r="B6" s="70"/>
      <c r="C6" s="70"/>
      <c r="D6" s="70"/>
      <c r="E6" s="69"/>
      <c r="F6" s="69"/>
      <c r="G6" s="69"/>
      <c r="H6" s="69"/>
      <c r="M6" s="66" t="s">
        <v>425</v>
      </c>
    </row>
    <row r="7" spans="1:13" ht="20.100000000000001" customHeight="1">
      <c r="A7" s="220" t="s">
        <v>230</v>
      </c>
      <c r="B7" s="220"/>
      <c r="C7" s="220"/>
      <c r="D7" s="70"/>
      <c r="E7" s="75"/>
      <c r="F7" s="69"/>
      <c r="G7" s="69"/>
      <c r="H7" s="73" t="s">
        <v>197</v>
      </c>
      <c r="M7" s="66" t="s">
        <v>426</v>
      </c>
    </row>
    <row r="8" spans="1:13" ht="15.75" customHeight="1" thickBot="1">
      <c r="A8" s="70" t="s">
        <v>441</v>
      </c>
      <c r="B8" s="70"/>
      <c r="C8" s="70"/>
      <c r="D8" s="70"/>
      <c r="E8" s="75"/>
      <c r="F8" s="216"/>
      <c r="G8" s="216"/>
      <c r="H8" s="77" t="s">
        <v>231</v>
      </c>
    </row>
    <row r="9" spans="1:13" ht="15.75" customHeight="1">
      <c r="A9" s="70" t="str">
        <f>VLOOKUP($A$8,Customer_Data!$1:$1048576,3,TRUE)</f>
        <v>528 Acadian Ct.</v>
      </c>
      <c r="B9" s="70"/>
      <c r="C9" s="112" t="s">
        <v>232</v>
      </c>
      <c r="D9" s="113"/>
      <c r="E9" s="114"/>
      <c r="F9" s="115"/>
      <c r="G9" s="116"/>
      <c r="H9" s="69"/>
    </row>
    <row r="10" spans="1:13" ht="15.75" customHeight="1">
      <c r="A10" s="70" t="str">
        <f>CONCATENATE((VLOOKUP($A$8,Customer_Data!$1:$1048576,4,TRUE)),", ",(VLOOKUP($A$8,Customer_Data!$1:$1048576,5,TRUE))," ",(VLOOKUP($A$8,Customer_Data!$1:$1048576,6,TRUE)))</f>
        <v>Brandon, MS 39042</v>
      </c>
      <c r="B10" s="70"/>
      <c r="C10" s="117"/>
      <c r="D10" s="70"/>
      <c r="E10" s="75"/>
      <c r="F10" s="69"/>
      <c r="G10" s="118"/>
      <c r="H10" s="69"/>
    </row>
    <row r="11" spans="1:13" ht="15.75" customHeight="1">
      <c r="A11" s="70" t="str">
        <f>VLOOKUP($A$8,Customer_Data!$1:$1048576,11,TRUE)</f>
        <v>601-503-6548</v>
      </c>
      <c r="B11" s="70"/>
      <c r="C11" s="117"/>
      <c r="D11" s="129" t="s">
        <v>446</v>
      </c>
      <c r="E11" s="75"/>
      <c r="F11" s="69"/>
      <c r="G11" s="118"/>
      <c r="H11" s="69"/>
    </row>
    <row r="12" spans="1:13" ht="15.75" customHeight="1" thickBot="1">
      <c r="A12" s="69"/>
      <c r="B12" s="69"/>
      <c r="C12" s="119"/>
      <c r="D12" s="120"/>
      <c r="E12" s="120"/>
      <c r="F12" s="120"/>
      <c r="G12" s="121"/>
      <c r="H12" s="69"/>
    </row>
    <row r="13" spans="1:13">
      <c r="A13" s="70"/>
      <c r="B13" s="70"/>
      <c r="C13" s="70"/>
      <c r="D13" s="70"/>
      <c r="E13" s="69"/>
      <c r="F13" s="69"/>
      <c r="G13" s="69"/>
      <c r="H13" s="69"/>
    </row>
    <row r="14" spans="1:13" ht="20.100000000000001" customHeight="1">
      <c r="A14" s="76" t="s">
        <v>222</v>
      </c>
      <c r="B14" s="76" t="s">
        <v>199</v>
      </c>
      <c r="C14" s="76"/>
      <c r="D14" s="78"/>
      <c r="E14" s="78"/>
      <c r="F14" s="73" t="s">
        <v>200</v>
      </c>
      <c r="G14" s="73" t="s">
        <v>221</v>
      </c>
      <c r="H14" s="73" t="s">
        <v>201</v>
      </c>
    </row>
    <row r="15" spans="1:13" ht="20.25" customHeight="1">
      <c r="A15" s="111">
        <f ca="1">H5</f>
        <v>46183</v>
      </c>
      <c r="B15" s="109" t="s">
        <v>438</v>
      </c>
      <c r="C15" s="84" t="s">
        <v>378</v>
      </c>
      <c r="D15" s="84"/>
      <c r="E15" s="85"/>
      <c r="F15" s="86">
        <v>1</v>
      </c>
      <c r="G15" s="87">
        <v>60</v>
      </c>
      <c r="H15" s="88">
        <f>IF(F15="",ROUND(1*G15,2),ROUND(F15*G15,2))</f>
        <v>60</v>
      </c>
    </row>
    <row r="16" spans="1:13" ht="20.25" customHeight="1">
      <c r="A16" s="111">
        <f ca="1">H5</f>
        <v>46183</v>
      </c>
      <c r="B16" s="109" t="s">
        <v>439</v>
      </c>
      <c r="C16" s="84"/>
      <c r="D16" s="84"/>
      <c r="E16" s="85"/>
      <c r="F16" s="86">
        <v>0</v>
      </c>
      <c r="G16" s="87"/>
      <c r="H16" s="88">
        <f>IF(F16="",ROUND(1*G16,2),ROUND(F16*G16,2))</f>
        <v>0</v>
      </c>
    </row>
    <row r="17" spans="1:8" ht="20.25" customHeight="1">
      <c r="A17" s="111">
        <f ca="1">H5</f>
        <v>46183</v>
      </c>
      <c r="B17" s="109" t="s">
        <v>440</v>
      </c>
      <c r="C17" s="84"/>
      <c r="D17" s="84"/>
      <c r="E17" s="85"/>
      <c r="F17" s="86">
        <v>1</v>
      </c>
      <c r="G17" s="87">
        <v>-10</v>
      </c>
      <c r="H17" s="130">
        <f>IF(F17="",ROUND(1*G17,2),ROUND(F17*G17,2))</f>
        <v>-10</v>
      </c>
    </row>
    <row r="18" spans="1:8" ht="20.25" customHeight="1">
      <c r="A18" s="122"/>
      <c r="B18" s="110"/>
      <c r="C18" s="89"/>
      <c r="D18" s="89"/>
      <c r="E18" s="90"/>
      <c r="F18" s="91"/>
      <c r="G18" s="92"/>
      <c r="H18" s="93"/>
    </row>
    <row r="19" spans="1:8" s="96" customFormat="1" ht="20.25" customHeight="1">
      <c r="A19" s="221" t="s">
        <v>202</v>
      </c>
      <c r="B19" s="221"/>
      <c r="C19" s="221"/>
      <c r="D19" s="221"/>
      <c r="E19" s="221"/>
      <c r="F19" s="222" t="s">
        <v>203</v>
      </c>
      <c r="G19" s="222"/>
      <c r="H19" s="95">
        <f>SUM(H15:H18)</f>
        <v>50</v>
      </c>
    </row>
    <row r="20" spans="1:8" ht="20.25" customHeight="1">
      <c r="A20" s="97"/>
      <c r="B20" s="98"/>
      <c r="C20" s="98"/>
      <c r="D20" s="98"/>
      <c r="E20" s="98"/>
      <c r="F20" s="222"/>
      <c r="G20" s="222"/>
      <c r="H20" s="103"/>
    </row>
    <row r="21" spans="1:8" ht="20.25" customHeight="1">
      <c r="A21" s="97"/>
      <c r="B21" s="98"/>
      <c r="C21" s="98"/>
      <c r="D21" s="98"/>
      <c r="E21" s="98"/>
      <c r="F21" s="94"/>
      <c r="G21" s="94"/>
      <c r="H21" s="95"/>
    </row>
    <row r="22" spans="1:8" ht="20.25" customHeight="1">
      <c r="A22" s="97"/>
      <c r="B22" s="98"/>
      <c r="C22" s="98"/>
      <c r="D22" s="98"/>
      <c r="E22" s="98"/>
      <c r="F22" s="99" t="s">
        <v>204</v>
      </c>
      <c r="G22" s="99"/>
      <c r="H22" s="100">
        <f>H19+H21</f>
        <v>50</v>
      </c>
    </row>
    <row r="23" spans="1:8" ht="15.6">
      <c r="A23" s="69"/>
      <c r="B23" s="75"/>
      <c r="C23" s="75"/>
      <c r="D23" s="75"/>
      <c r="E23" s="75"/>
      <c r="F23" s="101"/>
      <c r="G23" s="101"/>
      <c r="H23" s="101"/>
    </row>
    <row r="24" spans="1:8" ht="13.5" customHeight="1">
      <c r="A24" s="75"/>
      <c r="B24" s="75"/>
      <c r="C24" s="75"/>
      <c r="D24" s="75"/>
      <c r="E24" s="75"/>
      <c r="F24" s="75"/>
      <c r="G24" s="75"/>
      <c r="H24" s="75"/>
    </row>
    <row r="25" spans="1:8" ht="13.5" customHeight="1">
      <c r="A25" s="223" t="s">
        <v>233</v>
      </c>
      <c r="B25" s="223"/>
      <c r="C25" s="223"/>
      <c r="D25" s="223"/>
      <c r="E25" s="223"/>
      <c r="F25" s="223"/>
      <c r="G25" s="223"/>
      <c r="H25" s="223"/>
    </row>
    <row r="26" spans="1:8" ht="13.5" customHeight="1">
      <c r="A26" s="224" t="s">
        <v>219</v>
      </c>
      <c r="B26" s="224"/>
      <c r="C26" s="224"/>
      <c r="D26" s="224"/>
      <c r="E26" s="224"/>
      <c r="F26" s="224"/>
      <c r="G26" s="224"/>
      <c r="H26" s="224"/>
    </row>
  </sheetData>
  <mergeCells count="9">
    <mergeCell ref="F20:G20"/>
    <mergeCell ref="A25:H25"/>
    <mergeCell ref="A26:H26"/>
    <mergeCell ref="G1:H1"/>
    <mergeCell ref="F5:G5"/>
    <mergeCell ref="A7:C7"/>
    <mergeCell ref="F8:G8"/>
    <mergeCell ref="A19:E19"/>
    <mergeCell ref="F19:G19"/>
  </mergeCells>
  <dataValidations count="1">
    <dataValidation type="date" allowBlank="1" showInputMessage="1" showErrorMessage="1" sqref="A15:A18" xr:uid="{4F99302E-2CAF-46AC-BC4D-4C6EE3DB2916}">
      <formula1>45292</formula1>
      <formula2>410534</formula2>
    </dataValidation>
  </dataValidations>
  <printOptions horizontalCentered="1"/>
  <pageMargins left="0.5" right="0.5" top="0.5" bottom="0.5" header="0.5" footer="0.25"/>
  <pageSetup scale="9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9326F3-4959-4CBE-BE1C-49504995B8CB}">
          <x14:formula1>
            <xm:f>Customer_Data!$A$2:$A$114</xm:f>
          </x14:formula1>
          <xm:sqref>A8</xm:sqref>
        </x14:dataValidation>
        <x14:dataValidation type="list" allowBlank="1" showInputMessage="1" showErrorMessage="1" xr:uid="{817A7968-6446-4B22-B335-B25E3FE46929}">
          <x14:formula1>
            <xm:f>Data!$E$2:$E$10</xm:f>
          </x14:formula1>
          <xm:sqref>C16</xm:sqref>
        </x14:dataValidation>
        <x14:dataValidation type="list" allowBlank="1" showInputMessage="1" showErrorMessage="1" xr:uid="{7F019115-9898-4270-A06C-4AAFF70263DA}">
          <x14:formula1>
            <xm:f>Data!$D$3:$D$8</xm:f>
          </x14:formula1>
          <xm:sqref>C15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F5A6-4B6A-43EA-A4A5-10C4FF652F35}">
  <sheetPr codeName="Sheet12"/>
  <dimension ref="A1:E6"/>
  <sheetViews>
    <sheetView workbookViewId="0"/>
  </sheetViews>
  <sheetFormatPr defaultRowHeight="13.2"/>
  <sheetData>
    <row r="1" spans="1:5">
      <c r="A1" t="s">
        <v>431</v>
      </c>
      <c r="B1" t="s">
        <v>107</v>
      </c>
      <c r="C1" t="s">
        <v>252</v>
      </c>
      <c r="D1" t="s">
        <v>294</v>
      </c>
      <c r="E1" t="s">
        <v>428</v>
      </c>
    </row>
    <row r="3" spans="1:5">
      <c r="A3" t="s">
        <v>432</v>
      </c>
    </row>
    <row r="4" spans="1:5">
      <c r="A4" t="s">
        <v>434</v>
      </c>
    </row>
    <row r="5" spans="1:5">
      <c r="A5" t="s">
        <v>433</v>
      </c>
    </row>
    <row r="6" spans="1:5">
      <c r="A6" t="s">
        <v>435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1CEC95-70A0-47F3-AE6A-1A5905B6DE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Applications</vt:lpstr>
      <vt:lpstr>Application Report</vt:lpstr>
      <vt:lpstr>Treatment Plans</vt:lpstr>
      <vt:lpstr>Services &amp; Prices</vt:lpstr>
      <vt:lpstr>Chemical costs</vt:lpstr>
      <vt:lpstr>Herbicide_Data</vt:lpstr>
      <vt:lpstr>Customer_Data</vt:lpstr>
      <vt:lpstr>billing</vt:lpstr>
      <vt:lpstr>Data</vt:lpstr>
      <vt:lpstr>Reference</vt:lpstr>
      <vt:lpstr>Invoice</vt:lpstr>
      <vt:lpstr>Quote</vt:lpstr>
      <vt:lpstr>PPE</vt:lpstr>
      <vt:lpstr>Applications_Data</vt:lpstr>
      <vt:lpstr>Field_Data</vt:lpstr>
      <vt:lpstr>Invoice!Print_Area</vt:lpstr>
      <vt:lpstr>Quote!Print_Area</vt:lpstr>
      <vt:lpstr>Applications!Print_Titles</vt:lpstr>
      <vt:lpstr>Customer_Data!Print_Titles</vt:lpstr>
    </vt:vector>
  </TitlesOfParts>
  <Company>ITRON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 Luther</dc:creator>
  <cp:lastModifiedBy>Stowers, Luther</cp:lastModifiedBy>
  <cp:lastPrinted>2026-06-08T19:09:06Z</cp:lastPrinted>
  <dcterms:created xsi:type="dcterms:W3CDTF">2024-05-30T13:35:41Z</dcterms:created>
  <dcterms:modified xsi:type="dcterms:W3CDTF">2026-06-10T20:11:53Z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9a2d37-bfe7-48a6-9bf1-b11ea8ddae28_Enabled">
    <vt:lpwstr>true</vt:lpwstr>
  </property>
  <property fmtid="{D5CDD505-2E9C-101B-9397-08002B2CF9AE}" pid="3" name="MSIP_Label_b79a2d37-bfe7-48a6-9bf1-b11ea8ddae28_SetDate">
    <vt:lpwstr>2024-05-30T13:39:25Z</vt:lpwstr>
  </property>
  <property fmtid="{D5CDD505-2E9C-101B-9397-08002B2CF9AE}" pid="4" name="MSIP_Label_b79a2d37-bfe7-48a6-9bf1-b11ea8ddae28_Method">
    <vt:lpwstr>Privileged</vt:lpwstr>
  </property>
  <property fmtid="{D5CDD505-2E9C-101B-9397-08002B2CF9AE}" pid="5" name="MSIP_Label_b79a2d37-bfe7-48a6-9bf1-b11ea8ddae28_Name">
    <vt:lpwstr>Restricted Confidential</vt:lpwstr>
  </property>
  <property fmtid="{D5CDD505-2E9C-101B-9397-08002B2CF9AE}" pid="6" name="MSIP_Label_b79a2d37-bfe7-48a6-9bf1-b11ea8ddae28_SiteId">
    <vt:lpwstr>5818bd20-bf25-47b1-b996-d419d7e6e8ba</vt:lpwstr>
  </property>
  <property fmtid="{D5CDD505-2E9C-101B-9397-08002B2CF9AE}" pid="7" name="MSIP_Label_b79a2d37-bfe7-48a6-9bf1-b11ea8ddae28_ActionId">
    <vt:lpwstr>14de39c0-49cf-427f-892b-776ad5107403</vt:lpwstr>
  </property>
  <property fmtid="{D5CDD505-2E9C-101B-9397-08002B2CF9AE}" pid="8" name="MSIP_Label_b79a2d37-bfe7-48a6-9bf1-b11ea8ddae28_ContentBits">
    <vt:lpwstr>0</vt:lpwstr>
  </property>
</Properties>
</file>